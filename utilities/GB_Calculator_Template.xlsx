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_CALCULATOR" sheetId="1" state="visible" r:id="rId1"/>
    <sheet name="PAYE_BANDS" sheetId="2" state="visible" r:id="rId2"/>
    <sheet name="README" sheetId="3" state="visible" r:id="rId3"/>
  </sheets>
  <definedNames>
    <definedName name="_xlnm._FilterDatabase" localSheetId="0" hidden="1">'GB_CALCULATOR'!$A$1:$AT$601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E40AF"/>
    </font>
    <font>
      <i val="1"/>
      <color rgb="00475569"/>
    </font>
    <font>
      <b val="1"/>
      <color rgb="001E40AF"/>
      <sz val="14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D7E3F6"/>
      </left>
      <right style="thin">
        <color rgb="00D7E3F6"/>
      </right>
      <top style="thin">
        <color rgb="00D7E3F6"/>
      </top>
      <bottom style="thin">
        <color rgb="00D7E3F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0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0" fillId="0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2" customWidth="1" min="4" max="4"/>
    <col width="14" customWidth="1" min="5" max="5"/>
    <col width="14" customWidth="1" min="6" max="6"/>
    <col width="13" customWidth="1" min="7" max="7"/>
    <col width="12" customWidth="1" min="8" max="8"/>
    <col width="14" customWidth="1" min="9" max="9"/>
    <col width="14" customWidth="1" min="10" max="10"/>
    <col width="13" customWidth="1" min="11" max="11"/>
    <col width="12" customWidth="1" min="12" max="12"/>
    <col width="14" customWidth="1" min="13" max="13"/>
    <col width="14" customWidth="1" min="14" max="14"/>
    <col width="13" customWidth="1" min="15" max="15"/>
    <col width="12" customWidth="1" min="16" max="16"/>
    <col width="14" customWidth="1" min="17" max="17"/>
    <col width="14" customWidth="1" min="18" max="18"/>
    <col width="13" customWidth="1" min="19" max="19"/>
    <col width="12" customWidth="1" min="20" max="20"/>
    <col width="14" customWidth="1" min="21" max="21"/>
    <col width="14" customWidth="1" min="22" max="22"/>
    <col width="13" customWidth="1" min="23" max="23"/>
    <col width="1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7" customWidth="1" min="29" max="29"/>
    <col width="17" customWidth="1" min="30" max="30"/>
    <col width="14" customWidth="1" min="31" max="31"/>
    <col width="16" customWidth="1" min="32" max="32"/>
    <col width="18" customWidth="1" min="33" max="33"/>
    <col width="19" customWidth="1" min="34" max="34"/>
    <col width="14" customWidth="1" min="35" max="35"/>
    <col width="12" customWidth="1" min="36" max="36"/>
    <col width="12" customWidth="1" min="37" max="37"/>
    <col width="12" customWidth="1" min="38" max="38"/>
    <col width="15" customWidth="1" min="39" max="39"/>
    <col width="15" customWidth="1" min="40" max="40"/>
    <col width="17" customWidth="1" min="41" max="41"/>
    <col width="15" customWidth="1" min="42" max="42"/>
    <col width="12" customWidth="1" min="43" max="43"/>
    <col width="12" customWidth="1" min="44" max="44"/>
    <col width="14" customWidth="1" min="45" max="45"/>
    <col width="14" customWidth="1" min="46" max="46"/>
  </cols>
  <sheetData>
    <row r="1">
      <c r="A1" s="1" t="inlineStr">
        <is>
          <t>EMPLOYEE NAME</t>
        </is>
      </c>
      <c r="B1" s="1" t="inlineStr">
        <is>
          <t>BASIC SALARY</t>
        </is>
      </c>
      <c r="C1" s="1" t="inlineStr">
        <is>
          <t>INCLUDE TRANSPORT (1/0)</t>
        </is>
      </c>
      <c r="D1" s="1" t="inlineStr">
        <is>
          <t>TRANSPORT RATE %</t>
        </is>
      </c>
      <c r="E1" s="1" t="inlineStr">
        <is>
          <t>TRANSPORT OVERRIDE</t>
        </is>
      </c>
      <c r="F1" s="1" t="inlineStr">
        <is>
          <t>TRANSPORT AMOUNT</t>
        </is>
      </c>
      <c r="G1" s="1" t="inlineStr">
        <is>
          <t>INCLUDE UTILITY (1/0)</t>
        </is>
      </c>
      <c r="H1" s="1" t="inlineStr">
        <is>
          <t>UTILITY RATE %</t>
        </is>
      </c>
      <c r="I1" s="1" t="inlineStr">
        <is>
          <t>UTILITY OVERRIDE</t>
        </is>
      </c>
      <c r="J1" s="1" t="inlineStr">
        <is>
          <t>UTILITY AMOUNT</t>
        </is>
      </c>
      <c r="K1" s="1" t="inlineStr">
        <is>
          <t>INCLUDE RENT (1/0)</t>
        </is>
      </c>
      <c r="L1" s="1" t="inlineStr">
        <is>
          <t>RENT RATE %</t>
        </is>
      </c>
      <c r="M1" s="1" t="inlineStr">
        <is>
          <t>RENT OVERRIDE</t>
        </is>
      </c>
      <c r="N1" s="1" t="inlineStr">
        <is>
          <t>RENT AMOUNT</t>
        </is>
      </c>
      <c r="O1" s="1" t="inlineStr">
        <is>
          <t>INCLUDE RISK (1/0)</t>
        </is>
      </c>
      <c r="P1" s="1" t="inlineStr">
        <is>
          <t>RISK RATE %</t>
        </is>
      </c>
      <c r="Q1" s="1" t="inlineStr">
        <is>
          <t>RISK OVERRIDE</t>
        </is>
      </c>
      <c r="R1" s="1" t="inlineStr">
        <is>
          <t>RISK AMOUNT</t>
        </is>
      </c>
      <c r="S1" s="1" t="inlineStr">
        <is>
          <t>INCLUDE LEAVE (1/0)</t>
        </is>
      </c>
      <c r="T1" s="1" t="inlineStr">
        <is>
          <t>LEAVE RATE %</t>
        </is>
      </c>
      <c r="U1" s="1" t="inlineStr">
        <is>
          <t>LEAVE OVERRIDE</t>
        </is>
      </c>
      <c r="V1" s="1" t="inlineStr">
        <is>
          <t>LEAVE AMOUNT</t>
        </is>
      </c>
      <c r="W1" s="1" t="inlineStr">
        <is>
          <t>INCLUDE CLOTHING (1/0)</t>
        </is>
      </c>
      <c r="X1" s="1" t="inlineStr">
        <is>
          <t>CLOTHING RATE %</t>
        </is>
      </c>
      <c r="Y1" s="1" t="inlineStr">
        <is>
          <t>CLOTHING OVERRIDE</t>
        </is>
      </c>
      <c r="Z1" s="1" t="inlineStr">
        <is>
          <t>CLOTHING AMOUNT</t>
        </is>
      </c>
      <c r="AA1" s="1" t="inlineStr">
        <is>
          <t>OTHER EARNINGS</t>
        </is>
      </c>
      <c r="AB1" s="1" t="inlineStr">
        <is>
          <t>OVERTIME ADDITION</t>
        </is>
      </c>
      <c r="AC1" s="1" t="inlineStr">
        <is>
          <t>PROVIDENT EARNING (3.5%)</t>
        </is>
      </c>
      <c r="AD1" s="1" t="inlineStr">
        <is>
          <t>PROVIDENT EARNING (6.5%)</t>
        </is>
      </c>
      <c r="AE1" s="1" t="inlineStr">
        <is>
          <t>GROSS EARNINGS</t>
        </is>
      </c>
      <c r="AF1" s="1" t="inlineStr">
        <is>
          <t>SOCIAL SECURITY (5.5%)</t>
        </is>
      </c>
      <c r="AG1" s="1" t="inlineStr">
        <is>
          <t>PROVIDENT DEDUCTION (3.5%)</t>
        </is>
      </c>
      <c r="AH1" s="1" t="inlineStr">
        <is>
          <t>PROVIDENT DEDUCTION (16.5%)</t>
        </is>
      </c>
      <c r="AI1" s="1" t="inlineStr">
        <is>
          <t>TAXABLE INCOME</t>
        </is>
      </c>
      <c r="AJ1" s="1" t="inlineStr">
        <is>
          <t>PAYE</t>
        </is>
      </c>
      <c r="AK1" s="1" t="inlineStr">
        <is>
          <t>WELFARE FUND</t>
        </is>
      </c>
      <c r="AL1" s="1" t="inlineStr">
        <is>
          <t>UNION DUES</t>
        </is>
      </c>
      <c r="AM1" s="1" t="inlineStr">
        <is>
          <t>PMSU/GMWU SUPPORT</t>
        </is>
      </c>
      <c r="AN1" s="1" t="inlineStr">
        <is>
          <t>LATENESS DEDUCTION</t>
        </is>
      </c>
      <c r="AO1" s="1" t="inlineStr">
        <is>
          <t>ABSENTEEISM DEDUCTION</t>
        </is>
      </c>
      <c r="AP1" s="1" t="inlineStr">
        <is>
          <t>TOTAL DEDUCTIONS</t>
        </is>
      </c>
      <c r="AQ1" s="1" t="inlineStr">
        <is>
          <t>NET SALARY</t>
        </is>
      </c>
      <c r="AR1" s="1" t="inlineStr">
        <is>
          <t>LOAN AMOUNT</t>
        </is>
      </c>
      <c r="AS1" s="1" t="inlineStr">
        <is>
          <t>TOTAL PAID (LOAN)</t>
        </is>
      </c>
      <c r="AT1" s="1" t="inlineStr">
        <is>
          <t>OUTSTANDING LOAN</t>
        </is>
      </c>
    </row>
    <row r="2">
      <c r="A2" s="2" t="inlineStr">
        <is>
          <t>Ama Owusu</t>
        </is>
      </c>
      <c r="B2" s="3" t="n">
        <v>20000</v>
      </c>
      <c r="C2" s="4" t="n">
        <v>1</v>
      </c>
      <c r="D2" s="5" t="n">
        <v>25</v>
      </c>
      <c r="E2" s="3" t="n"/>
      <c r="F2" s="3">
        <f>IF(C2=0,0,IF(E2="",B2*D2/100,E2))</f>
        <v/>
      </c>
      <c r="G2" s="4" t="n">
        <v>1</v>
      </c>
      <c r="H2" s="5" t="n">
        <v>15</v>
      </c>
      <c r="I2" s="3" t="n"/>
      <c r="J2" s="3">
        <f>IF(G2=0,0,IF(I2="",B2*H2/100,I2))</f>
        <v/>
      </c>
      <c r="K2" s="4" t="n">
        <v>1</v>
      </c>
      <c r="L2" s="5" t="n">
        <v>20</v>
      </c>
      <c r="M2" s="3" t="n"/>
      <c r="N2" s="3">
        <f>IF(K2=0,0,IF(M2="",B2*L2/100,M2))</f>
        <v/>
      </c>
      <c r="O2" s="4" t="n">
        <v>1</v>
      </c>
      <c r="P2" s="5" t="n">
        <v>10</v>
      </c>
      <c r="Q2" s="3" t="n"/>
      <c r="R2" s="3">
        <f>IF(O2=0,0,IF(Q2="",B2*P2/100,Q2))</f>
        <v/>
      </c>
      <c r="S2" s="4" t="n">
        <v>0</v>
      </c>
      <c r="T2" s="5" t="n">
        <v>100</v>
      </c>
      <c r="U2" s="3" t="n"/>
      <c r="V2" s="3">
        <f>IF(S2=0,0,IF(U2="",B2*T2/100,U2))</f>
        <v/>
      </c>
      <c r="W2" s="4" t="n">
        <v>0</v>
      </c>
      <c r="X2" s="5" t="n">
        <v>0</v>
      </c>
      <c r="Y2" s="3" t="n"/>
      <c r="Z2" s="3">
        <f>IF(W2=0,0,IF(Y2="",B2*X2/100,Y2))</f>
        <v/>
      </c>
      <c r="AA2" s="3" t="n"/>
      <c r="AB2" s="3" t="n"/>
      <c r="AC2" s="3">
        <f>B2*0.035</f>
        <v/>
      </c>
      <c r="AD2" s="3">
        <f>B2*0.065</f>
        <v/>
      </c>
      <c r="AE2" s="3">
        <f>SUM(B2,F2,J2,N2,R2,V2,Z2,AA2,AB2,AC2,AD2)</f>
        <v/>
      </c>
      <c r="AF2" s="3">
        <f>B2*0.055</f>
        <v/>
      </c>
      <c r="AG2" s="3">
        <f>B2*0.035</f>
        <v/>
      </c>
      <c r="AH2" s="3">
        <f>B2*0.165</f>
        <v/>
      </c>
      <c r="AI2" s="3">
        <f>MAX(0,AE2-AF2-AH2)</f>
        <v/>
      </c>
      <c r="AJ2" s="3">
        <f>IF(AI2&lt;=490,0,IF(AI2&lt;=600,(AI2-490)*0.05,IF(AI2&lt;=730,5.5+(AI2-600)*0.10,IF(AI2&lt;=3896.67,18.5+(AI2-730)*0.175,IF(AI2&lt;=19896.67,572.67+(AI2-3896.67)*0.25,IF(AI2&lt;=50416.67,4572.67+(AI2-19896.67)*0.30,13728.67+(AI2-50416.67)*0.35))))))</f>
        <v/>
      </c>
      <c r="AK2" s="3" t="n"/>
      <c r="AL2" s="3" t="n"/>
      <c r="AM2" s="3" t="n"/>
      <c r="AN2" s="3" t="n"/>
      <c r="AO2" s="3" t="n"/>
      <c r="AP2" s="3">
        <f>SUM(AF2,AJ2,AK2,AL2,AM2,AN2,AO2,AG2,AH2)</f>
        <v/>
      </c>
      <c r="AQ2" s="3">
        <f>AE2-AP2</f>
        <v/>
      </c>
      <c r="AR2" s="3" t="n"/>
      <c r="AS2" s="3" t="n"/>
      <c r="AT2" s="3">
        <f>AR2-AS2</f>
        <v/>
      </c>
    </row>
    <row r="3">
      <c r="A3" s="2" t="n"/>
      <c r="B3" s="3" t="n"/>
      <c r="C3" s="4" t="n"/>
      <c r="D3" s="5" t="n"/>
      <c r="E3" s="3" t="n"/>
      <c r="F3" s="3">
        <f>IF(C3=0,0,IF(E3="",B3*D3/100,E3))</f>
        <v/>
      </c>
      <c r="G3" s="4" t="n"/>
      <c r="H3" s="5" t="n"/>
      <c r="I3" s="3" t="n"/>
      <c r="J3" s="3">
        <f>IF(G3=0,0,IF(I3="",B3*H3/100,I3))</f>
        <v/>
      </c>
      <c r="K3" s="4" t="n"/>
      <c r="L3" s="5" t="n"/>
      <c r="M3" s="3" t="n"/>
      <c r="N3" s="3">
        <f>IF(K3=0,0,IF(M3="",B3*L3/100,M3))</f>
        <v/>
      </c>
      <c r="O3" s="4" t="n"/>
      <c r="P3" s="5" t="n"/>
      <c r="Q3" s="3" t="n"/>
      <c r="R3" s="3">
        <f>IF(O3=0,0,IF(Q3="",B3*P3/100,Q3))</f>
        <v/>
      </c>
      <c r="S3" s="4" t="n"/>
      <c r="T3" s="5" t="n"/>
      <c r="U3" s="3" t="n"/>
      <c r="V3" s="3">
        <f>IF(S3=0,0,IF(U3="",B3*T3/100,U3))</f>
        <v/>
      </c>
      <c r="W3" s="4" t="n"/>
      <c r="X3" s="5" t="n"/>
      <c r="Y3" s="3" t="n"/>
      <c r="Z3" s="3">
        <f>IF(W3=0,0,IF(Y3="",B3*X3/100,Y3))</f>
        <v/>
      </c>
      <c r="AA3" s="3" t="n"/>
      <c r="AB3" s="3" t="n"/>
      <c r="AC3" s="3">
        <f>B3*0.035</f>
        <v/>
      </c>
      <c r="AD3" s="3">
        <f>B3*0.065</f>
        <v/>
      </c>
      <c r="AE3" s="3">
        <f>SUM(B3,F3,J3,N3,R3,V3,Z3,AA3,AB3,AC3,AD3)</f>
        <v/>
      </c>
      <c r="AF3" s="3">
        <f>B3*0.055</f>
        <v/>
      </c>
      <c r="AG3" s="3">
        <f>B3*0.035</f>
        <v/>
      </c>
      <c r="AH3" s="3">
        <f>B3*0.165</f>
        <v/>
      </c>
      <c r="AI3" s="3">
        <f>MAX(0,AE3-AF3-AH3)</f>
        <v/>
      </c>
      <c r="AJ3" s="3">
        <f>IF(AI3&lt;=490,0,IF(AI3&lt;=600,(AI3-490)*0.05,IF(AI3&lt;=730,5.5+(AI3-600)*0.10,IF(AI3&lt;=3896.67,18.5+(AI3-730)*0.175,IF(AI3&lt;=19896.67,572.67+(AI3-3896.67)*0.25,IF(AI3&lt;=50416.67,4572.67+(AI3-19896.67)*0.30,13728.67+(AI3-50416.67)*0.35))))))</f>
        <v/>
      </c>
      <c r="AK3" s="3" t="n"/>
      <c r="AL3" s="3" t="n"/>
      <c r="AM3" s="3" t="n"/>
      <c r="AN3" s="3" t="n"/>
      <c r="AO3" s="3" t="n"/>
      <c r="AP3" s="3">
        <f>SUM(AF3,AJ3,AK3,AL3,AM3,AN3,AO3,AG3,AH3)</f>
        <v/>
      </c>
      <c r="AQ3" s="3">
        <f>AE3-AP3</f>
        <v/>
      </c>
      <c r="AR3" s="3" t="n"/>
      <c r="AS3" s="3" t="n"/>
      <c r="AT3" s="3">
        <f>AR3-AS3</f>
        <v/>
      </c>
    </row>
    <row r="4">
      <c r="A4" s="2" t="n"/>
      <c r="B4" s="3" t="n"/>
      <c r="C4" s="4" t="n"/>
      <c r="D4" s="5" t="n"/>
      <c r="E4" s="3" t="n"/>
      <c r="F4" s="3">
        <f>IF(C4=0,0,IF(E4="",B4*D4/100,E4))</f>
        <v/>
      </c>
      <c r="G4" s="4" t="n"/>
      <c r="H4" s="5" t="n"/>
      <c r="I4" s="3" t="n"/>
      <c r="J4" s="3">
        <f>IF(G4=0,0,IF(I4="",B4*H4/100,I4))</f>
        <v/>
      </c>
      <c r="K4" s="4" t="n"/>
      <c r="L4" s="5" t="n"/>
      <c r="M4" s="3" t="n"/>
      <c r="N4" s="3">
        <f>IF(K4=0,0,IF(M4="",B4*L4/100,M4))</f>
        <v/>
      </c>
      <c r="O4" s="4" t="n"/>
      <c r="P4" s="5" t="n"/>
      <c r="Q4" s="3" t="n"/>
      <c r="R4" s="3">
        <f>IF(O4=0,0,IF(Q4="",B4*P4/100,Q4))</f>
        <v/>
      </c>
      <c r="S4" s="4" t="n"/>
      <c r="T4" s="5" t="n"/>
      <c r="U4" s="3" t="n"/>
      <c r="V4" s="3">
        <f>IF(S4=0,0,IF(U4="",B4*T4/100,U4))</f>
        <v/>
      </c>
      <c r="W4" s="4" t="n"/>
      <c r="X4" s="5" t="n"/>
      <c r="Y4" s="3" t="n"/>
      <c r="Z4" s="3">
        <f>IF(W4=0,0,IF(Y4="",B4*X4/100,Y4))</f>
        <v/>
      </c>
      <c r="AA4" s="3" t="n"/>
      <c r="AB4" s="3" t="n"/>
      <c r="AC4" s="3">
        <f>B4*0.035</f>
        <v/>
      </c>
      <c r="AD4" s="3">
        <f>B4*0.065</f>
        <v/>
      </c>
      <c r="AE4" s="3">
        <f>SUM(B4,F4,J4,N4,R4,V4,Z4,AA4,AB4,AC4,AD4)</f>
        <v/>
      </c>
      <c r="AF4" s="3">
        <f>B4*0.055</f>
        <v/>
      </c>
      <c r="AG4" s="3">
        <f>B4*0.035</f>
        <v/>
      </c>
      <c r="AH4" s="3">
        <f>B4*0.165</f>
        <v/>
      </c>
      <c r="AI4" s="3">
        <f>MAX(0,AE4-AF4-AH4)</f>
        <v/>
      </c>
      <c r="AJ4" s="3">
        <f>IF(AI4&lt;=490,0,IF(AI4&lt;=600,(AI4-490)*0.05,IF(AI4&lt;=730,5.5+(AI4-600)*0.10,IF(AI4&lt;=3896.67,18.5+(AI4-730)*0.175,IF(AI4&lt;=19896.67,572.67+(AI4-3896.67)*0.25,IF(AI4&lt;=50416.67,4572.67+(AI4-19896.67)*0.30,13728.67+(AI4-50416.67)*0.35))))))</f>
        <v/>
      </c>
      <c r="AK4" s="3" t="n"/>
      <c r="AL4" s="3" t="n"/>
      <c r="AM4" s="3" t="n"/>
      <c r="AN4" s="3" t="n"/>
      <c r="AO4" s="3" t="n"/>
      <c r="AP4" s="3">
        <f>SUM(AF4,AJ4,AK4,AL4,AM4,AN4,AO4,AG4,AH4)</f>
        <v/>
      </c>
      <c r="AQ4" s="3">
        <f>AE4-AP4</f>
        <v/>
      </c>
      <c r="AR4" s="3" t="n"/>
      <c r="AS4" s="3" t="n"/>
      <c r="AT4" s="3">
        <f>AR4-AS4</f>
        <v/>
      </c>
    </row>
    <row r="5">
      <c r="A5" s="2" t="n"/>
      <c r="B5" s="3" t="n"/>
      <c r="C5" s="4" t="n"/>
      <c r="D5" s="5" t="n"/>
      <c r="E5" s="3" t="n"/>
      <c r="F5" s="3">
        <f>IF(C5=0,0,IF(E5="",B5*D5/100,E5))</f>
        <v/>
      </c>
      <c r="G5" s="4" t="n"/>
      <c r="H5" s="5" t="n"/>
      <c r="I5" s="3" t="n"/>
      <c r="J5" s="3">
        <f>IF(G5=0,0,IF(I5="",B5*H5/100,I5))</f>
        <v/>
      </c>
      <c r="K5" s="4" t="n"/>
      <c r="L5" s="5" t="n"/>
      <c r="M5" s="3" t="n"/>
      <c r="N5" s="3">
        <f>IF(K5=0,0,IF(M5="",B5*L5/100,M5))</f>
        <v/>
      </c>
      <c r="O5" s="4" t="n"/>
      <c r="P5" s="5" t="n"/>
      <c r="Q5" s="3" t="n"/>
      <c r="R5" s="3">
        <f>IF(O5=0,0,IF(Q5="",B5*P5/100,Q5))</f>
        <v/>
      </c>
      <c r="S5" s="4" t="n"/>
      <c r="T5" s="5" t="n"/>
      <c r="U5" s="3" t="n"/>
      <c r="V5" s="3">
        <f>IF(S5=0,0,IF(U5="",B5*T5/100,U5))</f>
        <v/>
      </c>
      <c r="W5" s="4" t="n"/>
      <c r="X5" s="5" t="n"/>
      <c r="Y5" s="3" t="n"/>
      <c r="Z5" s="3">
        <f>IF(W5=0,0,IF(Y5="",B5*X5/100,Y5))</f>
        <v/>
      </c>
      <c r="AA5" s="3" t="n"/>
      <c r="AB5" s="3" t="n"/>
      <c r="AC5" s="3">
        <f>B5*0.035</f>
        <v/>
      </c>
      <c r="AD5" s="3">
        <f>B5*0.065</f>
        <v/>
      </c>
      <c r="AE5" s="3">
        <f>SUM(B5,F5,J5,N5,R5,V5,Z5,AA5,AB5,AC5,AD5)</f>
        <v/>
      </c>
      <c r="AF5" s="3">
        <f>B5*0.055</f>
        <v/>
      </c>
      <c r="AG5" s="3">
        <f>B5*0.035</f>
        <v/>
      </c>
      <c r="AH5" s="3">
        <f>B5*0.165</f>
        <v/>
      </c>
      <c r="AI5" s="3">
        <f>MAX(0,AE5-AF5-AH5)</f>
        <v/>
      </c>
      <c r="AJ5" s="3">
        <f>IF(AI5&lt;=490,0,IF(AI5&lt;=600,(AI5-490)*0.05,IF(AI5&lt;=730,5.5+(AI5-600)*0.10,IF(AI5&lt;=3896.67,18.5+(AI5-730)*0.175,IF(AI5&lt;=19896.67,572.67+(AI5-3896.67)*0.25,IF(AI5&lt;=50416.67,4572.67+(AI5-19896.67)*0.30,13728.67+(AI5-50416.67)*0.35))))))</f>
        <v/>
      </c>
      <c r="AK5" s="3" t="n"/>
      <c r="AL5" s="3" t="n"/>
      <c r="AM5" s="3" t="n"/>
      <c r="AN5" s="3" t="n"/>
      <c r="AO5" s="3" t="n"/>
      <c r="AP5" s="3">
        <f>SUM(AF5,AJ5,AK5,AL5,AM5,AN5,AO5,AG5,AH5)</f>
        <v/>
      </c>
      <c r="AQ5" s="3">
        <f>AE5-AP5</f>
        <v/>
      </c>
      <c r="AR5" s="3" t="n"/>
      <c r="AS5" s="3" t="n"/>
      <c r="AT5" s="3">
        <f>AR5-AS5</f>
        <v/>
      </c>
    </row>
    <row r="6">
      <c r="A6" s="2" t="n"/>
      <c r="B6" s="3" t="n"/>
      <c r="C6" s="4" t="n"/>
      <c r="D6" s="5" t="n"/>
      <c r="E6" s="3" t="n"/>
      <c r="F6" s="3">
        <f>IF(C6=0,0,IF(E6="",B6*D6/100,E6))</f>
        <v/>
      </c>
      <c r="G6" s="4" t="n"/>
      <c r="H6" s="5" t="n"/>
      <c r="I6" s="3" t="n"/>
      <c r="J6" s="3">
        <f>IF(G6=0,0,IF(I6="",B6*H6/100,I6))</f>
        <v/>
      </c>
      <c r="K6" s="4" t="n"/>
      <c r="L6" s="5" t="n"/>
      <c r="M6" s="3" t="n"/>
      <c r="N6" s="3">
        <f>IF(K6=0,0,IF(M6="",B6*L6/100,M6))</f>
        <v/>
      </c>
      <c r="O6" s="4" t="n"/>
      <c r="P6" s="5" t="n"/>
      <c r="Q6" s="3" t="n"/>
      <c r="R6" s="3">
        <f>IF(O6=0,0,IF(Q6="",B6*P6/100,Q6))</f>
        <v/>
      </c>
      <c r="S6" s="4" t="n"/>
      <c r="T6" s="5" t="n"/>
      <c r="U6" s="3" t="n"/>
      <c r="V6" s="3">
        <f>IF(S6=0,0,IF(U6="",B6*T6/100,U6))</f>
        <v/>
      </c>
      <c r="W6" s="4" t="n"/>
      <c r="X6" s="5" t="n"/>
      <c r="Y6" s="3" t="n"/>
      <c r="Z6" s="3">
        <f>IF(W6=0,0,IF(Y6="",B6*X6/100,Y6))</f>
        <v/>
      </c>
      <c r="AA6" s="3" t="n"/>
      <c r="AB6" s="3" t="n"/>
      <c r="AC6" s="3">
        <f>B6*0.035</f>
        <v/>
      </c>
      <c r="AD6" s="3">
        <f>B6*0.065</f>
        <v/>
      </c>
      <c r="AE6" s="3">
        <f>SUM(B6,F6,J6,N6,R6,V6,Z6,AA6,AB6,AC6,AD6)</f>
        <v/>
      </c>
      <c r="AF6" s="3">
        <f>B6*0.055</f>
        <v/>
      </c>
      <c r="AG6" s="3">
        <f>B6*0.035</f>
        <v/>
      </c>
      <c r="AH6" s="3">
        <f>B6*0.165</f>
        <v/>
      </c>
      <c r="AI6" s="3">
        <f>MAX(0,AE6-AF6-AH6)</f>
        <v/>
      </c>
      <c r="AJ6" s="3">
        <f>IF(AI6&lt;=490,0,IF(AI6&lt;=600,(AI6-490)*0.05,IF(AI6&lt;=730,5.5+(AI6-600)*0.10,IF(AI6&lt;=3896.67,18.5+(AI6-730)*0.175,IF(AI6&lt;=19896.67,572.67+(AI6-3896.67)*0.25,IF(AI6&lt;=50416.67,4572.67+(AI6-19896.67)*0.30,13728.67+(AI6-50416.67)*0.35))))))</f>
        <v/>
      </c>
      <c r="AK6" s="3" t="n"/>
      <c r="AL6" s="3" t="n"/>
      <c r="AM6" s="3" t="n"/>
      <c r="AN6" s="3" t="n"/>
      <c r="AO6" s="3" t="n"/>
      <c r="AP6" s="3">
        <f>SUM(AF6,AJ6,AK6,AL6,AM6,AN6,AO6,AG6,AH6)</f>
        <v/>
      </c>
      <c r="AQ6" s="3">
        <f>AE6-AP6</f>
        <v/>
      </c>
      <c r="AR6" s="3" t="n"/>
      <c r="AS6" s="3" t="n"/>
      <c r="AT6" s="3">
        <f>AR6-AS6</f>
        <v/>
      </c>
    </row>
    <row r="7">
      <c r="A7" s="2" t="n"/>
      <c r="B7" s="3" t="n"/>
      <c r="C7" s="4" t="n"/>
      <c r="D7" s="5" t="n"/>
      <c r="E7" s="3" t="n"/>
      <c r="F7" s="3">
        <f>IF(C7=0,0,IF(E7="",B7*D7/100,E7))</f>
        <v/>
      </c>
      <c r="G7" s="4" t="n"/>
      <c r="H7" s="5" t="n"/>
      <c r="I7" s="3" t="n"/>
      <c r="J7" s="3">
        <f>IF(G7=0,0,IF(I7="",B7*H7/100,I7))</f>
        <v/>
      </c>
      <c r="K7" s="4" t="n"/>
      <c r="L7" s="5" t="n"/>
      <c r="M7" s="3" t="n"/>
      <c r="N7" s="3">
        <f>IF(K7=0,0,IF(M7="",B7*L7/100,M7))</f>
        <v/>
      </c>
      <c r="O7" s="4" t="n"/>
      <c r="P7" s="5" t="n"/>
      <c r="Q7" s="3" t="n"/>
      <c r="R7" s="3">
        <f>IF(O7=0,0,IF(Q7="",B7*P7/100,Q7))</f>
        <v/>
      </c>
      <c r="S7" s="4" t="n"/>
      <c r="T7" s="5" t="n"/>
      <c r="U7" s="3" t="n"/>
      <c r="V7" s="3">
        <f>IF(S7=0,0,IF(U7="",B7*T7/100,U7))</f>
        <v/>
      </c>
      <c r="W7" s="4" t="n"/>
      <c r="X7" s="5" t="n"/>
      <c r="Y7" s="3" t="n"/>
      <c r="Z7" s="3">
        <f>IF(W7=0,0,IF(Y7="",B7*X7/100,Y7))</f>
        <v/>
      </c>
      <c r="AA7" s="3" t="n"/>
      <c r="AB7" s="3" t="n"/>
      <c r="AC7" s="3">
        <f>B7*0.035</f>
        <v/>
      </c>
      <c r="AD7" s="3">
        <f>B7*0.065</f>
        <v/>
      </c>
      <c r="AE7" s="3">
        <f>SUM(B7,F7,J7,N7,R7,V7,Z7,AA7,AB7,AC7,AD7)</f>
        <v/>
      </c>
      <c r="AF7" s="3">
        <f>B7*0.055</f>
        <v/>
      </c>
      <c r="AG7" s="3">
        <f>B7*0.035</f>
        <v/>
      </c>
      <c r="AH7" s="3">
        <f>B7*0.165</f>
        <v/>
      </c>
      <c r="AI7" s="3">
        <f>MAX(0,AE7-AF7-AH7)</f>
        <v/>
      </c>
      <c r="AJ7" s="3">
        <f>IF(AI7&lt;=490,0,IF(AI7&lt;=600,(AI7-490)*0.05,IF(AI7&lt;=730,5.5+(AI7-600)*0.10,IF(AI7&lt;=3896.67,18.5+(AI7-730)*0.175,IF(AI7&lt;=19896.67,572.67+(AI7-3896.67)*0.25,IF(AI7&lt;=50416.67,4572.67+(AI7-19896.67)*0.30,13728.67+(AI7-50416.67)*0.35))))))</f>
        <v/>
      </c>
      <c r="AK7" s="3" t="n"/>
      <c r="AL7" s="3" t="n"/>
      <c r="AM7" s="3" t="n"/>
      <c r="AN7" s="3" t="n"/>
      <c r="AO7" s="3" t="n"/>
      <c r="AP7" s="3">
        <f>SUM(AF7,AJ7,AK7,AL7,AM7,AN7,AO7,AG7,AH7)</f>
        <v/>
      </c>
      <c r="AQ7" s="3">
        <f>AE7-AP7</f>
        <v/>
      </c>
      <c r="AR7" s="3" t="n"/>
      <c r="AS7" s="3" t="n"/>
      <c r="AT7" s="3">
        <f>AR7-AS7</f>
        <v/>
      </c>
    </row>
    <row r="8">
      <c r="A8" s="2" t="n"/>
      <c r="B8" s="3" t="n"/>
      <c r="C8" s="4" t="n"/>
      <c r="D8" s="5" t="n"/>
      <c r="E8" s="3" t="n"/>
      <c r="F8" s="3">
        <f>IF(C8=0,0,IF(E8="",B8*D8/100,E8))</f>
        <v/>
      </c>
      <c r="G8" s="4" t="n"/>
      <c r="H8" s="5" t="n"/>
      <c r="I8" s="3" t="n"/>
      <c r="J8" s="3">
        <f>IF(G8=0,0,IF(I8="",B8*H8/100,I8))</f>
        <v/>
      </c>
      <c r="K8" s="4" t="n"/>
      <c r="L8" s="5" t="n"/>
      <c r="M8" s="3" t="n"/>
      <c r="N8" s="3">
        <f>IF(K8=0,0,IF(M8="",B8*L8/100,M8))</f>
        <v/>
      </c>
      <c r="O8" s="4" t="n"/>
      <c r="P8" s="5" t="n"/>
      <c r="Q8" s="3" t="n"/>
      <c r="R8" s="3">
        <f>IF(O8=0,0,IF(Q8="",B8*P8/100,Q8))</f>
        <v/>
      </c>
      <c r="S8" s="4" t="n"/>
      <c r="T8" s="5" t="n"/>
      <c r="U8" s="3" t="n"/>
      <c r="V8" s="3">
        <f>IF(S8=0,0,IF(U8="",B8*T8/100,U8))</f>
        <v/>
      </c>
      <c r="W8" s="4" t="n"/>
      <c r="X8" s="5" t="n"/>
      <c r="Y8" s="3" t="n"/>
      <c r="Z8" s="3">
        <f>IF(W8=0,0,IF(Y8="",B8*X8/100,Y8))</f>
        <v/>
      </c>
      <c r="AA8" s="3" t="n"/>
      <c r="AB8" s="3" t="n"/>
      <c r="AC8" s="3">
        <f>B8*0.035</f>
        <v/>
      </c>
      <c r="AD8" s="3">
        <f>B8*0.065</f>
        <v/>
      </c>
      <c r="AE8" s="3">
        <f>SUM(B8,F8,J8,N8,R8,V8,Z8,AA8,AB8,AC8,AD8)</f>
        <v/>
      </c>
      <c r="AF8" s="3">
        <f>B8*0.055</f>
        <v/>
      </c>
      <c r="AG8" s="3">
        <f>B8*0.035</f>
        <v/>
      </c>
      <c r="AH8" s="3">
        <f>B8*0.165</f>
        <v/>
      </c>
      <c r="AI8" s="3">
        <f>MAX(0,AE8-AF8-AH8)</f>
        <v/>
      </c>
      <c r="AJ8" s="3">
        <f>IF(AI8&lt;=490,0,IF(AI8&lt;=600,(AI8-490)*0.05,IF(AI8&lt;=730,5.5+(AI8-600)*0.10,IF(AI8&lt;=3896.67,18.5+(AI8-730)*0.175,IF(AI8&lt;=19896.67,572.67+(AI8-3896.67)*0.25,IF(AI8&lt;=50416.67,4572.67+(AI8-19896.67)*0.30,13728.67+(AI8-50416.67)*0.35))))))</f>
        <v/>
      </c>
      <c r="AK8" s="3" t="n"/>
      <c r="AL8" s="3" t="n"/>
      <c r="AM8" s="3" t="n"/>
      <c r="AN8" s="3" t="n"/>
      <c r="AO8" s="3" t="n"/>
      <c r="AP8" s="3">
        <f>SUM(AF8,AJ8,AK8,AL8,AM8,AN8,AO8,AG8,AH8)</f>
        <v/>
      </c>
      <c r="AQ8" s="3">
        <f>AE8-AP8</f>
        <v/>
      </c>
      <c r="AR8" s="3" t="n"/>
      <c r="AS8" s="3" t="n"/>
      <c r="AT8" s="3">
        <f>AR8-AS8</f>
        <v/>
      </c>
    </row>
    <row r="9">
      <c r="A9" s="2" t="n"/>
      <c r="B9" s="3" t="n"/>
      <c r="C9" s="4" t="n"/>
      <c r="D9" s="5" t="n"/>
      <c r="E9" s="3" t="n"/>
      <c r="F9" s="3">
        <f>IF(C9=0,0,IF(E9="",B9*D9/100,E9))</f>
        <v/>
      </c>
      <c r="G9" s="4" t="n"/>
      <c r="H9" s="5" t="n"/>
      <c r="I9" s="3" t="n"/>
      <c r="J9" s="3">
        <f>IF(G9=0,0,IF(I9="",B9*H9/100,I9))</f>
        <v/>
      </c>
      <c r="K9" s="4" t="n"/>
      <c r="L9" s="5" t="n"/>
      <c r="M9" s="3" t="n"/>
      <c r="N9" s="3">
        <f>IF(K9=0,0,IF(M9="",B9*L9/100,M9))</f>
        <v/>
      </c>
      <c r="O9" s="4" t="n"/>
      <c r="P9" s="5" t="n"/>
      <c r="Q9" s="3" t="n"/>
      <c r="R9" s="3">
        <f>IF(O9=0,0,IF(Q9="",B9*P9/100,Q9))</f>
        <v/>
      </c>
      <c r="S9" s="4" t="n"/>
      <c r="T9" s="5" t="n"/>
      <c r="U9" s="3" t="n"/>
      <c r="V9" s="3">
        <f>IF(S9=0,0,IF(U9="",B9*T9/100,U9))</f>
        <v/>
      </c>
      <c r="W9" s="4" t="n"/>
      <c r="X9" s="5" t="n"/>
      <c r="Y9" s="3" t="n"/>
      <c r="Z9" s="3">
        <f>IF(W9=0,0,IF(Y9="",B9*X9/100,Y9))</f>
        <v/>
      </c>
      <c r="AA9" s="3" t="n"/>
      <c r="AB9" s="3" t="n"/>
      <c r="AC9" s="3">
        <f>B9*0.035</f>
        <v/>
      </c>
      <c r="AD9" s="3">
        <f>B9*0.065</f>
        <v/>
      </c>
      <c r="AE9" s="3">
        <f>SUM(B9,F9,J9,N9,R9,V9,Z9,AA9,AB9,AC9,AD9)</f>
        <v/>
      </c>
      <c r="AF9" s="3">
        <f>B9*0.055</f>
        <v/>
      </c>
      <c r="AG9" s="3">
        <f>B9*0.035</f>
        <v/>
      </c>
      <c r="AH9" s="3">
        <f>B9*0.165</f>
        <v/>
      </c>
      <c r="AI9" s="3">
        <f>MAX(0,AE9-AF9-AH9)</f>
        <v/>
      </c>
      <c r="AJ9" s="3">
        <f>IF(AI9&lt;=490,0,IF(AI9&lt;=600,(AI9-490)*0.05,IF(AI9&lt;=730,5.5+(AI9-600)*0.10,IF(AI9&lt;=3896.67,18.5+(AI9-730)*0.175,IF(AI9&lt;=19896.67,572.67+(AI9-3896.67)*0.25,IF(AI9&lt;=50416.67,4572.67+(AI9-19896.67)*0.30,13728.67+(AI9-50416.67)*0.35))))))</f>
        <v/>
      </c>
      <c r="AK9" s="3" t="n"/>
      <c r="AL9" s="3" t="n"/>
      <c r="AM9" s="3" t="n"/>
      <c r="AN9" s="3" t="n"/>
      <c r="AO9" s="3" t="n"/>
      <c r="AP9" s="3">
        <f>SUM(AF9,AJ9,AK9,AL9,AM9,AN9,AO9,AG9,AH9)</f>
        <v/>
      </c>
      <c r="AQ9" s="3">
        <f>AE9-AP9</f>
        <v/>
      </c>
      <c r="AR9" s="3" t="n"/>
      <c r="AS9" s="3" t="n"/>
      <c r="AT9" s="3">
        <f>AR9-AS9</f>
        <v/>
      </c>
    </row>
    <row r="10">
      <c r="A10" s="2" t="n"/>
      <c r="B10" s="3" t="n"/>
      <c r="C10" s="4" t="n"/>
      <c r="D10" s="5" t="n"/>
      <c r="E10" s="3" t="n"/>
      <c r="F10" s="3">
        <f>IF(C10=0,0,IF(E10="",B10*D10/100,E10))</f>
        <v/>
      </c>
      <c r="G10" s="4" t="n"/>
      <c r="H10" s="5" t="n"/>
      <c r="I10" s="3" t="n"/>
      <c r="J10" s="3">
        <f>IF(G10=0,0,IF(I10="",B10*H10/100,I10))</f>
        <v/>
      </c>
      <c r="K10" s="4" t="n"/>
      <c r="L10" s="5" t="n"/>
      <c r="M10" s="3" t="n"/>
      <c r="N10" s="3">
        <f>IF(K10=0,0,IF(M10="",B10*L10/100,M10))</f>
        <v/>
      </c>
      <c r="O10" s="4" t="n"/>
      <c r="P10" s="5" t="n"/>
      <c r="Q10" s="3" t="n"/>
      <c r="R10" s="3">
        <f>IF(O10=0,0,IF(Q10="",B10*P10/100,Q10))</f>
        <v/>
      </c>
      <c r="S10" s="4" t="n"/>
      <c r="T10" s="5" t="n"/>
      <c r="U10" s="3" t="n"/>
      <c r="V10" s="3">
        <f>IF(S10=0,0,IF(U10="",B10*T10/100,U10))</f>
        <v/>
      </c>
      <c r="W10" s="4" t="n"/>
      <c r="X10" s="5" t="n"/>
      <c r="Y10" s="3" t="n"/>
      <c r="Z10" s="3">
        <f>IF(W10=0,0,IF(Y10="",B10*X10/100,Y10))</f>
        <v/>
      </c>
      <c r="AA10" s="3" t="n"/>
      <c r="AB10" s="3" t="n"/>
      <c r="AC10" s="3">
        <f>B10*0.035</f>
        <v/>
      </c>
      <c r="AD10" s="3">
        <f>B10*0.065</f>
        <v/>
      </c>
      <c r="AE10" s="3">
        <f>SUM(B10,F10,J10,N10,R10,V10,Z10,AA10,AB10,AC10,AD10)</f>
        <v/>
      </c>
      <c r="AF10" s="3">
        <f>B10*0.055</f>
        <v/>
      </c>
      <c r="AG10" s="3">
        <f>B10*0.035</f>
        <v/>
      </c>
      <c r="AH10" s="3">
        <f>B10*0.165</f>
        <v/>
      </c>
      <c r="AI10" s="3">
        <f>MAX(0,AE10-AF10-AH10)</f>
        <v/>
      </c>
      <c r="AJ10" s="3">
        <f>IF(AI10&lt;=490,0,IF(AI10&lt;=600,(AI10-490)*0.05,IF(AI10&lt;=730,5.5+(AI10-600)*0.10,IF(AI10&lt;=3896.67,18.5+(AI10-730)*0.175,IF(AI10&lt;=19896.67,572.67+(AI10-3896.67)*0.25,IF(AI10&lt;=50416.67,4572.67+(AI10-19896.67)*0.30,13728.67+(AI10-50416.67)*0.35))))))</f>
        <v/>
      </c>
      <c r="AK10" s="3" t="n"/>
      <c r="AL10" s="3" t="n"/>
      <c r="AM10" s="3" t="n"/>
      <c r="AN10" s="3" t="n"/>
      <c r="AO10" s="3" t="n"/>
      <c r="AP10" s="3">
        <f>SUM(AF10,AJ10,AK10,AL10,AM10,AN10,AO10,AG10,AH10)</f>
        <v/>
      </c>
      <c r="AQ10" s="3">
        <f>AE10-AP10</f>
        <v/>
      </c>
      <c r="AR10" s="3" t="n"/>
      <c r="AS10" s="3" t="n"/>
      <c r="AT10" s="3">
        <f>AR10-AS10</f>
        <v/>
      </c>
    </row>
    <row r="11">
      <c r="A11" s="2" t="n"/>
      <c r="B11" s="3" t="n"/>
      <c r="C11" s="4" t="n"/>
      <c r="D11" s="5" t="n"/>
      <c r="E11" s="3" t="n"/>
      <c r="F11" s="3">
        <f>IF(C11=0,0,IF(E11="",B11*D11/100,E11))</f>
        <v/>
      </c>
      <c r="G11" s="4" t="n"/>
      <c r="H11" s="5" t="n"/>
      <c r="I11" s="3" t="n"/>
      <c r="J11" s="3">
        <f>IF(G11=0,0,IF(I11="",B11*H11/100,I11))</f>
        <v/>
      </c>
      <c r="K11" s="4" t="n"/>
      <c r="L11" s="5" t="n"/>
      <c r="M11" s="3" t="n"/>
      <c r="N11" s="3">
        <f>IF(K11=0,0,IF(M11="",B11*L11/100,M11))</f>
        <v/>
      </c>
      <c r="O11" s="4" t="n"/>
      <c r="P11" s="5" t="n"/>
      <c r="Q11" s="3" t="n"/>
      <c r="R11" s="3">
        <f>IF(O11=0,0,IF(Q11="",B11*P11/100,Q11))</f>
        <v/>
      </c>
      <c r="S11" s="4" t="n"/>
      <c r="T11" s="5" t="n"/>
      <c r="U11" s="3" t="n"/>
      <c r="V11" s="3">
        <f>IF(S11=0,0,IF(U11="",B11*T11/100,U11))</f>
        <v/>
      </c>
      <c r="W11" s="4" t="n"/>
      <c r="X11" s="5" t="n"/>
      <c r="Y11" s="3" t="n"/>
      <c r="Z11" s="3">
        <f>IF(W11=0,0,IF(Y11="",B11*X11/100,Y11))</f>
        <v/>
      </c>
      <c r="AA11" s="3" t="n"/>
      <c r="AB11" s="3" t="n"/>
      <c r="AC11" s="3">
        <f>B11*0.035</f>
        <v/>
      </c>
      <c r="AD11" s="3">
        <f>B11*0.065</f>
        <v/>
      </c>
      <c r="AE11" s="3">
        <f>SUM(B11,F11,J11,N11,R11,V11,Z11,AA11,AB11,AC11,AD11)</f>
        <v/>
      </c>
      <c r="AF11" s="3">
        <f>B11*0.055</f>
        <v/>
      </c>
      <c r="AG11" s="3">
        <f>B11*0.035</f>
        <v/>
      </c>
      <c r="AH11" s="3">
        <f>B11*0.165</f>
        <v/>
      </c>
      <c r="AI11" s="3">
        <f>MAX(0,AE11-AF11-AH11)</f>
        <v/>
      </c>
      <c r="AJ11" s="3">
        <f>IF(AI11&lt;=490,0,IF(AI11&lt;=600,(AI11-490)*0.05,IF(AI11&lt;=730,5.5+(AI11-600)*0.10,IF(AI11&lt;=3896.67,18.5+(AI11-730)*0.175,IF(AI11&lt;=19896.67,572.67+(AI11-3896.67)*0.25,IF(AI11&lt;=50416.67,4572.67+(AI11-19896.67)*0.30,13728.67+(AI11-50416.67)*0.35))))))</f>
        <v/>
      </c>
      <c r="AK11" s="3" t="n"/>
      <c r="AL11" s="3" t="n"/>
      <c r="AM11" s="3" t="n"/>
      <c r="AN11" s="3" t="n"/>
      <c r="AO11" s="3" t="n"/>
      <c r="AP11" s="3">
        <f>SUM(AF11,AJ11,AK11,AL11,AM11,AN11,AO11,AG11,AH11)</f>
        <v/>
      </c>
      <c r="AQ11" s="3">
        <f>AE11-AP11</f>
        <v/>
      </c>
      <c r="AR11" s="3" t="n"/>
      <c r="AS11" s="3" t="n"/>
      <c r="AT11" s="3">
        <f>AR11-AS11</f>
        <v/>
      </c>
    </row>
    <row r="12">
      <c r="A12" s="2" t="n"/>
      <c r="B12" s="3" t="n"/>
      <c r="C12" s="4" t="n"/>
      <c r="D12" s="5" t="n"/>
      <c r="E12" s="3" t="n"/>
      <c r="F12" s="3">
        <f>IF(C12=0,0,IF(E12="",B12*D12/100,E12))</f>
        <v/>
      </c>
      <c r="G12" s="4" t="n"/>
      <c r="H12" s="5" t="n"/>
      <c r="I12" s="3" t="n"/>
      <c r="J12" s="3">
        <f>IF(G12=0,0,IF(I12="",B12*H12/100,I12))</f>
        <v/>
      </c>
      <c r="K12" s="4" t="n"/>
      <c r="L12" s="5" t="n"/>
      <c r="M12" s="3" t="n"/>
      <c r="N12" s="3">
        <f>IF(K12=0,0,IF(M12="",B12*L12/100,M12))</f>
        <v/>
      </c>
      <c r="O12" s="4" t="n"/>
      <c r="P12" s="5" t="n"/>
      <c r="Q12" s="3" t="n"/>
      <c r="R12" s="3">
        <f>IF(O12=0,0,IF(Q12="",B12*P12/100,Q12))</f>
        <v/>
      </c>
      <c r="S12" s="4" t="n"/>
      <c r="T12" s="5" t="n"/>
      <c r="U12" s="3" t="n"/>
      <c r="V12" s="3">
        <f>IF(S12=0,0,IF(U12="",B12*T12/100,U12))</f>
        <v/>
      </c>
      <c r="W12" s="4" t="n"/>
      <c r="X12" s="5" t="n"/>
      <c r="Y12" s="3" t="n"/>
      <c r="Z12" s="3">
        <f>IF(W12=0,0,IF(Y12="",B12*X12/100,Y12))</f>
        <v/>
      </c>
      <c r="AA12" s="3" t="n"/>
      <c r="AB12" s="3" t="n"/>
      <c r="AC12" s="3">
        <f>B12*0.035</f>
        <v/>
      </c>
      <c r="AD12" s="3">
        <f>B12*0.065</f>
        <v/>
      </c>
      <c r="AE12" s="3">
        <f>SUM(B12,F12,J12,N12,R12,V12,Z12,AA12,AB12,AC12,AD12)</f>
        <v/>
      </c>
      <c r="AF12" s="3">
        <f>B12*0.055</f>
        <v/>
      </c>
      <c r="AG12" s="3">
        <f>B12*0.035</f>
        <v/>
      </c>
      <c r="AH12" s="3">
        <f>B12*0.165</f>
        <v/>
      </c>
      <c r="AI12" s="3">
        <f>MAX(0,AE12-AF12-AH12)</f>
        <v/>
      </c>
      <c r="AJ12" s="3">
        <f>IF(AI12&lt;=490,0,IF(AI12&lt;=600,(AI12-490)*0.05,IF(AI12&lt;=730,5.5+(AI12-600)*0.10,IF(AI12&lt;=3896.67,18.5+(AI12-730)*0.175,IF(AI12&lt;=19896.67,572.67+(AI12-3896.67)*0.25,IF(AI12&lt;=50416.67,4572.67+(AI12-19896.67)*0.30,13728.67+(AI12-50416.67)*0.35))))))</f>
        <v/>
      </c>
      <c r="AK12" s="3" t="n"/>
      <c r="AL12" s="3" t="n"/>
      <c r="AM12" s="3" t="n"/>
      <c r="AN12" s="3" t="n"/>
      <c r="AO12" s="3" t="n"/>
      <c r="AP12" s="3">
        <f>SUM(AF12,AJ12,AK12,AL12,AM12,AN12,AO12,AG12,AH12)</f>
        <v/>
      </c>
      <c r="AQ12" s="3">
        <f>AE12-AP12</f>
        <v/>
      </c>
      <c r="AR12" s="3" t="n"/>
      <c r="AS12" s="3" t="n"/>
      <c r="AT12" s="3">
        <f>AR12-AS12</f>
        <v/>
      </c>
    </row>
    <row r="13">
      <c r="A13" s="2" t="n"/>
      <c r="B13" s="3" t="n"/>
      <c r="C13" s="4" t="n"/>
      <c r="D13" s="5" t="n"/>
      <c r="E13" s="3" t="n"/>
      <c r="F13" s="3">
        <f>IF(C13=0,0,IF(E13="",B13*D13/100,E13))</f>
        <v/>
      </c>
      <c r="G13" s="4" t="n"/>
      <c r="H13" s="5" t="n"/>
      <c r="I13" s="3" t="n"/>
      <c r="J13" s="3">
        <f>IF(G13=0,0,IF(I13="",B13*H13/100,I13))</f>
        <v/>
      </c>
      <c r="K13" s="4" t="n"/>
      <c r="L13" s="5" t="n"/>
      <c r="M13" s="3" t="n"/>
      <c r="N13" s="3">
        <f>IF(K13=0,0,IF(M13="",B13*L13/100,M13))</f>
        <v/>
      </c>
      <c r="O13" s="4" t="n"/>
      <c r="P13" s="5" t="n"/>
      <c r="Q13" s="3" t="n"/>
      <c r="R13" s="3">
        <f>IF(O13=0,0,IF(Q13="",B13*P13/100,Q13))</f>
        <v/>
      </c>
      <c r="S13" s="4" t="n"/>
      <c r="T13" s="5" t="n"/>
      <c r="U13" s="3" t="n"/>
      <c r="V13" s="3">
        <f>IF(S13=0,0,IF(U13="",B13*T13/100,U13))</f>
        <v/>
      </c>
      <c r="W13" s="4" t="n"/>
      <c r="X13" s="5" t="n"/>
      <c r="Y13" s="3" t="n"/>
      <c r="Z13" s="3">
        <f>IF(W13=0,0,IF(Y13="",B13*X13/100,Y13))</f>
        <v/>
      </c>
      <c r="AA13" s="3" t="n"/>
      <c r="AB13" s="3" t="n"/>
      <c r="AC13" s="3">
        <f>B13*0.035</f>
        <v/>
      </c>
      <c r="AD13" s="3">
        <f>B13*0.065</f>
        <v/>
      </c>
      <c r="AE13" s="3">
        <f>SUM(B13,F13,J13,N13,R13,V13,Z13,AA13,AB13,AC13,AD13)</f>
        <v/>
      </c>
      <c r="AF13" s="3">
        <f>B13*0.055</f>
        <v/>
      </c>
      <c r="AG13" s="3">
        <f>B13*0.035</f>
        <v/>
      </c>
      <c r="AH13" s="3">
        <f>B13*0.165</f>
        <v/>
      </c>
      <c r="AI13" s="3">
        <f>MAX(0,AE13-AF13-AH13)</f>
        <v/>
      </c>
      <c r="AJ13" s="3">
        <f>IF(AI13&lt;=490,0,IF(AI13&lt;=600,(AI13-490)*0.05,IF(AI13&lt;=730,5.5+(AI13-600)*0.10,IF(AI13&lt;=3896.67,18.5+(AI13-730)*0.175,IF(AI13&lt;=19896.67,572.67+(AI13-3896.67)*0.25,IF(AI13&lt;=50416.67,4572.67+(AI13-19896.67)*0.30,13728.67+(AI13-50416.67)*0.35))))))</f>
        <v/>
      </c>
      <c r="AK13" s="3" t="n"/>
      <c r="AL13" s="3" t="n"/>
      <c r="AM13" s="3" t="n"/>
      <c r="AN13" s="3" t="n"/>
      <c r="AO13" s="3" t="n"/>
      <c r="AP13" s="3">
        <f>SUM(AF13,AJ13,AK13,AL13,AM13,AN13,AO13,AG13,AH13)</f>
        <v/>
      </c>
      <c r="AQ13" s="3">
        <f>AE13-AP13</f>
        <v/>
      </c>
      <c r="AR13" s="3" t="n"/>
      <c r="AS13" s="3" t="n"/>
      <c r="AT13" s="3">
        <f>AR13-AS13</f>
        <v/>
      </c>
    </row>
    <row r="14">
      <c r="A14" s="2" t="n"/>
      <c r="B14" s="3" t="n"/>
      <c r="C14" s="4" t="n"/>
      <c r="D14" s="5" t="n"/>
      <c r="E14" s="3" t="n"/>
      <c r="F14" s="3">
        <f>IF(C14=0,0,IF(E14="",B14*D14/100,E14))</f>
        <v/>
      </c>
      <c r="G14" s="4" t="n"/>
      <c r="H14" s="5" t="n"/>
      <c r="I14" s="3" t="n"/>
      <c r="J14" s="3">
        <f>IF(G14=0,0,IF(I14="",B14*H14/100,I14))</f>
        <v/>
      </c>
      <c r="K14" s="4" t="n"/>
      <c r="L14" s="5" t="n"/>
      <c r="M14" s="3" t="n"/>
      <c r="N14" s="3">
        <f>IF(K14=0,0,IF(M14="",B14*L14/100,M14))</f>
        <v/>
      </c>
      <c r="O14" s="4" t="n"/>
      <c r="P14" s="5" t="n"/>
      <c r="Q14" s="3" t="n"/>
      <c r="R14" s="3">
        <f>IF(O14=0,0,IF(Q14="",B14*P14/100,Q14))</f>
        <v/>
      </c>
      <c r="S14" s="4" t="n"/>
      <c r="T14" s="5" t="n"/>
      <c r="U14" s="3" t="n"/>
      <c r="V14" s="3">
        <f>IF(S14=0,0,IF(U14="",B14*T14/100,U14))</f>
        <v/>
      </c>
      <c r="W14" s="4" t="n"/>
      <c r="X14" s="5" t="n"/>
      <c r="Y14" s="3" t="n"/>
      <c r="Z14" s="3">
        <f>IF(W14=0,0,IF(Y14="",B14*X14/100,Y14))</f>
        <v/>
      </c>
      <c r="AA14" s="3" t="n"/>
      <c r="AB14" s="3" t="n"/>
      <c r="AC14" s="3">
        <f>B14*0.035</f>
        <v/>
      </c>
      <c r="AD14" s="3">
        <f>B14*0.065</f>
        <v/>
      </c>
      <c r="AE14" s="3">
        <f>SUM(B14,F14,J14,N14,R14,V14,Z14,AA14,AB14,AC14,AD14)</f>
        <v/>
      </c>
      <c r="AF14" s="3">
        <f>B14*0.055</f>
        <v/>
      </c>
      <c r="AG14" s="3">
        <f>B14*0.035</f>
        <v/>
      </c>
      <c r="AH14" s="3">
        <f>B14*0.165</f>
        <v/>
      </c>
      <c r="AI14" s="3">
        <f>MAX(0,AE14-AF14-AH14)</f>
        <v/>
      </c>
      <c r="AJ14" s="3">
        <f>IF(AI14&lt;=490,0,IF(AI14&lt;=600,(AI14-490)*0.05,IF(AI14&lt;=730,5.5+(AI14-600)*0.10,IF(AI14&lt;=3896.67,18.5+(AI14-730)*0.175,IF(AI14&lt;=19896.67,572.67+(AI14-3896.67)*0.25,IF(AI14&lt;=50416.67,4572.67+(AI14-19896.67)*0.30,13728.67+(AI14-50416.67)*0.35))))))</f>
        <v/>
      </c>
      <c r="AK14" s="3" t="n"/>
      <c r="AL14" s="3" t="n"/>
      <c r="AM14" s="3" t="n"/>
      <c r="AN14" s="3" t="n"/>
      <c r="AO14" s="3" t="n"/>
      <c r="AP14" s="3">
        <f>SUM(AF14,AJ14,AK14,AL14,AM14,AN14,AO14,AG14,AH14)</f>
        <v/>
      </c>
      <c r="AQ14" s="3">
        <f>AE14-AP14</f>
        <v/>
      </c>
      <c r="AR14" s="3" t="n"/>
      <c r="AS14" s="3" t="n"/>
      <c r="AT14" s="3">
        <f>AR14-AS14</f>
        <v/>
      </c>
    </row>
    <row r="15">
      <c r="A15" s="2" t="n"/>
      <c r="B15" s="3" t="n"/>
      <c r="C15" s="4" t="n"/>
      <c r="D15" s="5" t="n"/>
      <c r="E15" s="3" t="n"/>
      <c r="F15" s="3">
        <f>IF(C15=0,0,IF(E15="",B15*D15/100,E15))</f>
        <v/>
      </c>
      <c r="G15" s="4" t="n"/>
      <c r="H15" s="5" t="n"/>
      <c r="I15" s="3" t="n"/>
      <c r="J15" s="3">
        <f>IF(G15=0,0,IF(I15="",B15*H15/100,I15))</f>
        <v/>
      </c>
      <c r="K15" s="4" t="n"/>
      <c r="L15" s="5" t="n"/>
      <c r="M15" s="3" t="n"/>
      <c r="N15" s="3">
        <f>IF(K15=0,0,IF(M15="",B15*L15/100,M15))</f>
        <v/>
      </c>
      <c r="O15" s="4" t="n"/>
      <c r="P15" s="5" t="n"/>
      <c r="Q15" s="3" t="n"/>
      <c r="R15" s="3">
        <f>IF(O15=0,0,IF(Q15="",B15*P15/100,Q15))</f>
        <v/>
      </c>
      <c r="S15" s="4" t="n"/>
      <c r="T15" s="5" t="n"/>
      <c r="U15" s="3" t="n"/>
      <c r="V15" s="3">
        <f>IF(S15=0,0,IF(U15="",B15*T15/100,U15))</f>
        <v/>
      </c>
      <c r="W15" s="4" t="n"/>
      <c r="X15" s="5" t="n"/>
      <c r="Y15" s="3" t="n"/>
      <c r="Z15" s="3">
        <f>IF(W15=0,0,IF(Y15="",B15*X15/100,Y15))</f>
        <v/>
      </c>
      <c r="AA15" s="3" t="n"/>
      <c r="AB15" s="3" t="n"/>
      <c r="AC15" s="3">
        <f>B15*0.035</f>
        <v/>
      </c>
      <c r="AD15" s="3">
        <f>B15*0.065</f>
        <v/>
      </c>
      <c r="AE15" s="3">
        <f>SUM(B15,F15,J15,N15,R15,V15,Z15,AA15,AB15,AC15,AD15)</f>
        <v/>
      </c>
      <c r="AF15" s="3">
        <f>B15*0.055</f>
        <v/>
      </c>
      <c r="AG15" s="3">
        <f>B15*0.035</f>
        <v/>
      </c>
      <c r="AH15" s="3">
        <f>B15*0.165</f>
        <v/>
      </c>
      <c r="AI15" s="3">
        <f>MAX(0,AE15-AF15-AH15)</f>
        <v/>
      </c>
      <c r="AJ15" s="3">
        <f>IF(AI15&lt;=490,0,IF(AI15&lt;=600,(AI15-490)*0.05,IF(AI15&lt;=730,5.5+(AI15-600)*0.10,IF(AI15&lt;=3896.67,18.5+(AI15-730)*0.175,IF(AI15&lt;=19896.67,572.67+(AI15-3896.67)*0.25,IF(AI15&lt;=50416.67,4572.67+(AI15-19896.67)*0.30,13728.67+(AI15-50416.67)*0.35))))))</f>
        <v/>
      </c>
      <c r="AK15" s="3" t="n"/>
      <c r="AL15" s="3" t="n"/>
      <c r="AM15" s="3" t="n"/>
      <c r="AN15" s="3" t="n"/>
      <c r="AO15" s="3" t="n"/>
      <c r="AP15" s="3">
        <f>SUM(AF15,AJ15,AK15,AL15,AM15,AN15,AO15,AG15,AH15)</f>
        <v/>
      </c>
      <c r="AQ15" s="3">
        <f>AE15-AP15</f>
        <v/>
      </c>
      <c r="AR15" s="3" t="n"/>
      <c r="AS15" s="3" t="n"/>
      <c r="AT15" s="3">
        <f>AR15-AS15</f>
        <v/>
      </c>
    </row>
    <row r="16">
      <c r="A16" s="2" t="n"/>
      <c r="B16" s="3" t="n"/>
      <c r="C16" s="4" t="n"/>
      <c r="D16" s="5" t="n"/>
      <c r="E16" s="3" t="n"/>
      <c r="F16" s="3">
        <f>IF(C16=0,0,IF(E16="",B16*D16/100,E16))</f>
        <v/>
      </c>
      <c r="G16" s="4" t="n"/>
      <c r="H16" s="5" t="n"/>
      <c r="I16" s="3" t="n"/>
      <c r="J16" s="3">
        <f>IF(G16=0,0,IF(I16="",B16*H16/100,I16))</f>
        <v/>
      </c>
      <c r="K16" s="4" t="n"/>
      <c r="L16" s="5" t="n"/>
      <c r="M16" s="3" t="n"/>
      <c r="N16" s="3">
        <f>IF(K16=0,0,IF(M16="",B16*L16/100,M16))</f>
        <v/>
      </c>
      <c r="O16" s="4" t="n"/>
      <c r="P16" s="5" t="n"/>
      <c r="Q16" s="3" t="n"/>
      <c r="R16" s="3">
        <f>IF(O16=0,0,IF(Q16="",B16*P16/100,Q16))</f>
        <v/>
      </c>
      <c r="S16" s="4" t="n"/>
      <c r="T16" s="5" t="n"/>
      <c r="U16" s="3" t="n"/>
      <c r="V16" s="3">
        <f>IF(S16=0,0,IF(U16="",B16*T16/100,U16))</f>
        <v/>
      </c>
      <c r="W16" s="4" t="n"/>
      <c r="X16" s="5" t="n"/>
      <c r="Y16" s="3" t="n"/>
      <c r="Z16" s="3">
        <f>IF(W16=0,0,IF(Y16="",B16*X16/100,Y16))</f>
        <v/>
      </c>
      <c r="AA16" s="3" t="n"/>
      <c r="AB16" s="3" t="n"/>
      <c r="AC16" s="3">
        <f>B16*0.035</f>
        <v/>
      </c>
      <c r="AD16" s="3">
        <f>B16*0.065</f>
        <v/>
      </c>
      <c r="AE16" s="3">
        <f>SUM(B16,F16,J16,N16,R16,V16,Z16,AA16,AB16,AC16,AD16)</f>
        <v/>
      </c>
      <c r="AF16" s="3">
        <f>B16*0.055</f>
        <v/>
      </c>
      <c r="AG16" s="3">
        <f>B16*0.035</f>
        <v/>
      </c>
      <c r="AH16" s="3">
        <f>B16*0.165</f>
        <v/>
      </c>
      <c r="AI16" s="3">
        <f>MAX(0,AE16-AF16-AH16)</f>
        <v/>
      </c>
      <c r="AJ16" s="3">
        <f>IF(AI16&lt;=490,0,IF(AI16&lt;=600,(AI16-490)*0.05,IF(AI16&lt;=730,5.5+(AI16-600)*0.10,IF(AI16&lt;=3896.67,18.5+(AI16-730)*0.175,IF(AI16&lt;=19896.67,572.67+(AI16-3896.67)*0.25,IF(AI16&lt;=50416.67,4572.67+(AI16-19896.67)*0.30,13728.67+(AI16-50416.67)*0.35))))))</f>
        <v/>
      </c>
      <c r="AK16" s="3" t="n"/>
      <c r="AL16" s="3" t="n"/>
      <c r="AM16" s="3" t="n"/>
      <c r="AN16" s="3" t="n"/>
      <c r="AO16" s="3" t="n"/>
      <c r="AP16" s="3">
        <f>SUM(AF16,AJ16,AK16,AL16,AM16,AN16,AO16,AG16,AH16)</f>
        <v/>
      </c>
      <c r="AQ16" s="3">
        <f>AE16-AP16</f>
        <v/>
      </c>
      <c r="AR16" s="3" t="n"/>
      <c r="AS16" s="3" t="n"/>
      <c r="AT16" s="3">
        <f>AR16-AS16</f>
        <v/>
      </c>
    </row>
    <row r="17">
      <c r="A17" s="2" t="n"/>
      <c r="B17" s="3" t="n"/>
      <c r="C17" s="4" t="n"/>
      <c r="D17" s="5" t="n"/>
      <c r="E17" s="3" t="n"/>
      <c r="F17" s="3">
        <f>IF(C17=0,0,IF(E17="",B17*D17/100,E17))</f>
        <v/>
      </c>
      <c r="G17" s="4" t="n"/>
      <c r="H17" s="5" t="n"/>
      <c r="I17" s="3" t="n"/>
      <c r="J17" s="3">
        <f>IF(G17=0,0,IF(I17="",B17*H17/100,I17))</f>
        <v/>
      </c>
      <c r="K17" s="4" t="n"/>
      <c r="L17" s="5" t="n"/>
      <c r="M17" s="3" t="n"/>
      <c r="N17" s="3">
        <f>IF(K17=0,0,IF(M17="",B17*L17/100,M17))</f>
        <v/>
      </c>
      <c r="O17" s="4" t="n"/>
      <c r="P17" s="5" t="n"/>
      <c r="Q17" s="3" t="n"/>
      <c r="R17" s="3">
        <f>IF(O17=0,0,IF(Q17="",B17*P17/100,Q17))</f>
        <v/>
      </c>
      <c r="S17" s="4" t="n"/>
      <c r="T17" s="5" t="n"/>
      <c r="U17" s="3" t="n"/>
      <c r="V17" s="3">
        <f>IF(S17=0,0,IF(U17="",B17*T17/100,U17))</f>
        <v/>
      </c>
      <c r="W17" s="4" t="n"/>
      <c r="X17" s="5" t="n"/>
      <c r="Y17" s="3" t="n"/>
      <c r="Z17" s="3">
        <f>IF(W17=0,0,IF(Y17="",B17*X17/100,Y17))</f>
        <v/>
      </c>
      <c r="AA17" s="3" t="n"/>
      <c r="AB17" s="3" t="n"/>
      <c r="AC17" s="3">
        <f>B17*0.035</f>
        <v/>
      </c>
      <c r="AD17" s="3">
        <f>B17*0.065</f>
        <v/>
      </c>
      <c r="AE17" s="3">
        <f>SUM(B17,F17,J17,N17,R17,V17,Z17,AA17,AB17,AC17,AD17)</f>
        <v/>
      </c>
      <c r="AF17" s="3">
        <f>B17*0.055</f>
        <v/>
      </c>
      <c r="AG17" s="3">
        <f>B17*0.035</f>
        <v/>
      </c>
      <c r="AH17" s="3">
        <f>B17*0.165</f>
        <v/>
      </c>
      <c r="AI17" s="3">
        <f>MAX(0,AE17-AF17-AH17)</f>
        <v/>
      </c>
      <c r="AJ17" s="3">
        <f>IF(AI17&lt;=490,0,IF(AI17&lt;=600,(AI17-490)*0.05,IF(AI17&lt;=730,5.5+(AI17-600)*0.10,IF(AI17&lt;=3896.67,18.5+(AI17-730)*0.175,IF(AI17&lt;=19896.67,572.67+(AI17-3896.67)*0.25,IF(AI17&lt;=50416.67,4572.67+(AI17-19896.67)*0.30,13728.67+(AI17-50416.67)*0.35))))))</f>
        <v/>
      </c>
      <c r="AK17" s="3" t="n"/>
      <c r="AL17" s="3" t="n"/>
      <c r="AM17" s="3" t="n"/>
      <c r="AN17" s="3" t="n"/>
      <c r="AO17" s="3" t="n"/>
      <c r="AP17" s="3">
        <f>SUM(AF17,AJ17,AK17,AL17,AM17,AN17,AO17,AG17,AH17)</f>
        <v/>
      </c>
      <c r="AQ17" s="3">
        <f>AE17-AP17</f>
        <v/>
      </c>
      <c r="AR17" s="3" t="n"/>
      <c r="AS17" s="3" t="n"/>
      <c r="AT17" s="3">
        <f>AR17-AS17</f>
        <v/>
      </c>
    </row>
    <row r="18">
      <c r="A18" s="2" t="n"/>
      <c r="B18" s="3" t="n"/>
      <c r="C18" s="4" t="n"/>
      <c r="D18" s="5" t="n"/>
      <c r="E18" s="3" t="n"/>
      <c r="F18" s="3">
        <f>IF(C18=0,0,IF(E18="",B18*D18/100,E18))</f>
        <v/>
      </c>
      <c r="G18" s="4" t="n"/>
      <c r="H18" s="5" t="n"/>
      <c r="I18" s="3" t="n"/>
      <c r="J18" s="3">
        <f>IF(G18=0,0,IF(I18="",B18*H18/100,I18))</f>
        <v/>
      </c>
      <c r="K18" s="4" t="n"/>
      <c r="L18" s="5" t="n"/>
      <c r="M18" s="3" t="n"/>
      <c r="N18" s="3">
        <f>IF(K18=0,0,IF(M18="",B18*L18/100,M18))</f>
        <v/>
      </c>
      <c r="O18" s="4" t="n"/>
      <c r="P18" s="5" t="n"/>
      <c r="Q18" s="3" t="n"/>
      <c r="R18" s="3">
        <f>IF(O18=0,0,IF(Q18="",B18*P18/100,Q18))</f>
        <v/>
      </c>
      <c r="S18" s="4" t="n"/>
      <c r="T18" s="5" t="n"/>
      <c r="U18" s="3" t="n"/>
      <c r="V18" s="3">
        <f>IF(S18=0,0,IF(U18="",B18*T18/100,U18))</f>
        <v/>
      </c>
      <c r="W18" s="4" t="n"/>
      <c r="X18" s="5" t="n"/>
      <c r="Y18" s="3" t="n"/>
      <c r="Z18" s="3">
        <f>IF(W18=0,0,IF(Y18="",B18*X18/100,Y18))</f>
        <v/>
      </c>
      <c r="AA18" s="3" t="n"/>
      <c r="AB18" s="3" t="n"/>
      <c r="AC18" s="3">
        <f>B18*0.035</f>
        <v/>
      </c>
      <c r="AD18" s="3">
        <f>B18*0.065</f>
        <v/>
      </c>
      <c r="AE18" s="3">
        <f>SUM(B18,F18,J18,N18,R18,V18,Z18,AA18,AB18,AC18,AD18)</f>
        <v/>
      </c>
      <c r="AF18" s="3">
        <f>B18*0.055</f>
        <v/>
      </c>
      <c r="AG18" s="3">
        <f>B18*0.035</f>
        <v/>
      </c>
      <c r="AH18" s="3">
        <f>B18*0.165</f>
        <v/>
      </c>
      <c r="AI18" s="3">
        <f>MAX(0,AE18-AF18-AH18)</f>
        <v/>
      </c>
      <c r="AJ18" s="3">
        <f>IF(AI18&lt;=490,0,IF(AI18&lt;=600,(AI18-490)*0.05,IF(AI18&lt;=730,5.5+(AI18-600)*0.10,IF(AI18&lt;=3896.67,18.5+(AI18-730)*0.175,IF(AI18&lt;=19896.67,572.67+(AI18-3896.67)*0.25,IF(AI18&lt;=50416.67,4572.67+(AI18-19896.67)*0.30,13728.67+(AI18-50416.67)*0.35))))))</f>
        <v/>
      </c>
      <c r="AK18" s="3" t="n"/>
      <c r="AL18" s="3" t="n"/>
      <c r="AM18" s="3" t="n"/>
      <c r="AN18" s="3" t="n"/>
      <c r="AO18" s="3" t="n"/>
      <c r="AP18" s="3">
        <f>SUM(AF18,AJ18,AK18,AL18,AM18,AN18,AO18,AG18,AH18)</f>
        <v/>
      </c>
      <c r="AQ18" s="3">
        <f>AE18-AP18</f>
        <v/>
      </c>
      <c r="AR18" s="3" t="n"/>
      <c r="AS18" s="3" t="n"/>
      <c r="AT18" s="3">
        <f>AR18-AS18</f>
        <v/>
      </c>
    </row>
    <row r="19">
      <c r="A19" s="2" t="n"/>
      <c r="B19" s="3" t="n"/>
      <c r="C19" s="4" t="n"/>
      <c r="D19" s="5" t="n"/>
      <c r="E19" s="3" t="n"/>
      <c r="F19" s="3">
        <f>IF(C19=0,0,IF(E19="",B19*D19/100,E19))</f>
        <v/>
      </c>
      <c r="G19" s="4" t="n"/>
      <c r="H19" s="5" t="n"/>
      <c r="I19" s="3" t="n"/>
      <c r="J19" s="3">
        <f>IF(G19=0,0,IF(I19="",B19*H19/100,I19))</f>
        <v/>
      </c>
      <c r="K19" s="4" t="n"/>
      <c r="L19" s="5" t="n"/>
      <c r="M19" s="3" t="n"/>
      <c r="N19" s="3">
        <f>IF(K19=0,0,IF(M19="",B19*L19/100,M19))</f>
        <v/>
      </c>
      <c r="O19" s="4" t="n"/>
      <c r="P19" s="5" t="n"/>
      <c r="Q19" s="3" t="n"/>
      <c r="R19" s="3">
        <f>IF(O19=0,0,IF(Q19="",B19*P19/100,Q19))</f>
        <v/>
      </c>
      <c r="S19" s="4" t="n"/>
      <c r="T19" s="5" t="n"/>
      <c r="U19" s="3" t="n"/>
      <c r="V19" s="3">
        <f>IF(S19=0,0,IF(U19="",B19*T19/100,U19))</f>
        <v/>
      </c>
      <c r="W19" s="4" t="n"/>
      <c r="X19" s="5" t="n"/>
      <c r="Y19" s="3" t="n"/>
      <c r="Z19" s="3">
        <f>IF(W19=0,0,IF(Y19="",B19*X19/100,Y19))</f>
        <v/>
      </c>
      <c r="AA19" s="3" t="n"/>
      <c r="AB19" s="3" t="n"/>
      <c r="AC19" s="3">
        <f>B19*0.035</f>
        <v/>
      </c>
      <c r="AD19" s="3">
        <f>B19*0.065</f>
        <v/>
      </c>
      <c r="AE19" s="3">
        <f>SUM(B19,F19,J19,N19,R19,V19,Z19,AA19,AB19,AC19,AD19)</f>
        <v/>
      </c>
      <c r="AF19" s="3">
        <f>B19*0.055</f>
        <v/>
      </c>
      <c r="AG19" s="3">
        <f>B19*0.035</f>
        <v/>
      </c>
      <c r="AH19" s="3">
        <f>B19*0.165</f>
        <v/>
      </c>
      <c r="AI19" s="3">
        <f>MAX(0,AE19-AF19-AH19)</f>
        <v/>
      </c>
      <c r="AJ19" s="3">
        <f>IF(AI19&lt;=490,0,IF(AI19&lt;=600,(AI19-490)*0.05,IF(AI19&lt;=730,5.5+(AI19-600)*0.10,IF(AI19&lt;=3896.67,18.5+(AI19-730)*0.175,IF(AI19&lt;=19896.67,572.67+(AI19-3896.67)*0.25,IF(AI19&lt;=50416.67,4572.67+(AI19-19896.67)*0.30,13728.67+(AI19-50416.67)*0.35))))))</f>
        <v/>
      </c>
      <c r="AK19" s="3" t="n"/>
      <c r="AL19" s="3" t="n"/>
      <c r="AM19" s="3" t="n"/>
      <c r="AN19" s="3" t="n"/>
      <c r="AO19" s="3" t="n"/>
      <c r="AP19" s="3">
        <f>SUM(AF19,AJ19,AK19,AL19,AM19,AN19,AO19,AG19,AH19)</f>
        <v/>
      </c>
      <c r="AQ19" s="3">
        <f>AE19-AP19</f>
        <v/>
      </c>
      <c r="AR19" s="3" t="n"/>
      <c r="AS19" s="3" t="n"/>
      <c r="AT19" s="3">
        <f>AR19-AS19</f>
        <v/>
      </c>
    </row>
    <row r="20">
      <c r="A20" s="2" t="n"/>
      <c r="B20" s="3" t="n"/>
      <c r="C20" s="4" t="n"/>
      <c r="D20" s="5" t="n"/>
      <c r="E20" s="3" t="n"/>
      <c r="F20" s="3">
        <f>IF(C20=0,0,IF(E20="",B20*D20/100,E20))</f>
        <v/>
      </c>
      <c r="G20" s="4" t="n"/>
      <c r="H20" s="5" t="n"/>
      <c r="I20" s="3" t="n"/>
      <c r="J20" s="3">
        <f>IF(G20=0,0,IF(I20="",B20*H20/100,I20))</f>
        <v/>
      </c>
      <c r="K20" s="4" t="n"/>
      <c r="L20" s="5" t="n"/>
      <c r="M20" s="3" t="n"/>
      <c r="N20" s="3">
        <f>IF(K20=0,0,IF(M20="",B20*L20/100,M20))</f>
        <v/>
      </c>
      <c r="O20" s="4" t="n"/>
      <c r="P20" s="5" t="n"/>
      <c r="Q20" s="3" t="n"/>
      <c r="R20" s="3">
        <f>IF(O20=0,0,IF(Q20="",B20*P20/100,Q20))</f>
        <v/>
      </c>
      <c r="S20" s="4" t="n"/>
      <c r="T20" s="5" t="n"/>
      <c r="U20" s="3" t="n"/>
      <c r="V20" s="3">
        <f>IF(S20=0,0,IF(U20="",B20*T20/100,U20))</f>
        <v/>
      </c>
      <c r="W20" s="4" t="n"/>
      <c r="X20" s="5" t="n"/>
      <c r="Y20" s="3" t="n"/>
      <c r="Z20" s="3">
        <f>IF(W20=0,0,IF(Y20="",B20*X20/100,Y20))</f>
        <v/>
      </c>
      <c r="AA20" s="3" t="n"/>
      <c r="AB20" s="3" t="n"/>
      <c r="AC20" s="3">
        <f>B20*0.035</f>
        <v/>
      </c>
      <c r="AD20" s="3">
        <f>B20*0.065</f>
        <v/>
      </c>
      <c r="AE20" s="3">
        <f>SUM(B20,F20,J20,N20,R20,V20,Z20,AA20,AB20,AC20,AD20)</f>
        <v/>
      </c>
      <c r="AF20" s="3">
        <f>B20*0.055</f>
        <v/>
      </c>
      <c r="AG20" s="3">
        <f>B20*0.035</f>
        <v/>
      </c>
      <c r="AH20" s="3">
        <f>B20*0.165</f>
        <v/>
      </c>
      <c r="AI20" s="3">
        <f>MAX(0,AE20-AF20-AH20)</f>
        <v/>
      </c>
      <c r="AJ20" s="3">
        <f>IF(AI20&lt;=490,0,IF(AI20&lt;=600,(AI20-490)*0.05,IF(AI20&lt;=730,5.5+(AI20-600)*0.10,IF(AI20&lt;=3896.67,18.5+(AI20-730)*0.175,IF(AI20&lt;=19896.67,572.67+(AI20-3896.67)*0.25,IF(AI20&lt;=50416.67,4572.67+(AI20-19896.67)*0.30,13728.67+(AI20-50416.67)*0.35))))))</f>
        <v/>
      </c>
      <c r="AK20" s="3" t="n"/>
      <c r="AL20" s="3" t="n"/>
      <c r="AM20" s="3" t="n"/>
      <c r="AN20" s="3" t="n"/>
      <c r="AO20" s="3" t="n"/>
      <c r="AP20" s="3">
        <f>SUM(AF20,AJ20,AK20,AL20,AM20,AN20,AO20,AG20,AH20)</f>
        <v/>
      </c>
      <c r="AQ20" s="3">
        <f>AE20-AP20</f>
        <v/>
      </c>
      <c r="AR20" s="3" t="n"/>
      <c r="AS20" s="3" t="n"/>
      <c r="AT20" s="3">
        <f>AR20-AS20</f>
        <v/>
      </c>
    </row>
    <row r="21">
      <c r="A21" s="2" t="n"/>
      <c r="B21" s="3" t="n"/>
      <c r="C21" s="4" t="n"/>
      <c r="D21" s="5" t="n"/>
      <c r="E21" s="3" t="n"/>
      <c r="F21" s="3">
        <f>IF(C21=0,0,IF(E21="",B21*D21/100,E21))</f>
        <v/>
      </c>
      <c r="G21" s="4" t="n"/>
      <c r="H21" s="5" t="n"/>
      <c r="I21" s="3" t="n"/>
      <c r="J21" s="3">
        <f>IF(G21=0,0,IF(I21="",B21*H21/100,I21))</f>
        <v/>
      </c>
      <c r="K21" s="4" t="n"/>
      <c r="L21" s="5" t="n"/>
      <c r="M21" s="3" t="n"/>
      <c r="N21" s="3">
        <f>IF(K21=0,0,IF(M21="",B21*L21/100,M21))</f>
        <v/>
      </c>
      <c r="O21" s="4" t="n"/>
      <c r="P21" s="5" t="n"/>
      <c r="Q21" s="3" t="n"/>
      <c r="R21" s="3">
        <f>IF(O21=0,0,IF(Q21="",B21*P21/100,Q21))</f>
        <v/>
      </c>
      <c r="S21" s="4" t="n"/>
      <c r="T21" s="5" t="n"/>
      <c r="U21" s="3" t="n"/>
      <c r="V21" s="3">
        <f>IF(S21=0,0,IF(U21="",B21*T21/100,U21))</f>
        <v/>
      </c>
      <c r="W21" s="4" t="n"/>
      <c r="X21" s="5" t="n"/>
      <c r="Y21" s="3" t="n"/>
      <c r="Z21" s="3">
        <f>IF(W21=0,0,IF(Y21="",B21*X21/100,Y21))</f>
        <v/>
      </c>
      <c r="AA21" s="3" t="n"/>
      <c r="AB21" s="3" t="n"/>
      <c r="AC21" s="3">
        <f>B21*0.035</f>
        <v/>
      </c>
      <c r="AD21" s="3">
        <f>B21*0.065</f>
        <v/>
      </c>
      <c r="AE21" s="3">
        <f>SUM(B21,F21,J21,N21,R21,V21,Z21,AA21,AB21,AC21,AD21)</f>
        <v/>
      </c>
      <c r="AF21" s="3">
        <f>B21*0.055</f>
        <v/>
      </c>
      <c r="AG21" s="3">
        <f>B21*0.035</f>
        <v/>
      </c>
      <c r="AH21" s="3">
        <f>B21*0.165</f>
        <v/>
      </c>
      <c r="AI21" s="3">
        <f>MAX(0,AE21-AF21-AH21)</f>
        <v/>
      </c>
      <c r="AJ21" s="3">
        <f>IF(AI21&lt;=490,0,IF(AI21&lt;=600,(AI21-490)*0.05,IF(AI21&lt;=730,5.5+(AI21-600)*0.10,IF(AI21&lt;=3896.67,18.5+(AI21-730)*0.175,IF(AI21&lt;=19896.67,572.67+(AI21-3896.67)*0.25,IF(AI21&lt;=50416.67,4572.67+(AI21-19896.67)*0.30,13728.67+(AI21-50416.67)*0.35))))))</f>
        <v/>
      </c>
      <c r="AK21" s="3" t="n"/>
      <c r="AL21" s="3" t="n"/>
      <c r="AM21" s="3" t="n"/>
      <c r="AN21" s="3" t="n"/>
      <c r="AO21" s="3" t="n"/>
      <c r="AP21" s="3">
        <f>SUM(AF21,AJ21,AK21,AL21,AM21,AN21,AO21,AG21,AH21)</f>
        <v/>
      </c>
      <c r="AQ21" s="3">
        <f>AE21-AP21</f>
        <v/>
      </c>
      <c r="AR21" s="3" t="n"/>
      <c r="AS21" s="3" t="n"/>
      <c r="AT21" s="3">
        <f>AR21-AS21</f>
        <v/>
      </c>
    </row>
    <row r="22">
      <c r="A22" s="2" t="n"/>
      <c r="B22" s="3" t="n"/>
      <c r="C22" s="4" t="n"/>
      <c r="D22" s="5" t="n"/>
      <c r="E22" s="3" t="n"/>
      <c r="F22" s="3">
        <f>IF(C22=0,0,IF(E22="",B22*D22/100,E22))</f>
        <v/>
      </c>
      <c r="G22" s="4" t="n"/>
      <c r="H22" s="5" t="n"/>
      <c r="I22" s="3" t="n"/>
      <c r="J22" s="3">
        <f>IF(G22=0,0,IF(I22="",B22*H22/100,I22))</f>
        <v/>
      </c>
      <c r="K22" s="4" t="n"/>
      <c r="L22" s="5" t="n"/>
      <c r="M22" s="3" t="n"/>
      <c r="N22" s="3">
        <f>IF(K22=0,0,IF(M22="",B22*L22/100,M22))</f>
        <v/>
      </c>
      <c r="O22" s="4" t="n"/>
      <c r="P22" s="5" t="n"/>
      <c r="Q22" s="3" t="n"/>
      <c r="R22" s="3">
        <f>IF(O22=0,0,IF(Q22="",B22*P22/100,Q22))</f>
        <v/>
      </c>
      <c r="S22" s="4" t="n"/>
      <c r="T22" s="5" t="n"/>
      <c r="U22" s="3" t="n"/>
      <c r="V22" s="3">
        <f>IF(S22=0,0,IF(U22="",B22*T22/100,U22))</f>
        <v/>
      </c>
      <c r="W22" s="4" t="n"/>
      <c r="X22" s="5" t="n"/>
      <c r="Y22" s="3" t="n"/>
      <c r="Z22" s="3">
        <f>IF(W22=0,0,IF(Y22="",B22*X22/100,Y22))</f>
        <v/>
      </c>
      <c r="AA22" s="3" t="n"/>
      <c r="AB22" s="3" t="n"/>
      <c r="AC22" s="3">
        <f>B22*0.035</f>
        <v/>
      </c>
      <c r="AD22" s="3">
        <f>B22*0.065</f>
        <v/>
      </c>
      <c r="AE22" s="3">
        <f>SUM(B22,F22,J22,N22,R22,V22,Z22,AA22,AB22,AC22,AD22)</f>
        <v/>
      </c>
      <c r="AF22" s="3">
        <f>B22*0.055</f>
        <v/>
      </c>
      <c r="AG22" s="3">
        <f>B22*0.035</f>
        <v/>
      </c>
      <c r="AH22" s="3">
        <f>B22*0.165</f>
        <v/>
      </c>
      <c r="AI22" s="3">
        <f>MAX(0,AE22-AF22-AH22)</f>
        <v/>
      </c>
      <c r="AJ22" s="3">
        <f>IF(AI22&lt;=490,0,IF(AI22&lt;=600,(AI22-490)*0.05,IF(AI22&lt;=730,5.5+(AI22-600)*0.10,IF(AI22&lt;=3896.67,18.5+(AI22-730)*0.175,IF(AI22&lt;=19896.67,572.67+(AI22-3896.67)*0.25,IF(AI22&lt;=50416.67,4572.67+(AI22-19896.67)*0.30,13728.67+(AI22-50416.67)*0.35))))))</f>
        <v/>
      </c>
      <c r="AK22" s="3" t="n"/>
      <c r="AL22" s="3" t="n"/>
      <c r="AM22" s="3" t="n"/>
      <c r="AN22" s="3" t="n"/>
      <c r="AO22" s="3" t="n"/>
      <c r="AP22" s="3">
        <f>SUM(AF22,AJ22,AK22,AL22,AM22,AN22,AO22,AG22,AH22)</f>
        <v/>
      </c>
      <c r="AQ22" s="3">
        <f>AE22-AP22</f>
        <v/>
      </c>
      <c r="AR22" s="3" t="n"/>
      <c r="AS22" s="3" t="n"/>
      <c r="AT22" s="3">
        <f>AR22-AS22</f>
        <v/>
      </c>
    </row>
    <row r="23">
      <c r="A23" s="2" t="n"/>
      <c r="B23" s="3" t="n"/>
      <c r="C23" s="4" t="n"/>
      <c r="D23" s="5" t="n"/>
      <c r="E23" s="3" t="n"/>
      <c r="F23" s="3">
        <f>IF(C23=0,0,IF(E23="",B23*D23/100,E23))</f>
        <v/>
      </c>
      <c r="G23" s="4" t="n"/>
      <c r="H23" s="5" t="n"/>
      <c r="I23" s="3" t="n"/>
      <c r="J23" s="3">
        <f>IF(G23=0,0,IF(I23="",B23*H23/100,I23))</f>
        <v/>
      </c>
      <c r="K23" s="4" t="n"/>
      <c r="L23" s="5" t="n"/>
      <c r="M23" s="3" t="n"/>
      <c r="N23" s="3">
        <f>IF(K23=0,0,IF(M23="",B23*L23/100,M23))</f>
        <v/>
      </c>
      <c r="O23" s="4" t="n"/>
      <c r="P23" s="5" t="n"/>
      <c r="Q23" s="3" t="n"/>
      <c r="R23" s="3">
        <f>IF(O23=0,0,IF(Q23="",B23*P23/100,Q23))</f>
        <v/>
      </c>
      <c r="S23" s="4" t="n"/>
      <c r="T23" s="5" t="n"/>
      <c r="U23" s="3" t="n"/>
      <c r="V23" s="3">
        <f>IF(S23=0,0,IF(U23="",B23*T23/100,U23))</f>
        <v/>
      </c>
      <c r="W23" s="4" t="n"/>
      <c r="X23" s="5" t="n"/>
      <c r="Y23" s="3" t="n"/>
      <c r="Z23" s="3">
        <f>IF(W23=0,0,IF(Y23="",B23*X23/100,Y23))</f>
        <v/>
      </c>
      <c r="AA23" s="3" t="n"/>
      <c r="AB23" s="3" t="n"/>
      <c r="AC23" s="3">
        <f>B23*0.035</f>
        <v/>
      </c>
      <c r="AD23" s="3">
        <f>B23*0.065</f>
        <v/>
      </c>
      <c r="AE23" s="3">
        <f>SUM(B23,F23,J23,N23,R23,V23,Z23,AA23,AB23,AC23,AD23)</f>
        <v/>
      </c>
      <c r="AF23" s="3">
        <f>B23*0.055</f>
        <v/>
      </c>
      <c r="AG23" s="3">
        <f>B23*0.035</f>
        <v/>
      </c>
      <c r="AH23" s="3">
        <f>B23*0.165</f>
        <v/>
      </c>
      <c r="AI23" s="3">
        <f>MAX(0,AE23-AF23-AH23)</f>
        <v/>
      </c>
      <c r="AJ23" s="3">
        <f>IF(AI23&lt;=490,0,IF(AI23&lt;=600,(AI23-490)*0.05,IF(AI23&lt;=730,5.5+(AI23-600)*0.10,IF(AI23&lt;=3896.67,18.5+(AI23-730)*0.175,IF(AI23&lt;=19896.67,572.67+(AI23-3896.67)*0.25,IF(AI23&lt;=50416.67,4572.67+(AI23-19896.67)*0.30,13728.67+(AI23-50416.67)*0.35))))))</f>
        <v/>
      </c>
      <c r="AK23" s="3" t="n"/>
      <c r="AL23" s="3" t="n"/>
      <c r="AM23" s="3" t="n"/>
      <c r="AN23" s="3" t="n"/>
      <c r="AO23" s="3" t="n"/>
      <c r="AP23" s="3">
        <f>SUM(AF23,AJ23,AK23,AL23,AM23,AN23,AO23,AG23,AH23)</f>
        <v/>
      </c>
      <c r="AQ23" s="3">
        <f>AE23-AP23</f>
        <v/>
      </c>
      <c r="AR23" s="3" t="n"/>
      <c r="AS23" s="3" t="n"/>
      <c r="AT23" s="3">
        <f>AR23-AS23</f>
        <v/>
      </c>
    </row>
    <row r="24">
      <c r="A24" s="2" t="n"/>
      <c r="B24" s="3" t="n"/>
      <c r="C24" s="4" t="n"/>
      <c r="D24" s="5" t="n"/>
      <c r="E24" s="3" t="n"/>
      <c r="F24" s="3">
        <f>IF(C24=0,0,IF(E24="",B24*D24/100,E24))</f>
        <v/>
      </c>
      <c r="G24" s="4" t="n"/>
      <c r="H24" s="5" t="n"/>
      <c r="I24" s="3" t="n"/>
      <c r="J24" s="3">
        <f>IF(G24=0,0,IF(I24="",B24*H24/100,I24))</f>
        <v/>
      </c>
      <c r="K24" s="4" t="n"/>
      <c r="L24" s="5" t="n"/>
      <c r="M24" s="3" t="n"/>
      <c r="N24" s="3">
        <f>IF(K24=0,0,IF(M24="",B24*L24/100,M24))</f>
        <v/>
      </c>
      <c r="O24" s="4" t="n"/>
      <c r="P24" s="5" t="n"/>
      <c r="Q24" s="3" t="n"/>
      <c r="R24" s="3">
        <f>IF(O24=0,0,IF(Q24="",B24*P24/100,Q24))</f>
        <v/>
      </c>
      <c r="S24" s="4" t="n"/>
      <c r="T24" s="5" t="n"/>
      <c r="U24" s="3" t="n"/>
      <c r="V24" s="3">
        <f>IF(S24=0,0,IF(U24="",B24*T24/100,U24))</f>
        <v/>
      </c>
      <c r="W24" s="4" t="n"/>
      <c r="X24" s="5" t="n"/>
      <c r="Y24" s="3" t="n"/>
      <c r="Z24" s="3">
        <f>IF(W24=0,0,IF(Y24="",B24*X24/100,Y24))</f>
        <v/>
      </c>
      <c r="AA24" s="3" t="n"/>
      <c r="AB24" s="3" t="n"/>
      <c r="AC24" s="3">
        <f>B24*0.035</f>
        <v/>
      </c>
      <c r="AD24" s="3">
        <f>B24*0.065</f>
        <v/>
      </c>
      <c r="AE24" s="3">
        <f>SUM(B24,F24,J24,N24,R24,V24,Z24,AA24,AB24,AC24,AD24)</f>
        <v/>
      </c>
      <c r="AF24" s="3">
        <f>B24*0.055</f>
        <v/>
      </c>
      <c r="AG24" s="3">
        <f>B24*0.035</f>
        <v/>
      </c>
      <c r="AH24" s="3">
        <f>B24*0.165</f>
        <v/>
      </c>
      <c r="AI24" s="3">
        <f>MAX(0,AE24-AF24-AH24)</f>
        <v/>
      </c>
      <c r="AJ24" s="3">
        <f>IF(AI24&lt;=490,0,IF(AI24&lt;=600,(AI24-490)*0.05,IF(AI24&lt;=730,5.5+(AI24-600)*0.10,IF(AI24&lt;=3896.67,18.5+(AI24-730)*0.175,IF(AI24&lt;=19896.67,572.67+(AI24-3896.67)*0.25,IF(AI24&lt;=50416.67,4572.67+(AI24-19896.67)*0.30,13728.67+(AI24-50416.67)*0.35))))))</f>
        <v/>
      </c>
      <c r="AK24" s="3" t="n"/>
      <c r="AL24" s="3" t="n"/>
      <c r="AM24" s="3" t="n"/>
      <c r="AN24" s="3" t="n"/>
      <c r="AO24" s="3" t="n"/>
      <c r="AP24" s="3">
        <f>SUM(AF24,AJ24,AK24,AL24,AM24,AN24,AO24,AG24,AH24)</f>
        <v/>
      </c>
      <c r="AQ24" s="3">
        <f>AE24-AP24</f>
        <v/>
      </c>
      <c r="AR24" s="3" t="n"/>
      <c r="AS24" s="3" t="n"/>
      <c r="AT24" s="3">
        <f>AR24-AS24</f>
        <v/>
      </c>
    </row>
    <row r="25">
      <c r="A25" s="2" t="n"/>
      <c r="B25" s="3" t="n"/>
      <c r="C25" s="4" t="n"/>
      <c r="D25" s="5" t="n"/>
      <c r="E25" s="3" t="n"/>
      <c r="F25" s="3">
        <f>IF(C25=0,0,IF(E25="",B25*D25/100,E25))</f>
        <v/>
      </c>
      <c r="G25" s="4" t="n"/>
      <c r="H25" s="5" t="n"/>
      <c r="I25" s="3" t="n"/>
      <c r="J25" s="3">
        <f>IF(G25=0,0,IF(I25="",B25*H25/100,I25))</f>
        <v/>
      </c>
      <c r="K25" s="4" t="n"/>
      <c r="L25" s="5" t="n"/>
      <c r="M25" s="3" t="n"/>
      <c r="N25" s="3">
        <f>IF(K25=0,0,IF(M25="",B25*L25/100,M25))</f>
        <v/>
      </c>
      <c r="O25" s="4" t="n"/>
      <c r="P25" s="5" t="n"/>
      <c r="Q25" s="3" t="n"/>
      <c r="R25" s="3">
        <f>IF(O25=0,0,IF(Q25="",B25*P25/100,Q25))</f>
        <v/>
      </c>
      <c r="S25" s="4" t="n"/>
      <c r="T25" s="5" t="n"/>
      <c r="U25" s="3" t="n"/>
      <c r="V25" s="3">
        <f>IF(S25=0,0,IF(U25="",B25*T25/100,U25))</f>
        <v/>
      </c>
      <c r="W25" s="4" t="n"/>
      <c r="X25" s="5" t="n"/>
      <c r="Y25" s="3" t="n"/>
      <c r="Z25" s="3">
        <f>IF(W25=0,0,IF(Y25="",B25*X25/100,Y25))</f>
        <v/>
      </c>
      <c r="AA25" s="3" t="n"/>
      <c r="AB25" s="3" t="n"/>
      <c r="AC25" s="3">
        <f>B25*0.035</f>
        <v/>
      </c>
      <c r="AD25" s="3">
        <f>B25*0.065</f>
        <v/>
      </c>
      <c r="AE25" s="3">
        <f>SUM(B25,F25,J25,N25,R25,V25,Z25,AA25,AB25,AC25,AD25)</f>
        <v/>
      </c>
      <c r="AF25" s="3">
        <f>B25*0.055</f>
        <v/>
      </c>
      <c r="AG25" s="3">
        <f>B25*0.035</f>
        <v/>
      </c>
      <c r="AH25" s="3">
        <f>B25*0.165</f>
        <v/>
      </c>
      <c r="AI25" s="3">
        <f>MAX(0,AE25-AF25-AH25)</f>
        <v/>
      </c>
      <c r="AJ25" s="3">
        <f>IF(AI25&lt;=490,0,IF(AI25&lt;=600,(AI25-490)*0.05,IF(AI25&lt;=730,5.5+(AI25-600)*0.10,IF(AI25&lt;=3896.67,18.5+(AI25-730)*0.175,IF(AI25&lt;=19896.67,572.67+(AI25-3896.67)*0.25,IF(AI25&lt;=50416.67,4572.67+(AI25-19896.67)*0.30,13728.67+(AI25-50416.67)*0.35))))))</f>
        <v/>
      </c>
      <c r="AK25" s="3" t="n"/>
      <c r="AL25" s="3" t="n"/>
      <c r="AM25" s="3" t="n"/>
      <c r="AN25" s="3" t="n"/>
      <c r="AO25" s="3" t="n"/>
      <c r="AP25" s="3">
        <f>SUM(AF25,AJ25,AK25,AL25,AM25,AN25,AO25,AG25,AH25)</f>
        <v/>
      </c>
      <c r="AQ25" s="3">
        <f>AE25-AP25</f>
        <v/>
      </c>
      <c r="AR25" s="3" t="n"/>
      <c r="AS25" s="3" t="n"/>
      <c r="AT25" s="3">
        <f>AR25-AS25</f>
        <v/>
      </c>
    </row>
    <row r="26">
      <c r="A26" s="2" t="n"/>
      <c r="B26" s="3" t="n"/>
      <c r="C26" s="4" t="n"/>
      <c r="D26" s="5" t="n"/>
      <c r="E26" s="3" t="n"/>
      <c r="F26" s="3">
        <f>IF(C26=0,0,IF(E26="",B26*D26/100,E26))</f>
        <v/>
      </c>
      <c r="G26" s="4" t="n"/>
      <c r="H26" s="5" t="n"/>
      <c r="I26" s="3" t="n"/>
      <c r="J26" s="3">
        <f>IF(G26=0,0,IF(I26="",B26*H26/100,I26))</f>
        <v/>
      </c>
      <c r="K26" s="4" t="n"/>
      <c r="L26" s="5" t="n"/>
      <c r="M26" s="3" t="n"/>
      <c r="N26" s="3">
        <f>IF(K26=0,0,IF(M26="",B26*L26/100,M26))</f>
        <v/>
      </c>
      <c r="O26" s="4" t="n"/>
      <c r="P26" s="5" t="n"/>
      <c r="Q26" s="3" t="n"/>
      <c r="R26" s="3">
        <f>IF(O26=0,0,IF(Q26="",B26*P26/100,Q26))</f>
        <v/>
      </c>
      <c r="S26" s="4" t="n"/>
      <c r="T26" s="5" t="n"/>
      <c r="U26" s="3" t="n"/>
      <c r="V26" s="3">
        <f>IF(S26=0,0,IF(U26="",B26*T26/100,U26))</f>
        <v/>
      </c>
      <c r="W26" s="4" t="n"/>
      <c r="X26" s="5" t="n"/>
      <c r="Y26" s="3" t="n"/>
      <c r="Z26" s="3">
        <f>IF(W26=0,0,IF(Y26="",B26*X26/100,Y26))</f>
        <v/>
      </c>
      <c r="AA26" s="3" t="n"/>
      <c r="AB26" s="3" t="n"/>
      <c r="AC26" s="3">
        <f>B26*0.035</f>
        <v/>
      </c>
      <c r="AD26" s="3">
        <f>B26*0.065</f>
        <v/>
      </c>
      <c r="AE26" s="3">
        <f>SUM(B26,F26,J26,N26,R26,V26,Z26,AA26,AB26,AC26,AD26)</f>
        <v/>
      </c>
      <c r="AF26" s="3">
        <f>B26*0.055</f>
        <v/>
      </c>
      <c r="AG26" s="3">
        <f>B26*0.035</f>
        <v/>
      </c>
      <c r="AH26" s="3">
        <f>B26*0.165</f>
        <v/>
      </c>
      <c r="AI26" s="3">
        <f>MAX(0,AE26-AF26-AH26)</f>
        <v/>
      </c>
      <c r="AJ26" s="3">
        <f>IF(AI26&lt;=490,0,IF(AI26&lt;=600,(AI26-490)*0.05,IF(AI26&lt;=730,5.5+(AI26-600)*0.10,IF(AI26&lt;=3896.67,18.5+(AI26-730)*0.175,IF(AI26&lt;=19896.67,572.67+(AI26-3896.67)*0.25,IF(AI26&lt;=50416.67,4572.67+(AI26-19896.67)*0.30,13728.67+(AI26-50416.67)*0.35))))))</f>
        <v/>
      </c>
      <c r="AK26" s="3" t="n"/>
      <c r="AL26" s="3" t="n"/>
      <c r="AM26" s="3" t="n"/>
      <c r="AN26" s="3" t="n"/>
      <c r="AO26" s="3" t="n"/>
      <c r="AP26" s="3">
        <f>SUM(AF26,AJ26,AK26,AL26,AM26,AN26,AO26,AG26,AH26)</f>
        <v/>
      </c>
      <c r="AQ26" s="3">
        <f>AE26-AP26</f>
        <v/>
      </c>
      <c r="AR26" s="3" t="n"/>
      <c r="AS26" s="3" t="n"/>
      <c r="AT26" s="3">
        <f>AR26-AS26</f>
        <v/>
      </c>
    </row>
    <row r="27">
      <c r="A27" s="2" t="n"/>
      <c r="B27" s="3" t="n"/>
      <c r="C27" s="4" t="n"/>
      <c r="D27" s="5" t="n"/>
      <c r="E27" s="3" t="n"/>
      <c r="F27" s="3">
        <f>IF(C27=0,0,IF(E27="",B27*D27/100,E27))</f>
        <v/>
      </c>
      <c r="G27" s="4" t="n"/>
      <c r="H27" s="5" t="n"/>
      <c r="I27" s="3" t="n"/>
      <c r="J27" s="3">
        <f>IF(G27=0,0,IF(I27="",B27*H27/100,I27))</f>
        <v/>
      </c>
      <c r="K27" s="4" t="n"/>
      <c r="L27" s="5" t="n"/>
      <c r="M27" s="3" t="n"/>
      <c r="N27" s="3">
        <f>IF(K27=0,0,IF(M27="",B27*L27/100,M27))</f>
        <v/>
      </c>
      <c r="O27" s="4" t="n"/>
      <c r="P27" s="5" t="n"/>
      <c r="Q27" s="3" t="n"/>
      <c r="R27" s="3">
        <f>IF(O27=0,0,IF(Q27="",B27*P27/100,Q27))</f>
        <v/>
      </c>
      <c r="S27" s="4" t="n"/>
      <c r="T27" s="5" t="n"/>
      <c r="U27" s="3" t="n"/>
      <c r="V27" s="3">
        <f>IF(S27=0,0,IF(U27="",B27*T27/100,U27))</f>
        <v/>
      </c>
      <c r="W27" s="4" t="n"/>
      <c r="X27" s="5" t="n"/>
      <c r="Y27" s="3" t="n"/>
      <c r="Z27" s="3">
        <f>IF(W27=0,0,IF(Y27="",B27*X27/100,Y27))</f>
        <v/>
      </c>
      <c r="AA27" s="3" t="n"/>
      <c r="AB27" s="3" t="n"/>
      <c r="AC27" s="3">
        <f>B27*0.035</f>
        <v/>
      </c>
      <c r="AD27" s="3">
        <f>B27*0.065</f>
        <v/>
      </c>
      <c r="AE27" s="3">
        <f>SUM(B27,F27,J27,N27,R27,V27,Z27,AA27,AB27,AC27,AD27)</f>
        <v/>
      </c>
      <c r="AF27" s="3">
        <f>B27*0.055</f>
        <v/>
      </c>
      <c r="AG27" s="3">
        <f>B27*0.035</f>
        <v/>
      </c>
      <c r="AH27" s="3">
        <f>B27*0.165</f>
        <v/>
      </c>
      <c r="AI27" s="3">
        <f>MAX(0,AE27-AF27-AH27)</f>
        <v/>
      </c>
      <c r="AJ27" s="3">
        <f>IF(AI27&lt;=490,0,IF(AI27&lt;=600,(AI27-490)*0.05,IF(AI27&lt;=730,5.5+(AI27-600)*0.10,IF(AI27&lt;=3896.67,18.5+(AI27-730)*0.175,IF(AI27&lt;=19896.67,572.67+(AI27-3896.67)*0.25,IF(AI27&lt;=50416.67,4572.67+(AI27-19896.67)*0.30,13728.67+(AI27-50416.67)*0.35))))))</f>
        <v/>
      </c>
      <c r="AK27" s="3" t="n"/>
      <c r="AL27" s="3" t="n"/>
      <c r="AM27" s="3" t="n"/>
      <c r="AN27" s="3" t="n"/>
      <c r="AO27" s="3" t="n"/>
      <c r="AP27" s="3">
        <f>SUM(AF27,AJ27,AK27,AL27,AM27,AN27,AO27,AG27,AH27)</f>
        <v/>
      </c>
      <c r="AQ27" s="3">
        <f>AE27-AP27</f>
        <v/>
      </c>
      <c r="AR27" s="3" t="n"/>
      <c r="AS27" s="3" t="n"/>
      <c r="AT27" s="3">
        <f>AR27-AS27</f>
        <v/>
      </c>
    </row>
    <row r="28">
      <c r="A28" s="2" t="n"/>
      <c r="B28" s="3" t="n"/>
      <c r="C28" s="4" t="n"/>
      <c r="D28" s="5" t="n"/>
      <c r="E28" s="3" t="n"/>
      <c r="F28" s="3">
        <f>IF(C28=0,0,IF(E28="",B28*D28/100,E28))</f>
        <v/>
      </c>
      <c r="G28" s="4" t="n"/>
      <c r="H28" s="5" t="n"/>
      <c r="I28" s="3" t="n"/>
      <c r="J28" s="3">
        <f>IF(G28=0,0,IF(I28="",B28*H28/100,I28))</f>
        <v/>
      </c>
      <c r="K28" s="4" t="n"/>
      <c r="L28" s="5" t="n"/>
      <c r="M28" s="3" t="n"/>
      <c r="N28" s="3">
        <f>IF(K28=0,0,IF(M28="",B28*L28/100,M28))</f>
        <v/>
      </c>
      <c r="O28" s="4" t="n"/>
      <c r="P28" s="5" t="n"/>
      <c r="Q28" s="3" t="n"/>
      <c r="R28" s="3">
        <f>IF(O28=0,0,IF(Q28="",B28*P28/100,Q28))</f>
        <v/>
      </c>
      <c r="S28" s="4" t="n"/>
      <c r="T28" s="5" t="n"/>
      <c r="U28" s="3" t="n"/>
      <c r="V28" s="3">
        <f>IF(S28=0,0,IF(U28="",B28*T28/100,U28))</f>
        <v/>
      </c>
      <c r="W28" s="4" t="n"/>
      <c r="X28" s="5" t="n"/>
      <c r="Y28" s="3" t="n"/>
      <c r="Z28" s="3">
        <f>IF(W28=0,0,IF(Y28="",B28*X28/100,Y28))</f>
        <v/>
      </c>
      <c r="AA28" s="3" t="n"/>
      <c r="AB28" s="3" t="n"/>
      <c r="AC28" s="3">
        <f>B28*0.035</f>
        <v/>
      </c>
      <c r="AD28" s="3">
        <f>B28*0.065</f>
        <v/>
      </c>
      <c r="AE28" s="3">
        <f>SUM(B28,F28,J28,N28,R28,V28,Z28,AA28,AB28,AC28,AD28)</f>
        <v/>
      </c>
      <c r="AF28" s="3">
        <f>B28*0.055</f>
        <v/>
      </c>
      <c r="AG28" s="3">
        <f>B28*0.035</f>
        <v/>
      </c>
      <c r="AH28" s="3">
        <f>B28*0.165</f>
        <v/>
      </c>
      <c r="AI28" s="3">
        <f>MAX(0,AE28-AF28-AH28)</f>
        <v/>
      </c>
      <c r="AJ28" s="3">
        <f>IF(AI28&lt;=490,0,IF(AI28&lt;=600,(AI28-490)*0.05,IF(AI28&lt;=730,5.5+(AI28-600)*0.10,IF(AI28&lt;=3896.67,18.5+(AI28-730)*0.175,IF(AI28&lt;=19896.67,572.67+(AI28-3896.67)*0.25,IF(AI28&lt;=50416.67,4572.67+(AI28-19896.67)*0.30,13728.67+(AI28-50416.67)*0.35))))))</f>
        <v/>
      </c>
      <c r="AK28" s="3" t="n"/>
      <c r="AL28" s="3" t="n"/>
      <c r="AM28" s="3" t="n"/>
      <c r="AN28" s="3" t="n"/>
      <c r="AO28" s="3" t="n"/>
      <c r="AP28" s="3">
        <f>SUM(AF28,AJ28,AK28,AL28,AM28,AN28,AO28,AG28,AH28)</f>
        <v/>
      </c>
      <c r="AQ28" s="3">
        <f>AE28-AP28</f>
        <v/>
      </c>
      <c r="AR28" s="3" t="n"/>
      <c r="AS28" s="3" t="n"/>
      <c r="AT28" s="3">
        <f>AR28-AS28</f>
        <v/>
      </c>
    </row>
    <row r="29">
      <c r="A29" s="2" t="n"/>
      <c r="B29" s="3" t="n"/>
      <c r="C29" s="4" t="n"/>
      <c r="D29" s="5" t="n"/>
      <c r="E29" s="3" t="n"/>
      <c r="F29" s="3">
        <f>IF(C29=0,0,IF(E29="",B29*D29/100,E29))</f>
        <v/>
      </c>
      <c r="G29" s="4" t="n"/>
      <c r="H29" s="5" t="n"/>
      <c r="I29" s="3" t="n"/>
      <c r="J29" s="3">
        <f>IF(G29=0,0,IF(I29="",B29*H29/100,I29))</f>
        <v/>
      </c>
      <c r="K29" s="4" t="n"/>
      <c r="L29" s="5" t="n"/>
      <c r="M29" s="3" t="n"/>
      <c r="N29" s="3">
        <f>IF(K29=0,0,IF(M29="",B29*L29/100,M29))</f>
        <v/>
      </c>
      <c r="O29" s="4" t="n"/>
      <c r="P29" s="5" t="n"/>
      <c r="Q29" s="3" t="n"/>
      <c r="R29" s="3">
        <f>IF(O29=0,0,IF(Q29="",B29*P29/100,Q29))</f>
        <v/>
      </c>
      <c r="S29" s="4" t="n"/>
      <c r="T29" s="5" t="n"/>
      <c r="U29" s="3" t="n"/>
      <c r="V29" s="3">
        <f>IF(S29=0,0,IF(U29="",B29*T29/100,U29))</f>
        <v/>
      </c>
      <c r="W29" s="4" t="n"/>
      <c r="X29" s="5" t="n"/>
      <c r="Y29" s="3" t="n"/>
      <c r="Z29" s="3">
        <f>IF(W29=0,0,IF(Y29="",B29*X29/100,Y29))</f>
        <v/>
      </c>
      <c r="AA29" s="3" t="n"/>
      <c r="AB29" s="3" t="n"/>
      <c r="AC29" s="3">
        <f>B29*0.035</f>
        <v/>
      </c>
      <c r="AD29" s="3">
        <f>B29*0.065</f>
        <v/>
      </c>
      <c r="AE29" s="3">
        <f>SUM(B29,F29,J29,N29,R29,V29,Z29,AA29,AB29,AC29,AD29)</f>
        <v/>
      </c>
      <c r="AF29" s="3">
        <f>B29*0.055</f>
        <v/>
      </c>
      <c r="AG29" s="3">
        <f>B29*0.035</f>
        <v/>
      </c>
      <c r="AH29" s="3">
        <f>B29*0.165</f>
        <v/>
      </c>
      <c r="AI29" s="3">
        <f>MAX(0,AE29-AF29-AH29)</f>
        <v/>
      </c>
      <c r="AJ29" s="3">
        <f>IF(AI29&lt;=490,0,IF(AI29&lt;=600,(AI29-490)*0.05,IF(AI29&lt;=730,5.5+(AI29-600)*0.10,IF(AI29&lt;=3896.67,18.5+(AI29-730)*0.175,IF(AI29&lt;=19896.67,572.67+(AI29-3896.67)*0.25,IF(AI29&lt;=50416.67,4572.67+(AI29-19896.67)*0.30,13728.67+(AI29-50416.67)*0.35))))))</f>
        <v/>
      </c>
      <c r="AK29" s="3" t="n"/>
      <c r="AL29" s="3" t="n"/>
      <c r="AM29" s="3" t="n"/>
      <c r="AN29" s="3" t="n"/>
      <c r="AO29" s="3" t="n"/>
      <c r="AP29" s="3">
        <f>SUM(AF29,AJ29,AK29,AL29,AM29,AN29,AO29,AG29,AH29)</f>
        <v/>
      </c>
      <c r="AQ29" s="3">
        <f>AE29-AP29</f>
        <v/>
      </c>
      <c r="AR29" s="3" t="n"/>
      <c r="AS29" s="3" t="n"/>
      <c r="AT29" s="3">
        <f>AR29-AS29</f>
        <v/>
      </c>
    </row>
    <row r="30">
      <c r="A30" s="2" t="n"/>
      <c r="B30" s="3" t="n"/>
      <c r="C30" s="4" t="n"/>
      <c r="D30" s="5" t="n"/>
      <c r="E30" s="3" t="n"/>
      <c r="F30" s="3">
        <f>IF(C30=0,0,IF(E30="",B30*D30/100,E30))</f>
        <v/>
      </c>
      <c r="G30" s="4" t="n"/>
      <c r="H30" s="5" t="n"/>
      <c r="I30" s="3" t="n"/>
      <c r="J30" s="3">
        <f>IF(G30=0,0,IF(I30="",B30*H30/100,I30))</f>
        <v/>
      </c>
      <c r="K30" s="4" t="n"/>
      <c r="L30" s="5" t="n"/>
      <c r="M30" s="3" t="n"/>
      <c r="N30" s="3">
        <f>IF(K30=0,0,IF(M30="",B30*L30/100,M30))</f>
        <v/>
      </c>
      <c r="O30" s="4" t="n"/>
      <c r="P30" s="5" t="n"/>
      <c r="Q30" s="3" t="n"/>
      <c r="R30" s="3">
        <f>IF(O30=0,0,IF(Q30="",B30*P30/100,Q30))</f>
        <v/>
      </c>
      <c r="S30" s="4" t="n"/>
      <c r="T30" s="5" t="n"/>
      <c r="U30" s="3" t="n"/>
      <c r="V30" s="3">
        <f>IF(S30=0,0,IF(U30="",B30*T30/100,U30))</f>
        <v/>
      </c>
      <c r="W30" s="4" t="n"/>
      <c r="X30" s="5" t="n"/>
      <c r="Y30" s="3" t="n"/>
      <c r="Z30" s="3">
        <f>IF(W30=0,0,IF(Y30="",B30*X30/100,Y30))</f>
        <v/>
      </c>
      <c r="AA30" s="3" t="n"/>
      <c r="AB30" s="3" t="n"/>
      <c r="AC30" s="3">
        <f>B30*0.035</f>
        <v/>
      </c>
      <c r="AD30" s="3">
        <f>B30*0.065</f>
        <v/>
      </c>
      <c r="AE30" s="3">
        <f>SUM(B30,F30,J30,N30,R30,V30,Z30,AA30,AB30,AC30,AD30)</f>
        <v/>
      </c>
      <c r="AF30" s="3">
        <f>B30*0.055</f>
        <v/>
      </c>
      <c r="AG30" s="3">
        <f>B30*0.035</f>
        <v/>
      </c>
      <c r="AH30" s="3">
        <f>B30*0.165</f>
        <v/>
      </c>
      <c r="AI30" s="3">
        <f>MAX(0,AE30-AF30-AH30)</f>
        <v/>
      </c>
      <c r="AJ30" s="3">
        <f>IF(AI30&lt;=490,0,IF(AI30&lt;=600,(AI30-490)*0.05,IF(AI30&lt;=730,5.5+(AI30-600)*0.10,IF(AI30&lt;=3896.67,18.5+(AI30-730)*0.175,IF(AI30&lt;=19896.67,572.67+(AI30-3896.67)*0.25,IF(AI30&lt;=50416.67,4572.67+(AI30-19896.67)*0.30,13728.67+(AI30-50416.67)*0.35))))))</f>
        <v/>
      </c>
      <c r="AK30" s="3" t="n"/>
      <c r="AL30" s="3" t="n"/>
      <c r="AM30" s="3" t="n"/>
      <c r="AN30" s="3" t="n"/>
      <c r="AO30" s="3" t="n"/>
      <c r="AP30" s="3">
        <f>SUM(AF30,AJ30,AK30,AL30,AM30,AN30,AO30,AG30,AH30)</f>
        <v/>
      </c>
      <c r="AQ30" s="3">
        <f>AE30-AP30</f>
        <v/>
      </c>
      <c r="AR30" s="3" t="n"/>
      <c r="AS30" s="3" t="n"/>
      <c r="AT30" s="3">
        <f>AR30-AS30</f>
        <v/>
      </c>
    </row>
    <row r="31">
      <c r="A31" s="2" t="n"/>
      <c r="B31" s="3" t="n"/>
      <c r="C31" s="4" t="n"/>
      <c r="D31" s="5" t="n"/>
      <c r="E31" s="3" t="n"/>
      <c r="F31" s="3">
        <f>IF(C31=0,0,IF(E31="",B31*D31/100,E31))</f>
        <v/>
      </c>
      <c r="G31" s="4" t="n"/>
      <c r="H31" s="5" t="n"/>
      <c r="I31" s="3" t="n"/>
      <c r="J31" s="3">
        <f>IF(G31=0,0,IF(I31="",B31*H31/100,I31))</f>
        <v/>
      </c>
      <c r="K31" s="4" t="n"/>
      <c r="L31" s="5" t="n"/>
      <c r="M31" s="3" t="n"/>
      <c r="N31" s="3">
        <f>IF(K31=0,0,IF(M31="",B31*L31/100,M31))</f>
        <v/>
      </c>
      <c r="O31" s="4" t="n"/>
      <c r="P31" s="5" t="n"/>
      <c r="Q31" s="3" t="n"/>
      <c r="R31" s="3">
        <f>IF(O31=0,0,IF(Q31="",B31*P31/100,Q31))</f>
        <v/>
      </c>
      <c r="S31" s="4" t="n"/>
      <c r="T31" s="5" t="n"/>
      <c r="U31" s="3" t="n"/>
      <c r="V31" s="3">
        <f>IF(S31=0,0,IF(U31="",B31*T31/100,U31))</f>
        <v/>
      </c>
      <c r="W31" s="4" t="n"/>
      <c r="X31" s="5" t="n"/>
      <c r="Y31" s="3" t="n"/>
      <c r="Z31" s="3">
        <f>IF(W31=0,0,IF(Y31="",B31*X31/100,Y31))</f>
        <v/>
      </c>
      <c r="AA31" s="3" t="n"/>
      <c r="AB31" s="3" t="n"/>
      <c r="AC31" s="3">
        <f>B31*0.035</f>
        <v/>
      </c>
      <c r="AD31" s="3">
        <f>B31*0.065</f>
        <v/>
      </c>
      <c r="AE31" s="3">
        <f>SUM(B31,F31,J31,N31,R31,V31,Z31,AA31,AB31,AC31,AD31)</f>
        <v/>
      </c>
      <c r="AF31" s="3">
        <f>B31*0.055</f>
        <v/>
      </c>
      <c r="AG31" s="3">
        <f>B31*0.035</f>
        <v/>
      </c>
      <c r="AH31" s="3">
        <f>B31*0.165</f>
        <v/>
      </c>
      <c r="AI31" s="3">
        <f>MAX(0,AE31-AF31-AH31)</f>
        <v/>
      </c>
      <c r="AJ31" s="3">
        <f>IF(AI31&lt;=490,0,IF(AI31&lt;=600,(AI31-490)*0.05,IF(AI31&lt;=730,5.5+(AI31-600)*0.10,IF(AI31&lt;=3896.67,18.5+(AI31-730)*0.175,IF(AI31&lt;=19896.67,572.67+(AI31-3896.67)*0.25,IF(AI31&lt;=50416.67,4572.67+(AI31-19896.67)*0.30,13728.67+(AI31-50416.67)*0.35))))))</f>
        <v/>
      </c>
      <c r="AK31" s="3" t="n"/>
      <c r="AL31" s="3" t="n"/>
      <c r="AM31" s="3" t="n"/>
      <c r="AN31" s="3" t="n"/>
      <c r="AO31" s="3" t="n"/>
      <c r="AP31" s="3">
        <f>SUM(AF31,AJ31,AK31,AL31,AM31,AN31,AO31,AG31,AH31)</f>
        <v/>
      </c>
      <c r="AQ31" s="3">
        <f>AE31-AP31</f>
        <v/>
      </c>
      <c r="AR31" s="3" t="n"/>
      <c r="AS31" s="3" t="n"/>
      <c r="AT31" s="3">
        <f>AR31-AS31</f>
        <v/>
      </c>
    </row>
    <row r="32">
      <c r="A32" s="2" t="n"/>
      <c r="B32" s="3" t="n"/>
      <c r="C32" s="4" t="n"/>
      <c r="D32" s="5" t="n"/>
      <c r="E32" s="3" t="n"/>
      <c r="F32" s="3">
        <f>IF(C32=0,0,IF(E32="",B32*D32/100,E32))</f>
        <v/>
      </c>
      <c r="G32" s="4" t="n"/>
      <c r="H32" s="5" t="n"/>
      <c r="I32" s="3" t="n"/>
      <c r="J32" s="3">
        <f>IF(G32=0,0,IF(I32="",B32*H32/100,I32))</f>
        <v/>
      </c>
      <c r="K32" s="4" t="n"/>
      <c r="L32" s="5" t="n"/>
      <c r="M32" s="3" t="n"/>
      <c r="N32" s="3">
        <f>IF(K32=0,0,IF(M32="",B32*L32/100,M32))</f>
        <v/>
      </c>
      <c r="O32" s="4" t="n"/>
      <c r="P32" s="5" t="n"/>
      <c r="Q32" s="3" t="n"/>
      <c r="R32" s="3">
        <f>IF(O32=0,0,IF(Q32="",B32*P32/100,Q32))</f>
        <v/>
      </c>
      <c r="S32" s="4" t="n"/>
      <c r="T32" s="5" t="n"/>
      <c r="U32" s="3" t="n"/>
      <c r="V32" s="3">
        <f>IF(S32=0,0,IF(U32="",B32*T32/100,U32))</f>
        <v/>
      </c>
      <c r="W32" s="4" t="n"/>
      <c r="X32" s="5" t="n"/>
      <c r="Y32" s="3" t="n"/>
      <c r="Z32" s="3">
        <f>IF(W32=0,0,IF(Y32="",B32*X32/100,Y32))</f>
        <v/>
      </c>
      <c r="AA32" s="3" t="n"/>
      <c r="AB32" s="3" t="n"/>
      <c r="AC32" s="3">
        <f>B32*0.035</f>
        <v/>
      </c>
      <c r="AD32" s="3">
        <f>B32*0.065</f>
        <v/>
      </c>
      <c r="AE32" s="3">
        <f>SUM(B32,F32,J32,N32,R32,V32,Z32,AA32,AB32,AC32,AD32)</f>
        <v/>
      </c>
      <c r="AF32" s="3">
        <f>B32*0.055</f>
        <v/>
      </c>
      <c r="AG32" s="3">
        <f>B32*0.035</f>
        <v/>
      </c>
      <c r="AH32" s="3">
        <f>B32*0.165</f>
        <v/>
      </c>
      <c r="AI32" s="3">
        <f>MAX(0,AE32-AF32-AH32)</f>
        <v/>
      </c>
      <c r="AJ32" s="3">
        <f>IF(AI32&lt;=490,0,IF(AI32&lt;=600,(AI32-490)*0.05,IF(AI32&lt;=730,5.5+(AI32-600)*0.10,IF(AI32&lt;=3896.67,18.5+(AI32-730)*0.175,IF(AI32&lt;=19896.67,572.67+(AI32-3896.67)*0.25,IF(AI32&lt;=50416.67,4572.67+(AI32-19896.67)*0.30,13728.67+(AI32-50416.67)*0.35))))))</f>
        <v/>
      </c>
      <c r="AK32" s="3" t="n"/>
      <c r="AL32" s="3" t="n"/>
      <c r="AM32" s="3" t="n"/>
      <c r="AN32" s="3" t="n"/>
      <c r="AO32" s="3" t="n"/>
      <c r="AP32" s="3">
        <f>SUM(AF32,AJ32,AK32,AL32,AM32,AN32,AO32,AG32,AH32)</f>
        <v/>
      </c>
      <c r="AQ32" s="3">
        <f>AE32-AP32</f>
        <v/>
      </c>
      <c r="AR32" s="3" t="n"/>
      <c r="AS32" s="3" t="n"/>
      <c r="AT32" s="3">
        <f>AR32-AS32</f>
        <v/>
      </c>
    </row>
    <row r="33">
      <c r="A33" s="2" t="n"/>
      <c r="B33" s="3" t="n"/>
      <c r="C33" s="4" t="n"/>
      <c r="D33" s="5" t="n"/>
      <c r="E33" s="3" t="n"/>
      <c r="F33" s="3">
        <f>IF(C33=0,0,IF(E33="",B33*D33/100,E33))</f>
        <v/>
      </c>
      <c r="G33" s="4" t="n"/>
      <c r="H33" s="5" t="n"/>
      <c r="I33" s="3" t="n"/>
      <c r="J33" s="3">
        <f>IF(G33=0,0,IF(I33="",B33*H33/100,I33))</f>
        <v/>
      </c>
      <c r="K33" s="4" t="n"/>
      <c r="L33" s="5" t="n"/>
      <c r="M33" s="3" t="n"/>
      <c r="N33" s="3">
        <f>IF(K33=0,0,IF(M33="",B33*L33/100,M33))</f>
        <v/>
      </c>
      <c r="O33" s="4" t="n"/>
      <c r="P33" s="5" t="n"/>
      <c r="Q33" s="3" t="n"/>
      <c r="R33" s="3">
        <f>IF(O33=0,0,IF(Q33="",B33*P33/100,Q33))</f>
        <v/>
      </c>
      <c r="S33" s="4" t="n"/>
      <c r="T33" s="5" t="n"/>
      <c r="U33" s="3" t="n"/>
      <c r="V33" s="3">
        <f>IF(S33=0,0,IF(U33="",B33*T33/100,U33))</f>
        <v/>
      </c>
      <c r="W33" s="4" t="n"/>
      <c r="X33" s="5" t="n"/>
      <c r="Y33" s="3" t="n"/>
      <c r="Z33" s="3">
        <f>IF(W33=0,0,IF(Y33="",B33*X33/100,Y33))</f>
        <v/>
      </c>
      <c r="AA33" s="3" t="n"/>
      <c r="AB33" s="3" t="n"/>
      <c r="AC33" s="3">
        <f>B33*0.035</f>
        <v/>
      </c>
      <c r="AD33" s="3">
        <f>B33*0.065</f>
        <v/>
      </c>
      <c r="AE33" s="3">
        <f>SUM(B33,F33,J33,N33,R33,V33,Z33,AA33,AB33,AC33,AD33)</f>
        <v/>
      </c>
      <c r="AF33" s="3">
        <f>B33*0.055</f>
        <v/>
      </c>
      <c r="AG33" s="3">
        <f>B33*0.035</f>
        <v/>
      </c>
      <c r="AH33" s="3">
        <f>B33*0.165</f>
        <v/>
      </c>
      <c r="AI33" s="3">
        <f>MAX(0,AE33-AF33-AH33)</f>
        <v/>
      </c>
      <c r="AJ33" s="3">
        <f>IF(AI33&lt;=490,0,IF(AI33&lt;=600,(AI33-490)*0.05,IF(AI33&lt;=730,5.5+(AI33-600)*0.10,IF(AI33&lt;=3896.67,18.5+(AI33-730)*0.175,IF(AI33&lt;=19896.67,572.67+(AI33-3896.67)*0.25,IF(AI33&lt;=50416.67,4572.67+(AI33-19896.67)*0.30,13728.67+(AI33-50416.67)*0.35))))))</f>
        <v/>
      </c>
      <c r="AK33" s="3" t="n"/>
      <c r="AL33" s="3" t="n"/>
      <c r="AM33" s="3" t="n"/>
      <c r="AN33" s="3" t="n"/>
      <c r="AO33" s="3" t="n"/>
      <c r="AP33" s="3">
        <f>SUM(AF33,AJ33,AK33,AL33,AM33,AN33,AO33,AG33,AH33)</f>
        <v/>
      </c>
      <c r="AQ33" s="3">
        <f>AE33-AP33</f>
        <v/>
      </c>
      <c r="AR33" s="3" t="n"/>
      <c r="AS33" s="3" t="n"/>
      <c r="AT33" s="3">
        <f>AR33-AS33</f>
        <v/>
      </c>
    </row>
    <row r="34">
      <c r="A34" s="2" t="n"/>
      <c r="B34" s="3" t="n"/>
      <c r="C34" s="4" t="n"/>
      <c r="D34" s="5" t="n"/>
      <c r="E34" s="3" t="n"/>
      <c r="F34" s="3">
        <f>IF(C34=0,0,IF(E34="",B34*D34/100,E34))</f>
        <v/>
      </c>
      <c r="G34" s="4" t="n"/>
      <c r="H34" s="5" t="n"/>
      <c r="I34" s="3" t="n"/>
      <c r="J34" s="3">
        <f>IF(G34=0,0,IF(I34="",B34*H34/100,I34))</f>
        <v/>
      </c>
      <c r="K34" s="4" t="n"/>
      <c r="L34" s="5" t="n"/>
      <c r="M34" s="3" t="n"/>
      <c r="N34" s="3">
        <f>IF(K34=0,0,IF(M34="",B34*L34/100,M34))</f>
        <v/>
      </c>
      <c r="O34" s="4" t="n"/>
      <c r="P34" s="5" t="n"/>
      <c r="Q34" s="3" t="n"/>
      <c r="R34" s="3">
        <f>IF(O34=0,0,IF(Q34="",B34*P34/100,Q34))</f>
        <v/>
      </c>
      <c r="S34" s="4" t="n"/>
      <c r="T34" s="5" t="n"/>
      <c r="U34" s="3" t="n"/>
      <c r="V34" s="3">
        <f>IF(S34=0,0,IF(U34="",B34*T34/100,U34))</f>
        <v/>
      </c>
      <c r="W34" s="4" t="n"/>
      <c r="X34" s="5" t="n"/>
      <c r="Y34" s="3" t="n"/>
      <c r="Z34" s="3">
        <f>IF(W34=0,0,IF(Y34="",B34*X34/100,Y34))</f>
        <v/>
      </c>
      <c r="AA34" s="3" t="n"/>
      <c r="AB34" s="3" t="n"/>
      <c r="AC34" s="3">
        <f>B34*0.035</f>
        <v/>
      </c>
      <c r="AD34" s="3">
        <f>B34*0.065</f>
        <v/>
      </c>
      <c r="AE34" s="3">
        <f>SUM(B34,F34,J34,N34,R34,V34,Z34,AA34,AB34,AC34,AD34)</f>
        <v/>
      </c>
      <c r="AF34" s="3">
        <f>B34*0.055</f>
        <v/>
      </c>
      <c r="AG34" s="3">
        <f>B34*0.035</f>
        <v/>
      </c>
      <c r="AH34" s="3">
        <f>B34*0.165</f>
        <v/>
      </c>
      <c r="AI34" s="3">
        <f>MAX(0,AE34-AF34-AH34)</f>
        <v/>
      </c>
      <c r="AJ34" s="3">
        <f>IF(AI34&lt;=490,0,IF(AI34&lt;=600,(AI34-490)*0.05,IF(AI34&lt;=730,5.5+(AI34-600)*0.10,IF(AI34&lt;=3896.67,18.5+(AI34-730)*0.175,IF(AI34&lt;=19896.67,572.67+(AI34-3896.67)*0.25,IF(AI34&lt;=50416.67,4572.67+(AI34-19896.67)*0.30,13728.67+(AI34-50416.67)*0.35))))))</f>
        <v/>
      </c>
      <c r="AK34" s="3" t="n"/>
      <c r="AL34" s="3" t="n"/>
      <c r="AM34" s="3" t="n"/>
      <c r="AN34" s="3" t="n"/>
      <c r="AO34" s="3" t="n"/>
      <c r="AP34" s="3">
        <f>SUM(AF34,AJ34,AK34,AL34,AM34,AN34,AO34,AG34,AH34)</f>
        <v/>
      </c>
      <c r="AQ34" s="3">
        <f>AE34-AP34</f>
        <v/>
      </c>
      <c r="AR34" s="3" t="n"/>
      <c r="AS34" s="3" t="n"/>
      <c r="AT34" s="3">
        <f>AR34-AS34</f>
        <v/>
      </c>
    </row>
    <row r="35">
      <c r="A35" s="2" t="n"/>
      <c r="B35" s="3" t="n"/>
      <c r="C35" s="4" t="n"/>
      <c r="D35" s="5" t="n"/>
      <c r="E35" s="3" t="n"/>
      <c r="F35" s="3">
        <f>IF(C35=0,0,IF(E35="",B35*D35/100,E35))</f>
        <v/>
      </c>
      <c r="G35" s="4" t="n"/>
      <c r="H35" s="5" t="n"/>
      <c r="I35" s="3" t="n"/>
      <c r="J35" s="3">
        <f>IF(G35=0,0,IF(I35="",B35*H35/100,I35))</f>
        <v/>
      </c>
      <c r="K35" s="4" t="n"/>
      <c r="L35" s="5" t="n"/>
      <c r="M35" s="3" t="n"/>
      <c r="N35" s="3">
        <f>IF(K35=0,0,IF(M35="",B35*L35/100,M35))</f>
        <v/>
      </c>
      <c r="O35" s="4" t="n"/>
      <c r="P35" s="5" t="n"/>
      <c r="Q35" s="3" t="n"/>
      <c r="R35" s="3">
        <f>IF(O35=0,0,IF(Q35="",B35*P35/100,Q35))</f>
        <v/>
      </c>
      <c r="S35" s="4" t="n"/>
      <c r="T35" s="5" t="n"/>
      <c r="U35" s="3" t="n"/>
      <c r="V35" s="3">
        <f>IF(S35=0,0,IF(U35="",B35*T35/100,U35))</f>
        <v/>
      </c>
      <c r="W35" s="4" t="n"/>
      <c r="X35" s="5" t="n"/>
      <c r="Y35" s="3" t="n"/>
      <c r="Z35" s="3">
        <f>IF(W35=0,0,IF(Y35="",B35*X35/100,Y35))</f>
        <v/>
      </c>
      <c r="AA35" s="3" t="n"/>
      <c r="AB35" s="3" t="n"/>
      <c r="AC35" s="3">
        <f>B35*0.035</f>
        <v/>
      </c>
      <c r="AD35" s="3">
        <f>B35*0.065</f>
        <v/>
      </c>
      <c r="AE35" s="3">
        <f>SUM(B35,F35,J35,N35,R35,V35,Z35,AA35,AB35,AC35,AD35)</f>
        <v/>
      </c>
      <c r="AF35" s="3">
        <f>B35*0.055</f>
        <v/>
      </c>
      <c r="AG35" s="3">
        <f>B35*0.035</f>
        <v/>
      </c>
      <c r="AH35" s="3">
        <f>B35*0.165</f>
        <v/>
      </c>
      <c r="AI35" s="3">
        <f>MAX(0,AE35-AF35-AH35)</f>
        <v/>
      </c>
      <c r="AJ35" s="3">
        <f>IF(AI35&lt;=490,0,IF(AI35&lt;=600,(AI35-490)*0.05,IF(AI35&lt;=730,5.5+(AI35-600)*0.10,IF(AI35&lt;=3896.67,18.5+(AI35-730)*0.175,IF(AI35&lt;=19896.67,572.67+(AI35-3896.67)*0.25,IF(AI35&lt;=50416.67,4572.67+(AI35-19896.67)*0.30,13728.67+(AI35-50416.67)*0.35))))))</f>
        <v/>
      </c>
      <c r="AK35" s="3" t="n"/>
      <c r="AL35" s="3" t="n"/>
      <c r="AM35" s="3" t="n"/>
      <c r="AN35" s="3" t="n"/>
      <c r="AO35" s="3" t="n"/>
      <c r="AP35" s="3">
        <f>SUM(AF35,AJ35,AK35,AL35,AM35,AN35,AO35,AG35,AH35)</f>
        <v/>
      </c>
      <c r="AQ35" s="3">
        <f>AE35-AP35</f>
        <v/>
      </c>
      <c r="AR35" s="3" t="n"/>
      <c r="AS35" s="3" t="n"/>
      <c r="AT35" s="3">
        <f>AR35-AS35</f>
        <v/>
      </c>
    </row>
    <row r="36">
      <c r="A36" s="2" t="n"/>
      <c r="B36" s="3" t="n"/>
      <c r="C36" s="4" t="n"/>
      <c r="D36" s="5" t="n"/>
      <c r="E36" s="3" t="n"/>
      <c r="F36" s="3">
        <f>IF(C36=0,0,IF(E36="",B36*D36/100,E36))</f>
        <v/>
      </c>
      <c r="G36" s="4" t="n"/>
      <c r="H36" s="5" t="n"/>
      <c r="I36" s="3" t="n"/>
      <c r="J36" s="3">
        <f>IF(G36=0,0,IF(I36="",B36*H36/100,I36))</f>
        <v/>
      </c>
      <c r="K36" s="4" t="n"/>
      <c r="L36" s="5" t="n"/>
      <c r="M36" s="3" t="n"/>
      <c r="N36" s="3">
        <f>IF(K36=0,0,IF(M36="",B36*L36/100,M36))</f>
        <v/>
      </c>
      <c r="O36" s="4" t="n"/>
      <c r="P36" s="5" t="n"/>
      <c r="Q36" s="3" t="n"/>
      <c r="R36" s="3">
        <f>IF(O36=0,0,IF(Q36="",B36*P36/100,Q36))</f>
        <v/>
      </c>
      <c r="S36" s="4" t="n"/>
      <c r="T36" s="5" t="n"/>
      <c r="U36" s="3" t="n"/>
      <c r="V36" s="3">
        <f>IF(S36=0,0,IF(U36="",B36*T36/100,U36))</f>
        <v/>
      </c>
      <c r="W36" s="4" t="n"/>
      <c r="X36" s="5" t="n"/>
      <c r="Y36" s="3" t="n"/>
      <c r="Z36" s="3">
        <f>IF(W36=0,0,IF(Y36="",B36*X36/100,Y36))</f>
        <v/>
      </c>
      <c r="AA36" s="3" t="n"/>
      <c r="AB36" s="3" t="n"/>
      <c r="AC36" s="3">
        <f>B36*0.035</f>
        <v/>
      </c>
      <c r="AD36" s="3">
        <f>B36*0.065</f>
        <v/>
      </c>
      <c r="AE36" s="3">
        <f>SUM(B36,F36,J36,N36,R36,V36,Z36,AA36,AB36,AC36,AD36)</f>
        <v/>
      </c>
      <c r="AF36" s="3">
        <f>B36*0.055</f>
        <v/>
      </c>
      <c r="AG36" s="3">
        <f>B36*0.035</f>
        <v/>
      </c>
      <c r="AH36" s="3">
        <f>B36*0.165</f>
        <v/>
      </c>
      <c r="AI36" s="3">
        <f>MAX(0,AE36-AF36-AH36)</f>
        <v/>
      </c>
      <c r="AJ36" s="3">
        <f>IF(AI36&lt;=490,0,IF(AI36&lt;=600,(AI36-490)*0.05,IF(AI36&lt;=730,5.5+(AI36-600)*0.10,IF(AI36&lt;=3896.67,18.5+(AI36-730)*0.175,IF(AI36&lt;=19896.67,572.67+(AI36-3896.67)*0.25,IF(AI36&lt;=50416.67,4572.67+(AI36-19896.67)*0.30,13728.67+(AI36-50416.67)*0.35))))))</f>
        <v/>
      </c>
      <c r="AK36" s="3" t="n"/>
      <c r="AL36" s="3" t="n"/>
      <c r="AM36" s="3" t="n"/>
      <c r="AN36" s="3" t="n"/>
      <c r="AO36" s="3" t="n"/>
      <c r="AP36" s="3">
        <f>SUM(AF36,AJ36,AK36,AL36,AM36,AN36,AO36,AG36,AH36)</f>
        <v/>
      </c>
      <c r="AQ36" s="3">
        <f>AE36-AP36</f>
        <v/>
      </c>
      <c r="AR36" s="3" t="n"/>
      <c r="AS36" s="3" t="n"/>
      <c r="AT36" s="3">
        <f>AR36-AS36</f>
        <v/>
      </c>
    </row>
    <row r="37">
      <c r="A37" s="2" t="n"/>
      <c r="B37" s="3" t="n"/>
      <c r="C37" s="4" t="n"/>
      <c r="D37" s="5" t="n"/>
      <c r="E37" s="3" t="n"/>
      <c r="F37" s="3">
        <f>IF(C37=0,0,IF(E37="",B37*D37/100,E37))</f>
        <v/>
      </c>
      <c r="G37" s="4" t="n"/>
      <c r="H37" s="5" t="n"/>
      <c r="I37" s="3" t="n"/>
      <c r="J37" s="3">
        <f>IF(G37=0,0,IF(I37="",B37*H37/100,I37))</f>
        <v/>
      </c>
      <c r="K37" s="4" t="n"/>
      <c r="L37" s="5" t="n"/>
      <c r="M37" s="3" t="n"/>
      <c r="N37" s="3">
        <f>IF(K37=0,0,IF(M37="",B37*L37/100,M37))</f>
        <v/>
      </c>
      <c r="O37" s="4" t="n"/>
      <c r="P37" s="5" t="n"/>
      <c r="Q37" s="3" t="n"/>
      <c r="R37" s="3">
        <f>IF(O37=0,0,IF(Q37="",B37*P37/100,Q37))</f>
        <v/>
      </c>
      <c r="S37" s="4" t="n"/>
      <c r="T37" s="5" t="n"/>
      <c r="U37" s="3" t="n"/>
      <c r="V37" s="3">
        <f>IF(S37=0,0,IF(U37="",B37*T37/100,U37))</f>
        <v/>
      </c>
      <c r="W37" s="4" t="n"/>
      <c r="X37" s="5" t="n"/>
      <c r="Y37" s="3" t="n"/>
      <c r="Z37" s="3">
        <f>IF(W37=0,0,IF(Y37="",B37*X37/100,Y37))</f>
        <v/>
      </c>
      <c r="AA37" s="3" t="n"/>
      <c r="AB37" s="3" t="n"/>
      <c r="AC37" s="3">
        <f>B37*0.035</f>
        <v/>
      </c>
      <c r="AD37" s="3">
        <f>B37*0.065</f>
        <v/>
      </c>
      <c r="AE37" s="3">
        <f>SUM(B37,F37,J37,N37,R37,V37,Z37,AA37,AB37,AC37,AD37)</f>
        <v/>
      </c>
      <c r="AF37" s="3">
        <f>B37*0.055</f>
        <v/>
      </c>
      <c r="AG37" s="3">
        <f>B37*0.035</f>
        <v/>
      </c>
      <c r="AH37" s="3">
        <f>B37*0.165</f>
        <v/>
      </c>
      <c r="AI37" s="3">
        <f>MAX(0,AE37-AF37-AH37)</f>
        <v/>
      </c>
      <c r="AJ37" s="3">
        <f>IF(AI37&lt;=490,0,IF(AI37&lt;=600,(AI37-490)*0.05,IF(AI37&lt;=730,5.5+(AI37-600)*0.10,IF(AI37&lt;=3896.67,18.5+(AI37-730)*0.175,IF(AI37&lt;=19896.67,572.67+(AI37-3896.67)*0.25,IF(AI37&lt;=50416.67,4572.67+(AI37-19896.67)*0.30,13728.67+(AI37-50416.67)*0.35))))))</f>
        <v/>
      </c>
      <c r="AK37" s="3" t="n"/>
      <c r="AL37" s="3" t="n"/>
      <c r="AM37" s="3" t="n"/>
      <c r="AN37" s="3" t="n"/>
      <c r="AO37" s="3" t="n"/>
      <c r="AP37" s="3">
        <f>SUM(AF37,AJ37,AK37,AL37,AM37,AN37,AO37,AG37,AH37)</f>
        <v/>
      </c>
      <c r="AQ37" s="3">
        <f>AE37-AP37</f>
        <v/>
      </c>
      <c r="AR37" s="3" t="n"/>
      <c r="AS37" s="3" t="n"/>
      <c r="AT37" s="3">
        <f>AR37-AS37</f>
        <v/>
      </c>
    </row>
    <row r="38">
      <c r="A38" s="2" t="n"/>
      <c r="B38" s="3" t="n"/>
      <c r="C38" s="4" t="n"/>
      <c r="D38" s="5" t="n"/>
      <c r="E38" s="3" t="n"/>
      <c r="F38" s="3">
        <f>IF(C38=0,0,IF(E38="",B38*D38/100,E38))</f>
        <v/>
      </c>
      <c r="G38" s="4" t="n"/>
      <c r="H38" s="5" t="n"/>
      <c r="I38" s="3" t="n"/>
      <c r="J38" s="3">
        <f>IF(G38=0,0,IF(I38="",B38*H38/100,I38))</f>
        <v/>
      </c>
      <c r="K38" s="4" t="n"/>
      <c r="L38" s="5" t="n"/>
      <c r="M38" s="3" t="n"/>
      <c r="N38" s="3">
        <f>IF(K38=0,0,IF(M38="",B38*L38/100,M38))</f>
        <v/>
      </c>
      <c r="O38" s="4" t="n"/>
      <c r="P38" s="5" t="n"/>
      <c r="Q38" s="3" t="n"/>
      <c r="R38" s="3">
        <f>IF(O38=0,0,IF(Q38="",B38*P38/100,Q38))</f>
        <v/>
      </c>
      <c r="S38" s="4" t="n"/>
      <c r="T38" s="5" t="n"/>
      <c r="U38" s="3" t="n"/>
      <c r="V38" s="3">
        <f>IF(S38=0,0,IF(U38="",B38*T38/100,U38))</f>
        <v/>
      </c>
      <c r="W38" s="4" t="n"/>
      <c r="X38" s="5" t="n"/>
      <c r="Y38" s="3" t="n"/>
      <c r="Z38" s="3">
        <f>IF(W38=0,0,IF(Y38="",B38*X38/100,Y38))</f>
        <v/>
      </c>
      <c r="AA38" s="3" t="n"/>
      <c r="AB38" s="3" t="n"/>
      <c r="AC38" s="3">
        <f>B38*0.035</f>
        <v/>
      </c>
      <c r="AD38" s="3">
        <f>B38*0.065</f>
        <v/>
      </c>
      <c r="AE38" s="3">
        <f>SUM(B38,F38,J38,N38,R38,V38,Z38,AA38,AB38,AC38,AD38)</f>
        <v/>
      </c>
      <c r="AF38" s="3">
        <f>B38*0.055</f>
        <v/>
      </c>
      <c r="AG38" s="3">
        <f>B38*0.035</f>
        <v/>
      </c>
      <c r="AH38" s="3">
        <f>B38*0.165</f>
        <v/>
      </c>
      <c r="AI38" s="3">
        <f>MAX(0,AE38-AF38-AH38)</f>
        <v/>
      </c>
      <c r="AJ38" s="3">
        <f>IF(AI38&lt;=490,0,IF(AI38&lt;=600,(AI38-490)*0.05,IF(AI38&lt;=730,5.5+(AI38-600)*0.10,IF(AI38&lt;=3896.67,18.5+(AI38-730)*0.175,IF(AI38&lt;=19896.67,572.67+(AI38-3896.67)*0.25,IF(AI38&lt;=50416.67,4572.67+(AI38-19896.67)*0.30,13728.67+(AI38-50416.67)*0.35))))))</f>
        <v/>
      </c>
      <c r="AK38" s="3" t="n"/>
      <c r="AL38" s="3" t="n"/>
      <c r="AM38" s="3" t="n"/>
      <c r="AN38" s="3" t="n"/>
      <c r="AO38" s="3" t="n"/>
      <c r="AP38" s="3">
        <f>SUM(AF38,AJ38,AK38,AL38,AM38,AN38,AO38,AG38,AH38)</f>
        <v/>
      </c>
      <c r="AQ38" s="3">
        <f>AE38-AP38</f>
        <v/>
      </c>
      <c r="AR38" s="3" t="n"/>
      <c r="AS38" s="3" t="n"/>
      <c r="AT38" s="3">
        <f>AR38-AS38</f>
        <v/>
      </c>
    </row>
    <row r="39">
      <c r="A39" s="2" t="n"/>
      <c r="B39" s="3" t="n"/>
      <c r="C39" s="4" t="n"/>
      <c r="D39" s="5" t="n"/>
      <c r="E39" s="3" t="n"/>
      <c r="F39" s="3">
        <f>IF(C39=0,0,IF(E39="",B39*D39/100,E39))</f>
        <v/>
      </c>
      <c r="G39" s="4" t="n"/>
      <c r="H39" s="5" t="n"/>
      <c r="I39" s="3" t="n"/>
      <c r="J39" s="3">
        <f>IF(G39=0,0,IF(I39="",B39*H39/100,I39))</f>
        <v/>
      </c>
      <c r="K39" s="4" t="n"/>
      <c r="L39" s="5" t="n"/>
      <c r="M39" s="3" t="n"/>
      <c r="N39" s="3">
        <f>IF(K39=0,0,IF(M39="",B39*L39/100,M39))</f>
        <v/>
      </c>
      <c r="O39" s="4" t="n"/>
      <c r="P39" s="5" t="n"/>
      <c r="Q39" s="3" t="n"/>
      <c r="R39" s="3">
        <f>IF(O39=0,0,IF(Q39="",B39*P39/100,Q39))</f>
        <v/>
      </c>
      <c r="S39" s="4" t="n"/>
      <c r="T39" s="5" t="n"/>
      <c r="U39" s="3" t="n"/>
      <c r="V39" s="3">
        <f>IF(S39=0,0,IF(U39="",B39*T39/100,U39))</f>
        <v/>
      </c>
      <c r="W39" s="4" t="n"/>
      <c r="X39" s="5" t="n"/>
      <c r="Y39" s="3" t="n"/>
      <c r="Z39" s="3">
        <f>IF(W39=0,0,IF(Y39="",B39*X39/100,Y39))</f>
        <v/>
      </c>
      <c r="AA39" s="3" t="n"/>
      <c r="AB39" s="3" t="n"/>
      <c r="AC39" s="3">
        <f>B39*0.035</f>
        <v/>
      </c>
      <c r="AD39" s="3">
        <f>B39*0.065</f>
        <v/>
      </c>
      <c r="AE39" s="3">
        <f>SUM(B39,F39,J39,N39,R39,V39,Z39,AA39,AB39,AC39,AD39)</f>
        <v/>
      </c>
      <c r="AF39" s="3">
        <f>B39*0.055</f>
        <v/>
      </c>
      <c r="AG39" s="3">
        <f>B39*0.035</f>
        <v/>
      </c>
      <c r="AH39" s="3">
        <f>B39*0.165</f>
        <v/>
      </c>
      <c r="AI39" s="3">
        <f>MAX(0,AE39-AF39-AH39)</f>
        <v/>
      </c>
      <c r="AJ39" s="3">
        <f>IF(AI39&lt;=490,0,IF(AI39&lt;=600,(AI39-490)*0.05,IF(AI39&lt;=730,5.5+(AI39-600)*0.10,IF(AI39&lt;=3896.67,18.5+(AI39-730)*0.175,IF(AI39&lt;=19896.67,572.67+(AI39-3896.67)*0.25,IF(AI39&lt;=50416.67,4572.67+(AI39-19896.67)*0.30,13728.67+(AI39-50416.67)*0.35))))))</f>
        <v/>
      </c>
      <c r="AK39" s="3" t="n"/>
      <c r="AL39" s="3" t="n"/>
      <c r="AM39" s="3" t="n"/>
      <c r="AN39" s="3" t="n"/>
      <c r="AO39" s="3" t="n"/>
      <c r="AP39" s="3">
        <f>SUM(AF39,AJ39,AK39,AL39,AM39,AN39,AO39,AG39,AH39)</f>
        <v/>
      </c>
      <c r="AQ39" s="3">
        <f>AE39-AP39</f>
        <v/>
      </c>
      <c r="AR39" s="3" t="n"/>
      <c r="AS39" s="3" t="n"/>
      <c r="AT39" s="3">
        <f>AR39-AS39</f>
        <v/>
      </c>
    </row>
    <row r="40">
      <c r="A40" s="2" t="n"/>
      <c r="B40" s="3" t="n"/>
      <c r="C40" s="4" t="n"/>
      <c r="D40" s="5" t="n"/>
      <c r="E40" s="3" t="n"/>
      <c r="F40" s="3">
        <f>IF(C40=0,0,IF(E40="",B40*D40/100,E40))</f>
        <v/>
      </c>
      <c r="G40" s="4" t="n"/>
      <c r="H40" s="5" t="n"/>
      <c r="I40" s="3" t="n"/>
      <c r="J40" s="3">
        <f>IF(G40=0,0,IF(I40="",B40*H40/100,I40))</f>
        <v/>
      </c>
      <c r="K40" s="4" t="n"/>
      <c r="L40" s="5" t="n"/>
      <c r="M40" s="3" t="n"/>
      <c r="N40" s="3">
        <f>IF(K40=0,0,IF(M40="",B40*L40/100,M40))</f>
        <v/>
      </c>
      <c r="O40" s="4" t="n"/>
      <c r="P40" s="5" t="n"/>
      <c r="Q40" s="3" t="n"/>
      <c r="R40" s="3">
        <f>IF(O40=0,0,IF(Q40="",B40*P40/100,Q40))</f>
        <v/>
      </c>
      <c r="S40" s="4" t="n"/>
      <c r="T40" s="5" t="n"/>
      <c r="U40" s="3" t="n"/>
      <c r="V40" s="3">
        <f>IF(S40=0,0,IF(U40="",B40*T40/100,U40))</f>
        <v/>
      </c>
      <c r="W40" s="4" t="n"/>
      <c r="X40" s="5" t="n"/>
      <c r="Y40" s="3" t="n"/>
      <c r="Z40" s="3">
        <f>IF(W40=0,0,IF(Y40="",B40*X40/100,Y40))</f>
        <v/>
      </c>
      <c r="AA40" s="3" t="n"/>
      <c r="AB40" s="3" t="n"/>
      <c r="AC40" s="3">
        <f>B40*0.035</f>
        <v/>
      </c>
      <c r="AD40" s="3">
        <f>B40*0.065</f>
        <v/>
      </c>
      <c r="AE40" s="3">
        <f>SUM(B40,F40,J40,N40,R40,V40,Z40,AA40,AB40,AC40,AD40)</f>
        <v/>
      </c>
      <c r="AF40" s="3">
        <f>B40*0.055</f>
        <v/>
      </c>
      <c r="AG40" s="3">
        <f>B40*0.035</f>
        <v/>
      </c>
      <c r="AH40" s="3">
        <f>B40*0.165</f>
        <v/>
      </c>
      <c r="AI40" s="3">
        <f>MAX(0,AE40-AF40-AH40)</f>
        <v/>
      </c>
      <c r="AJ40" s="3">
        <f>IF(AI40&lt;=490,0,IF(AI40&lt;=600,(AI40-490)*0.05,IF(AI40&lt;=730,5.5+(AI40-600)*0.10,IF(AI40&lt;=3896.67,18.5+(AI40-730)*0.175,IF(AI40&lt;=19896.67,572.67+(AI40-3896.67)*0.25,IF(AI40&lt;=50416.67,4572.67+(AI40-19896.67)*0.30,13728.67+(AI40-50416.67)*0.35))))))</f>
        <v/>
      </c>
      <c r="AK40" s="3" t="n"/>
      <c r="AL40" s="3" t="n"/>
      <c r="AM40" s="3" t="n"/>
      <c r="AN40" s="3" t="n"/>
      <c r="AO40" s="3" t="n"/>
      <c r="AP40" s="3">
        <f>SUM(AF40,AJ40,AK40,AL40,AM40,AN40,AO40,AG40,AH40)</f>
        <v/>
      </c>
      <c r="AQ40" s="3">
        <f>AE40-AP40</f>
        <v/>
      </c>
      <c r="AR40" s="3" t="n"/>
      <c r="AS40" s="3" t="n"/>
      <c r="AT40" s="3">
        <f>AR40-AS40</f>
        <v/>
      </c>
    </row>
    <row r="41">
      <c r="A41" s="2" t="n"/>
      <c r="B41" s="3" t="n"/>
      <c r="C41" s="4" t="n"/>
      <c r="D41" s="5" t="n"/>
      <c r="E41" s="3" t="n"/>
      <c r="F41" s="3">
        <f>IF(C41=0,0,IF(E41="",B41*D41/100,E41))</f>
        <v/>
      </c>
      <c r="G41" s="4" t="n"/>
      <c r="H41" s="5" t="n"/>
      <c r="I41" s="3" t="n"/>
      <c r="J41" s="3">
        <f>IF(G41=0,0,IF(I41="",B41*H41/100,I41))</f>
        <v/>
      </c>
      <c r="K41" s="4" t="n"/>
      <c r="L41" s="5" t="n"/>
      <c r="M41" s="3" t="n"/>
      <c r="N41" s="3">
        <f>IF(K41=0,0,IF(M41="",B41*L41/100,M41))</f>
        <v/>
      </c>
      <c r="O41" s="4" t="n"/>
      <c r="P41" s="5" t="n"/>
      <c r="Q41" s="3" t="n"/>
      <c r="R41" s="3">
        <f>IF(O41=0,0,IF(Q41="",B41*P41/100,Q41))</f>
        <v/>
      </c>
      <c r="S41" s="4" t="n"/>
      <c r="T41" s="5" t="n"/>
      <c r="U41" s="3" t="n"/>
      <c r="V41" s="3">
        <f>IF(S41=0,0,IF(U41="",B41*T41/100,U41))</f>
        <v/>
      </c>
      <c r="W41" s="4" t="n"/>
      <c r="X41" s="5" t="n"/>
      <c r="Y41" s="3" t="n"/>
      <c r="Z41" s="3">
        <f>IF(W41=0,0,IF(Y41="",B41*X41/100,Y41))</f>
        <v/>
      </c>
      <c r="AA41" s="3" t="n"/>
      <c r="AB41" s="3" t="n"/>
      <c r="AC41" s="3">
        <f>B41*0.035</f>
        <v/>
      </c>
      <c r="AD41" s="3">
        <f>B41*0.065</f>
        <v/>
      </c>
      <c r="AE41" s="3">
        <f>SUM(B41,F41,J41,N41,R41,V41,Z41,AA41,AB41,AC41,AD41)</f>
        <v/>
      </c>
      <c r="AF41" s="3">
        <f>B41*0.055</f>
        <v/>
      </c>
      <c r="AG41" s="3">
        <f>B41*0.035</f>
        <v/>
      </c>
      <c r="AH41" s="3">
        <f>B41*0.165</f>
        <v/>
      </c>
      <c r="AI41" s="3">
        <f>MAX(0,AE41-AF41-AH41)</f>
        <v/>
      </c>
      <c r="AJ41" s="3">
        <f>IF(AI41&lt;=490,0,IF(AI41&lt;=600,(AI41-490)*0.05,IF(AI41&lt;=730,5.5+(AI41-600)*0.10,IF(AI41&lt;=3896.67,18.5+(AI41-730)*0.175,IF(AI41&lt;=19896.67,572.67+(AI41-3896.67)*0.25,IF(AI41&lt;=50416.67,4572.67+(AI41-19896.67)*0.30,13728.67+(AI41-50416.67)*0.35))))))</f>
        <v/>
      </c>
      <c r="AK41" s="3" t="n"/>
      <c r="AL41" s="3" t="n"/>
      <c r="AM41" s="3" t="n"/>
      <c r="AN41" s="3" t="n"/>
      <c r="AO41" s="3" t="n"/>
      <c r="AP41" s="3">
        <f>SUM(AF41,AJ41,AK41,AL41,AM41,AN41,AO41,AG41,AH41)</f>
        <v/>
      </c>
      <c r="AQ41" s="3">
        <f>AE41-AP41</f>
        <v/>
      </c>
      <c r="AR41" s="3" t="n"/>
      <c r="AS41" s="3" t="n"/>
      <c r="AT41" s="3">
        <f>AR41-AS41</f>
        <v/>
      </c>
    </row>
    <row r="42">
      <c r="A42" s="2" t="n"/>
      <c r="B42" s="3" t="n"/>
      <c r="C42" s="4" t="n"/>
      <c r="D42" s="5" t="n"/>
      <c r="E42" s="3" t="n"/>
      <c r="F42" s="3">
        <f>IF(C42=0,0,IF(E42="",B42*D42/100,E42))</f>
        <v/>
      </c>
      <c r="G42" s="4" t="n"/>
      <c r="H42" s="5" t="n"/>
      <c r="I42" s="3" t="n"/>
      <c r="J42" s="3">
        <f>IF(G42=0,0,IF(I42="",B42*H42/100,I42))</f>
        <v/>
      </c>
      <c r="K42" s="4" t="n"/>
      <c r="L42" s="5" t="n"/>
      <c r="M42" s="3" t="n"/>
      <c r="N42" s="3">
        <f>IF(K42=0,0,IF(M42="",B42*L42/100,M42))</f>
        <v/>
      </c>
      <c r="O42" s="4" t="n"/>
      <c r="P42" s="5" t="n"/>
      <c r="Q42" s="3" t="n"/>
      <c r="R42" s="3">
        <f>IF(O42=0,0,IF(Q42="",B42*P42/100,Q42))</f>
        <v/>
      </c>
      <c r="S42" s="4" t="n"/>
      <c r="T42" s="5" t="n"/>
      <c r="U42" s="3" t="n"/>
      <c r="V42" s="3">
        <f>IF(S42=0,0,IF(U42="",B42*T42/100,U42))</f>
        <v/>
      </c>
      <c r="W42" s="4" t="n"/>
      <c r="X42" s="5" t="n"/>
      <c r="Y42" s="3" t="n"/>
      <c r="Z42" s="3">
        <f>IF(W42=0,0,IF(Y42="",B42*X42/100,Y42))</f>
        <v/>
      </c>
      <c r="AA42" s="3" t="n"/>
      <c r="AB42" s="3" t="n"/>
      <c r="AC42" s="3">
        <f>B42*0.035</f>
        <v/>
      </c>
      <c r="AD42" s="3">
        <f>B42*0.065</f>
        <v/>
      </c>
      <c r="AE42" s="3">
        <f>SUM(B42,F42,J42,N42,R42,V42,Z42,AA42,AB42,AC42,AD42)</f>
        <v/>
      </c>
      <c r="AF42" s="3">
        <f>B42*0.055</f>
        <v/>
      </c>
      <c r="AG42" s="3">
        <f>B42*0.035</f>
        <v/>
      </c>
      <c r="AH42" s="3">
        <f>B42*0.165</f>
        <v/>
      </c>
      <c r="AI42" s="3">
        <f>MAX(0,AE42-AF42-AH42)</f>
        <v/>
      </c>
      <c r="AJ42" s="3">
        <f>IF(AI42&lt;=490,0,IF(AI42&lt;=600,(AI42-490)*0.05,IF(AI42&lt;=730,5.5+(AI42-600)*0.10,IF(AI42&lt;=3896.67,18.5+(AI42-730)*0.175,IF(AI42&lt;=19896.67,572.67+(AI42-3896.67)*0.25,IF(AI42&lt;=50416.67,4572.67+(AI42-19896.67)*0.30,13728.67+(AI42-50416.67)*0.35))))))</f>
        <v/>
      </c>
      <c r="AK42" s="3" t="n"/>
      <c r="AL42" s="3" t="n"/>
      <c r="AM42" s="3" t="n"/>
      <c r="AN42" s="3" t="n"/>
      <c r="AO42" s="3" t="n"/>
      <c r="AP42" s="3">
        <f>SUM(AF42,AJ42,AK42,AL42,AM42,AN42,AO42,AG42,AH42)</f>
        <v/>
      </c>
      <c r="AQ42" s="3">
        <f>AE42-AP42</f>
        <v/>
      </c>
      <c r="AR42" s="3" t="n"/>
      <c r="AS42" s="3" t="n"/>
      <c r="AT42" s="3">
        <f>AR42-AS42</f>
        <v/>
      </c>
    </row>
    <row r="43">
      <c r="A43" s="2" t="n"/>
      <c r="B43" s="3" t="n"/>
      <c r="C43" s="4" t="n"/>
      <c r="D43" s="5" t="n"/>
      <c r="E43" s="3" t="n"/>
      <c r="F43" s="3">
        <f>IF(C43=0,0,IF(E43="",B43*D43/100,E43))</f>
        <v/>
      </c>
      <c r="G43" s="4" t="n"/>
      <c r="H43" s="5" t="n"/>
      <c r="I43" s="3" t="n"/>
      <c r="J43" s="3">
        <f>IF(G43=0,0,IF(I43="",B43*H43/100,I43))</f>
        <v/>
      </c>
      <c r="K43" s="4" t="n"/>
      <c r="L43" s="5" t="n"/>
      <c r="M43" s="3" t="n"/>
      <c r="N43" s="3">
        <f>IF(K43=0,0,IF(M43="",B43*L43/100,M43))</f>
        <v/>
      </c>
      <c r="O43" s="4" t="n"/>
      <c r="P43" s="5" t="n"/>
      <c r="Q43" s="3" t="n"/>
      <c r="R43" s="3">
        <f>IF(O43=0,0,IF(Q43="",B43*P43/100,Q43))</f>
        <v/>
      </c>
      <c r="S43" s="4" t="n"/>
      <c r="T43" s="5" t="n"/>
      <c r="U43" s="3" t="n"/>
      <c r="V43" s="3">
        <f>IF(S43=0,0,IF(U43="",B43*T43/100,U43))</f>
        <v/>
      </c>
      <c r="W43" s="4" t="n"/>
      <c r="X43" s="5" t="n"/>
      <c r="Y43" s="3" t="n"/>
      <c r="Z43" s="3">
        <f>IF(W43=0,0,IF(Y43="",B43*X43/100,Y43))</f>
        <v/>
      </c>
      <c r="AA43" s="3" t="n"/>
      <c r="AB43" s="3" t="n"/>
      <c r="AC43" s="3">
        <f>B43*0.035</f>
        <v/>
      </c>
      <c r="AD43" s="3">
        <f>B43*0.065</f>
        <v/>
      </c>
      <c r="AE43" s="3">
        <f>SUM(B43,F43,J43,N43,R43,V43,Z43,AA43,AB43,AC43,AD43)</f>
        <v/>
      </c>
      <c r="AF43" s="3">
        <f>B43*0.055</f>
        <v/>
      </c>
      <c r="AG43" s="3">
        <f>B43*0.035</f>
        <v/>
      </c>
      <c r="AH43" s="3">
        <f>B43*0.165</f>
        <v/>
      </c>
      <c r="AI43" s="3">
        <f>MAX(0,AE43-AF43-AH43)</f>
        <v/>
      </c>
      <c r="AJ43" s="3">
        <f>IF(AI43&lt;=490,0,IF(AI43&lt;=600,(AI43-490)*0.05,IF(AI43&lt;=730,5.5+(AI43-600)*0.10,IF(AI43&lt;=3896.67,18.5+(AI43-730)*0.175,IF(AI43&lt;=19896.67,572.67+(AI43-3896.67)*0.25,IF(AI43&lt;=50416.67,4572.67+(AI43-19896.67)*0.30,13728.67+(AI43-50416.67)*0.35))))))</f>
        <v/>
      </c>
      <c r="AK43" s="3" t="n"/>
      <c r="AL43" s="3" t="n"/>
      <c r="AM43" s="3" t="n"/>
      <c r="AN43" s="3" t="n"/>
      <c r="AO43" s="3" t="n"/>
      <c r="AP43" s="3">
        <f>SUM(AF43,AJ43,AK43,AL43,AM43,AN43,AO43,AG43,AH43)</f>
        <v/>
      </c>
      <c r="AQ43" s="3">
        <f>AE43-AP43</f>
        <v/>
      </c>
      <c r="AR43" s="3" t="n"/>
      <c r="AS43" s="3" t="n"/>
      <c r="AT43" s="3">
        <f>AR43-AS43</f>
        <v/>
      </c>
    </row>
    <row r="44">
      <c r="A44" s="2" t="n"/>
      <c r="B44" s="3" t="n"/>
      <c r="C44" s="4" t="n"/>
      <c r="D44" s="5" t="n"/>
      <c r="E44" s="3" t="n"/>
      <c r="F44" s="3">
        <f>IF(C44=0,0,IF(E44="",B44*D44/100,E44))</f>
        <v/>
      </c>
      <c r="G44" s="4" t="n"/>
      <c r="H44" s="5" t="n"/>
      <c r="I44" s="3" t="n"/>
      <c r="J44" s="3">
        <f>IF(G44=0,0,IF(I44="",B44*H44/100,I44))</f>
        <v/>
      </c>
      <c r="K44" s="4" t="n"/>
      <c r="L44" s="5" t="n"/>
      <c r="M44" s="3" t="n"/>
      <c r="N44" s="3">
        <f>IF(K44=0,0,IF(M44="",B44*L44/100,M44))</f>
        <v/>
      </c>
      <c r="O44" s="4" t="n"/>
      <c r="P44" s="5" t="n"/>
      <c r="Q44" s="3" t="n"/>
      <c r="R44" s="3">
        <f>IF(O44=0,0,IF(Q44="",B44*P44/100,Q44))</f>
        <v/>
      </c>
      <c r="S44" s="4" t="n"/>
      <c r="T44" s="5" t="n"/>
      <c r="U44" s="3" t="n"/>
      <c r="V44" s="3">
        <f>IF(S44=0,0,IF(U44="",B44*T44/100,U44))</f>
        <v/>
      </c>
      <c r="W44" s="4" t="n"/>
      <c r="X44" s="5" t="n"/>
      <c r="Y44" s="3" t="n"/>
      <c r="Z44" s="3">
        <f>IF(W44=0,0,IF(Y44="",B44*X44/100,Y44))</f>
        <v/>
      </c>
      <c r="AA44" s="3" t="n"/>
      <c r="AB44" s="3" t="n"/>
      <c r="AC44" s="3">
        <f>B44*0.035</f>
        <v/>
      </c>
      <c r="AD44" s="3">
        <f>B44*0.065</f>
        <v/>
      </c>
      <c r="AE44" s="3">
        <f>SUM(B44,F44,J44,N44,R44,V44,Z44,AA44,AB44,AC44,AD44)</f>
        <v/>
      </c>
      <c r="AF44" s="3">
        <f>B44*0.055</f>
        <v/>
      </c>
      <c r="AG44" s="3">
        <f>B44*0.035</f>
        <v/>
      </c>
      <c r="AH44" s="3">
        <f>B44*0.165</f>
        <v/>
      </c>
      <c r="AI44" s="3">
        <f>MAX(0,AE44-AF44-AH44)</f>
        <v/>
      </c>
      <c r="AJ44" s="3">
        <f>IF(AI44&lt;=490,0,IF(AI44&lt;=600,(AI44-490)*0.05,IF(AI44&lt;=730,5.5+(AI44-600)*0.10,IF(AI44&lt;=3896.67,18.5+(AI44-730)*0.175,IF(AI44&lt;=19896.67,572.67+(AI44-3896.67)*0.25,IF(AI44&lt;=50416.67,4572.67+(AI44-19896.67)*0.30,13728.67+(AI44-50416.67)*0.35))))))</f>
        <v/>
      </c>
      <c r="AK44" s="3" t="n"/>
      <c r="AL44" s="3" t="n"/>
      <c r="AM44" s="3" t="n"/>
      <c r="AN44" s="3" t="n"/>
      <c r="AO44" s="3" t="n"/>
      <c r="AP44" s="3">
        <f>SUM(AF44,AJ44,AK44,AL44,AM44,AN44,AO44,AG44,AH44)</f>
        <v/>
      </c>
      <c r="AQ44" s="3">
        <f>AE44-AP44</f>
        <v/>
      </c>
      <c r="AR44" s="3" t="n"/>
      <c r="AS44" s="3" t="n"/>
      <c r="AT44" s="3">
        <f>AR44-AS44</f>
        <v/>
      </c>
    </row>
    <row r="45">
      <c r="A45" s="2" t="n"/>
      <c r="B45" s="3" t="n"/>
      <c r="C45" s="4" t="n"/>
      <c r="D45" s="5" t="n"/>
      <c r="E45" s="3" t="n"/>
      <c r="F45" s="3">
        <f>IF(C45=0,0,IF(E45="",B45*D45/100,E45))</f>
        <v/>
      </c>
      <c r="G45" s="4" t="n"/>
      <c r="H45" s="5" t="n"/>
      <c r="I45" s="3" t="n"/>
      <c r="J45" s="3">
        <f>IF(G45=0,0,IF(I45="",B45*H45/100,I45))</f>
        <v/>
      </c>
      <c r="K45" s="4" t="n"/>
      <c r="L45" s="5" t="n"/>
      <c r="M45" s="3" t="n"/>
      <c r="N45" s="3">
        <f>IF(K45=0,0,IF(M45="",B45*L45/100,M45))</f>
        <v/>
      </c>
      <c r="O45" s="4" t="n"/>
      <c r="P45" s="5" t="n"/>
      <c r="Q45" s="3" t="n"/>
      <c r="R45" s="3">
        <f>IF(O45=0,0,IF(Q45="",B45*P45/100,Q45))</f>
        <v/>
      </c>
      <c r="S45" s="4" t="n"/>
      <c r="T45" s="5" t="n"/>
      <c r="U45" s="3" t="n"/>
      <c r="V45" s="3">
        <f>IF(S45=0,0,IF(U45="",B45*T45/100,U45))</f>
        <v/>
      </c>
      <c r="W45" s="4" t="n"/>
      <c r="X45" s="5" t="n"/>
      <c r="Y45" s="3" t="n"/>
      <c r="Z45" s="3">
        <f>IF(W45=0,0,IF(Y45="",B45*X45/100,Y45))</f>
        <v/>
      </c>
      <c r="AA45" s="3" t="n"/>
      <c r="AB45" s="3" t="n"/>
      <c r="AC45" s="3">
        <f>B45*0.035</f>
        <v/>
      </c>
      <c r="AD45" s="3">
        <f>B45*0.065</f>
        <v/>
      </c>
      <c r="AE45" s="3">
        <f>SUM(B45,F45,J45,N45,R45,V45,Z45,AA45,AB45,AC45,AD45)</f>
        <v/>
      </c>
      <c r="AF45" s="3">
        <f>B45*0.055</f>
        <v/>
      </c>
      <c r="AG45" s="3">
        <f>B45*0.035</f>
        <v/>
      </c>
      <c r="AH45" s="3">
        <f>B45*0.165</f>
        <v/>
      </c>
      <c r="AI45" s="3">
        <f>MAX(0,AE45-AF45-AH45)</f>
        <v/>
      </c>
      <c r="AJ45" s="3">
        <f>IF(AI45&lt;=490,0,IF(AI45&lt;=600,(AI45-490)*0.05,IF(AI45&lt;=730,5.5+(AI45-600)*0.10,IF(AI45&lt;=3896.67,18.5+(AI45-730)*0.175,IF(AI45&lt;=19896.67,572.67+(AI45-3896.67)*0.25,IF(AI45&lt;=50416.67,4572.67+(AI45-19896.67)*0.30,13728.67+(AI45-50416.67)*0.35))))))</f>
        <v/>
      </c>
      <c r="AK45" s="3" t="n"/>
      <c r="AL45" s="3" t="n"/>
      <c r="AM45" s="3" t="n"/>
      <c r="AN45" s="3" t="n"/>
      <c r="AO45" s="3" t="n"/>
      <c r="AP45" s="3">
        <f>SUM(AF45,AJ45,AK45,AL45,AM45,AN45,AO45,AG45,AH45)</f>
        <v/>
      </c>
      <c r="AQ45" s="3">
        <f>AE45-AP45</f>
        <v/>
      </c>
      <c r="AR45" s="3" t="n"/>
      <c r="AS45" s="3" t="n"/>
      <c r="AT45" s="3">
        <f>AR45-AS45</f>
        <v/>
      </c>
    </row>
    <row r="46">
      <c r="A46" s="2" t="n"/>
      <c r="B46" s="3" t="n"/>
      <c r="C46" s="4" t="n"/>
      <c r="D46" s="5" t="n"/>
      <c r="E46" s="3" t="n"/>
      <c r="F46" s="3">
        <f>IF(C46=0,0,IF(E46="",B46*D46/100,E46))</f>
        <v/>
      </c>
      <c r="G46" s="4" t="n"/>
      <c r="H46" s="5" t="n"/>
      <c r="I46" s="3" t="n"/>
      <c r="J46" s="3">
        <f>IF(G46=0,0,IF(I46="",B46*H46/100,I46))</f>
        <v/>
      </c>
      <c r="K46" s="4" t="n"/>
      <c r="L46" s="5" t="n"/>
      <c r="M46" s="3" t="n"/>
      <c r="N46" s="3">
        <f>IF(K46=0,0,IF(M46="",B46*L46/100,M46))</f>
        <v/>
      </c>
      <c r="O46" s="4" t="n"/>
      <c r="P46" s="5" t="n"/>
      <c r="Q46" s="3" t="n"/>
      <c r="R46" s="3">
        <f>IF(O46=0,0,IF(Q46="",B46*P46/100,Q46))</f>
        <v/>
      </c>
      <c r="S46" s="4" t="n"/>
      <c r="T46" s="5" t="n"/>
      <c r="U46" s="3" t="n"/>
      <c r="V46" s="3">
        <f>IF(S46=0,0,IF(U46="",B46*T46/100,U46))</f>
        <v/>
      </c>
      <c r="W46" s="4" t="n"/>
      <c r="X46" s="5" t="n"/>
      <c r="Y46" s="3" t="n"/>
      <c r="Z46" s="3">
        <f>IF(W46=0,0,IF(Y46="",B46*X46/100,Y46))</f>
        <v/>
      </c>
      <c r="AA46" s="3" t="n"/>
      <c r="AB46" s="3" t="n"/>
      <c r="AC46" s="3">
        <f>B46*0.035</f>
        <v/>
      </c>
      <c r="AD46" s="3">
        <f>B46*0.065</f>
        <v/>
      </c>
      <c r="AE46" s="3">
        <f>SUM(B46,F46,J46,N46,R46,V46,Z46,AA46,AB46,AC46,AD46)</f>
        <v/>
      </c>
      <c r="AF46" s="3">
        <f>B46*0.055</f>
        <v/>
      </c>
      <c r="AG46" s="3">
        <f>B46*0.035</f>
        <v/>
      </c>
      <c r="AH46" s="3">
        <f>B46*0.165</f>
        <v/>
      </c>
      <c r="AI46" s="3">
        <f>MAX(0,AE46-AF46-AH46)</f>
        <v/>
      </c>
      <c r="AJ46" s="3">
        <f>IF(AI46&lt;=490,0,IF(AI46&lt;=600,(AI46-490)*0.05,IF(AI46&lt;=730,5.5+(AI46-600)*0.10,IF(AI46&lt;=3896.67,18.5+(AI46-730)*0.175,IF(AI46&lt;=19896.67,572.67+(AI46-3896.67)*0.25,IF(AI46&lt;=50416.67,4572.67+(AI46-19896.67)*0.30,13728.67+(AI46-50416.67)*0.35))))))</f>
        <v/>
      </c>
      <c r="AK46" s="3" t="n"/>
      <c r="AL46" s="3" t="n"/>
      <c r="AM46" s="3" t="n"/>
      <c r="AN46" s="3" t="n"/>
      <c r="AO46" s="3" t="n"/>
      <c r="AP46" s="3">
        <f>SUM(AF46,AJ46,AK46,AL46,AM46,AN46,AO46,AG46,AH46)</f>
        <v/>
      </c>
      <c r="AQ46" s="3">
        <f>AE46-AP46</f>
        <v/>
      </c>
      <c r="AR46" s="3" t="n"/>
      <c r="AS46" s="3" t="n"/>
      <c r="AT46" s="3">
        <f>AR46-AS46</f>
        <v/>
      </c>
    </row>
    <row r="47">
      <c r="A47" s="2" t="n"/>
      <c r="B47" s="3" t="n"/>
      <c r="C47" s="4" t="n"/>
      <c r="D47" s="5" t="n"/>
      <c r="E47" s="3" t="n"/>
      <c r="F47" s="3">
        <f>IF(C47=0,0,IF(E47="",B47*D47/100,E47))</f>
        <v/>
      </c>
      <c r="G47" s="4" t="n"/>
      <c r="H47" s="5" t="n"/>
      <c r="I47" s="3" t="n"/>
      <c r="J47" s="3">
        <f>IF(G47=0,0,IF(I47="",B47*H47/100,I47))</f>
        <v/>
      </c>
      <c r="K47" s="4" t="n"/>
      <c r="L47" s="5" t="n"/>
      <c r="M47" s="3" t="n"/>
      <c r="N47" s="3">
        <f>IF(K47=0,0,IF(M47="",B47*L47/100,M47))</f>
        <v/>
      </c>
      <c r="O47" s="4" t="n"/>
      <c r="P47" s="5" t="n"/>
      <c r="Q47" s="3" t="n"/>
      <c r="R47" s="3">
        <f>IF(O47=0,0,IF(Q47="",B47*P47/100,Q47))</f>
        <v/>
      </c>
      <c r="S47" s="4" t="n"/>
      <c r="T47" s="5" t="n"/>
      <c r="U47" s="3" t="n"/>
      <c r="V47" s="3">
        <f>IF(S47=0,0,IF(U47="",B47*T47/100,U47))</f>
        <v/>
      </c>
      <c r="W47" s="4" t="n"/>
      <c r="X47" s="5" t="n"/>
      <c r="Y47" s="3" t="n"/>
      <c r="Z47" s="3">
        <f>IF(W47=0,0,IF(Y47="",B47*X47/100,Y47))</f>
        <v/>
      </c>
      <c r="AA47" s="3" t="n"/>
      <c r="AB47" s="3" t="n"/>
      <c r="AC47" s="3">
        <f>B47*0.035</f>
        <v/>
      </c>
      <c r="AD47" s="3">
        <f>B47*0.065</f>
        <v/>
      </c>
      <c r="AE47" s="3">
        <f>SUM(B47,F47,J47,N47,R47,V47,Z47,AA47,AB47,AC47,AD47)</f>
        <v/>
      </c>
      <c r="AF47" s="3">
        <f>B47*0.055</f>
        <v/>
      </c>
      <c r="AG47" s="3">
        <f>B47*0.035</f>
        <v/>
      </c>
      <c r="AH47" s="3">
        <f>B47*0.165</f>
        <v/>
      </c>
      <c r="AI47" s="3">
        <f>MAX(0,AE47-AF47-AH47)</f>
        <v/>
      </c>
      <c r="AJ47" s="3">
        <f>IF(AI47&lt;=490,0,IF(AI47&lt;=600,(AI47-490)*0.05,IF(AI47&lt;=730,5.5+(AI47-600)*0.10,IF(AI47&lt;=3896.67,18.5+(AI47-730)*0.175,IF(AI47&lt;=19896.67,572.67+(AI47-3896.67)*0.25,IF(AI47&lt;=50416.67,4572.67+(AI47-19896.67)*0.30,13728.67+(AI47-50416.67)*0.35))))))</f>
        <v/>
      </c>
      <c r="AK47" s="3" t="n"/>
      <c r="AL47" s="3" t="n"/>
      <c r="AM47" s="3" t="n"/>
      <c r="AN47" s="3" t="n"/>
      <c r="AO47" s="3" t="n"/>
      <c r="AP47" s="3">
        <f>SUM(AF47,AJ47,AK47,AL47,AM47,AN47,AO47,AG47,AH47)</f>
        <v/>
      </c>
      <c r="AQ47" s="3">
        <f>AE47-AP47</f>
        <v/>
      </c>
      <c r="AR47" s="3" t="n"/>
      <c r="AS47" s="3" t="n"/>
      <c r="AT47" s="3">
        <f>AR47-AS47</f>
        <v/>
      </c>
    </row>
    <row r="48">
      <c r="A48" s="2" t="n"/>
      <c r="B48" s="3" t="n"/>
      <c r="C48" s="4" t="n"/>
      <c r="D48" s="5" t="n"/>
      <c r="E48" s="3" t="n"/>
      <c r="F48" s="3">
        <f>IF(C48=0,0,IF(E48="",B48*D48/100,E48))</f>
        <v/>
      </c>
      <c r="G48" s="4" t="n"/>
      <c r="H48" s="5" t="n"/>
      <c r="I48" s="3" t="n"/>
      <c r="J48" s="3">
        <f>IF(G48=0,0,IF(I48="",B48*H48/100,I48))</f>
        <v/>
      </c>
      <c r="K48" s="4" t="n"/>
      <c r="L48" s="5" t="n"/>
      <c r="M48" s="3" t="n"/>
      <c r="N48" s="3">
        <f>IF(K48=0,0,IF(M48="",B48*L48/100,M48))</f>
        <v/>
      </c>
      <c r="O48" s="4" t="n"/>
      <c r="P48" s="5" t="n"/>
      <c r="Q48" s="3" t="n"/>
      <c r="R48" s="3">
        <f>IF(O48=0,0,IF(Q48="",B48*P48/100,Q48))</f>
        <v/>
      </c>
      <c r="S48" s="4" t="n"/>
      <c r="T48" s="5" t="n"/>
      <c r="U48" s="3" t="n"/>
      <c r="V48" s="3">
        <f>IF(S48=0,0,IF(U48="",B48*T48/100,U48))</f>
        <v/>
      </c>
      <c r="W48" s="4" t="n"/>
      <c r="X48" s="5" t="n"/>
      <c r="Y48" s="3" t="n"/>
      <c r="Z48" s="3">
        <f>IF(W48=0,0,IF(Y48="",B48*X48/100,Y48))</f>
        <v/>
      </c>
      <c r="AA48" s="3" t="n"/>
      <c r="AB48" s="3" t="n"/>
      <c r="AC48" s="3">
        <f>B48*0.035</f>
        <v/>
      </c>
      <c r="AD48" s="3">
        <f>B48*0.065</f>
        <v/>
      </c>
      <c r="AE48" s="3">
        <f>SUM(B48,F48,J48,N48,R48,V48,Z48,AA48,AB48,AC48,AD48)</f>
        <v/>
      </c>
      <c r="AF48" s="3">
        <f>B48*0.055</f>
        <v/>
      </c>
      <c r="AG48" s="3">
        <f>B48*0.035</f>
        <v/>
      </c>
      <c r="AH48" s="3">
        <f>B48*0.165</f>
        <v/>
      </c>
      <c r="AI48" s="3">
        <f>MAX(0,AE48-AF48-AH48)</f>
        <v/>
      </c>
      <c r="AJ48" s="3">
        <f>IF(AI48&lt;=490,0,IF(AI48&lt;=600,(AI48-490)*0.05,IF(AI48&lt;=730,5.5+(AI48-600)*0.10,IF(AI48&lt;=3896.67,18.5+(AI48-730)*0.175,IF(AI48&lt;=19896.67,572.67+(AI48-3896.67)*0.25,IF(AI48&lt;=50416.67,4572.67+(AI48-19896.67)*0.30,13728.67+(AI48-50416.67)*0.35))))))</f>
        <v/>
      </c>
      <c r="AK48" s="3" t="n"/>
      <c r="AL48" s="3" t="n"/>
      <c r="AM48" s="3" t="n"/>
      <c r="AN48" s="3" t="n"/>
      <c r="AO48" s="3" t="n"/>
      <c r="AP48" s="3">
        <f>SUM(AF48,AJ48,AK48,AL48,AM48,AN48,AO48,AG48,AH48)</f>
        <v/>
      </c>
      <c r="AQ48" s="3">
        <f>AE48-AP48</f>
        <v/>
      </c>
      <c r="AR48" s="3" t="n"/>
      <c r="AS48" s="3" t="n"/>
      <c r="AT48" s="3">
        <f>AR48-AS48</f>
        <v/>
      </c>
    </row>
    <row r="49">
      <c r="A49" s="2" t="n"/>
      <c r="B49" s="3" t="n"/>
      <c r="C49" s="4" t="n"/>
      <c r="D49" s="5" t="n"/>
      <c r="E49" s="3" t="n"/>
      <c r="F49" s="3">
        <f>IF(C49=0,0,IF(E49="",B49*D49/100,E49))</f>
        <v/>
      </c>
      <c r="G49" s="4" t="n"/>
      <c r="H49" s="5" t="n"/>
      <c r="I49" s="3" t="n"/>
      <c r="J49" s="3">
        <f>IF(G49=0,0,IF(I49="",B49*H49/100,I49))</f>
        <v/>
      </c>
      <c r="K49" s="4" t="n"/>
      <c r="L49" s="5" t="n"/>
      <c r="M49" s="3" t="n"/>
      <c r="N49" s="3">
        <f>IF(K49=0,0,IF(M49="",B49*L49/100,M49))</f>
        <v/>
      </c>
      <c r="O49" s="4" t="n"/>
      <c r="P49" s="5" t="n"/>
      <c r="Q49" s="3" t="n"/>
      <c r="R49" s="3">
        <f>IF(O49=0,0,IF(Q49="",B49*P49/100,Q49))</f>
        <v/>
      </c>
      <c r="S49" s="4" t="n"/>
      <c r="T49" s="5" t="n"/>
      <c r="U49" s="3" t="n"/>
      <c r="V49" s="3">
        <f>IF(S49=0,0,IF(U49="",B49*T49/100,U49))</f>
        <v/>
      </c>
      <c r="W49" s="4" t="n"/>
      <c r="X49" s="5" t="n"/>
      <c r="Y49" s="3" t="n"/>
      <c r="Z49" s="3">
        <f>IF(W49=0,0,IF(Y49="",B49*X49/100,Y49))</f>
        <v/>
      </c>
      <c r="AA49" s="3" t="n"/>
      <c r="AB49" s="3" t="n"/>
      <c r="AC49" s="3">
        <f>B49*0.035</f>
        <v/>
      </c>
      <c r="AD49" s="3">
        <f>B49*0.065</f>
        <v/>
      </c>
      <c r="AE49" s="3">
        <f>SUM(B49,F49,J49,N49,R49,V49,Z49,AA49,AB49,AC49,AD49)</f>
        <v/>
      </c>
      <c r="AF49" s="3">
        <f>B49*0.055</f>
        <v/>
      </c>
      <c r="AG49" s="3">
        <f>B49*0.035</f>
        <v/>
      </c>
      <c r="AH49" s="3">
        <f>B49*0.165</f>
        <v/>
      </c>
      <c r="AI49" s="3">
        <f>MAX(0,AE49-AF49-AH49)</f>
        <v/>
      </c>
      <c r="AJ49" s="3">
        <f>IF(AI49&lt;=490,0,IF(AI49&lt;=600,(AI49-490)*0.05,IF(AI49&lt;=730,5.5+(AI49-600)*0.10,IF(AI49&lt;=3896.67,18.5+(AI49-730)*0.175,IF(AI49&lt;=19896.67,572.67+(AI49-3896.67)*0.25,IF(AI49&lt;=50416.67,4572.67+(AI49-19896.67)*0.30,13728.67+(AI49-50416.67)*0.35))))))</f>
        <v/>
      </c>
      <c r="AK49" s="3" t="n"/>
      <c r="AL49" s="3" t="n"/>
      <c r="AM49" s="3" t="n"/>
      <c r="AN49" s="3" t="n"/>
      <c r="AO49" s="3" t="n"/>
      <c r="AP49" s="3">
        <f>SUM(AF49,AJ49,AK49,AL49,AM49,AN49,AO49,AG49,AH49)</f>
        <v/>
      </c>
      <c r="AQ49" s="3">
        <f>AE49-AP49</f>
        <v/>
      </c>
      <c r="AR49" s="3" t="n"/>
      <c r="AS49" s="3" t="n"/>
      <c r="AT49" s="3">
        <f>AR49-AS49</f>
        <v/>
      </c>
    </row>
    <row r="50">
      <c r="A50" s="2" t="n"/>
      <c r="B50" s="3" t="n"/>
      <c r="C50" s="4" t="n"/>
      <c r="D50" s="5" t="n"/>
      <c r="E50" s="3" t="n"/>
      <c r="F50" s="3">
        <f>IF(C50=0,0,IF(E50="",B50*D50/100,E50))</f>
        <v/>
      </c>
      <c r="G50" s="4" t="n"/>
      <c r="H50" s="5" t="n"/>
      <c r="I50" s="3" t="n"/>
      <c r="J50" s="3">
        <f>IF(G50=0,0,IF(I50="",B50*H50/100,I50))</f>
        <v/>
      </c>
      <c r="K50" s="4" t="n"/>
      <c r="L50" s="5" t="n"/>
      <c r="M50" s="3" t="n"/>
      <c r="N50" s="3">
        <f>IF(K50=0,0,IF(M50="",B50*L50/100,M50))</f>
        <v/>
      </c>
      <c r="O50" s="4" t="n"/>
      <c r="P50" s="5" t="n"/>
      <c r="Q50" s="3" t="n"/>
      <c r="R50" s="3">
        <f>IF(O50=0,0,IF(Q50="",B50*P50/100,Q50))</f>
        <v/>
      </c>
      <c r="S50" s="4" t="n"/>
      <c r="T50" s="5" t="n"/>
      <c r="U50" s="3" t="n"/>
      <c r="V50" s="3">
        <f>IF(S50=0,0,IF(U50="",B50*T50/100,U50))</f>
        <v/>
      </c>
      <c r="W50" s="4" t="n"/>
      <c r="X50" s="5" t="n"/>
      <c r="Y50" s="3" t="n"/>
      <c r="Z50" s="3">
        <f>IF(W50=0,0,IF(Y50="",B50*X50/100,Y50))</f>
        <v/>
      </c>
      <c r="AA50" s="3" t="n"/>
      <c r="AB50" s="3" t="n"/>
      <c r="AC50" s="3">
        <f>B50*0.035</f>
        <v/>
      </c>
      <c r="AD50" s="3">
        <f>B50*0.065</f>
        <v/>
      </c>
      <c r="AE50" s="3">
        <f>SUM(B50,F50,J50,N50,R50,V50,Z50,AA50,AB50,AC50,AD50)</f>
        <v/>
      </c>
      <c r="AF50" s="3">
        <f>B50*0.055</f>
        <v/>
      </c>
      <c r="AG50" s="3">
        <f>B50*0.035</f>
        <v/>
      </c>
      <c r="AH50" s="3">
        <f>B50*0.165</f>
        <v/>
      </c>
      <c r="AI50" s="3">
        <f>MAX(0,AE50-AF50-AH50)</f>
        <v/>
      </c>
      <c r="AJ50" s="3">
        <f>IF(AI50&lt;=490,0,IF(AI50&lt;=600,(AI50-490)*0.05,IF(AI50&lt;=730,5.5+(AI50-600)*0.10,IF(AI50&lt;=3896.67,18.5+(AI50-730)*0.175,IF(AI50&lt;=19896.67,572.67+(AI50-3896.67)*0.25,IF(AI50&lt;=50416.67,4572.67+(AI50-19896.67)*0.30,13728.67+(AI50-50416.67)*0.35))))))</f>
        <v/>
      </c>
      <c r="AK50" s="3" t="n"/>
      <c r="AL50" s="3" t="n"/>
      <c r="AM50" s="3" t="n"/>
      <c r="AN50" s="3" t="n"/>
      <c r="AO50" s="3" t="n"/>
      <c r="AP50" s="3">
        <f>SUM(AF50,AJ50,AK50,AL50,AM50,AN50,AO50,AG50,AH50)</f>
        <v/>
      </c>
      <c r="AQ50" s="3">
        <f>AE50-AP50</f>
        <v/>
      </c>
      <c r="AR50" s="3" t="n"/>
      <c r="AS50" s="3" t="n"/>
      <c r="AT50" s="3">
        <f>AR50-AS50</f>
        <v/>
      </c>
    </row>
    <row r="51">
      <c r="A51" s="2" t="n"/>
      <c r="B51" s="3" t="n"/>
      <c r="C51" s="4" t="n"/>
      <c r="D51" s="5" t="n"/>
      <c r="E51" s="3" t="n"/>
      <c r="F51" s="3">
        <f>IF(C51=0,0,IF(E51="",B51*D51/100,E51))</f>
        <v/>
      </c>
      <c r="G51" s="4" t="n"/>
      <c r="H51" s="5" t="n"/>
      <c r="I51" s="3" t="n"/>
      <c r="J51" s="3">
        <f>IF(G51=0,0,IF(I51="",B51*H51/100,I51))</f>
        <v/>
      </c>
      <c r="K51" s="4" t="n"/>
      <c r="L51" s="5" t="n"/>
      <c r="M51" s="3" t="n"/>
      <c r="N51" s="3">
        <f>IF(K51=0,0,IF(M51="",B51*L51/100,M51))</f>
        <v/>
      </c>
      <c r="O51" s="4" t="n"/>
      <c r="P51" s="5" t="n"/>
      <c r="Q51" s="3" t="n"/>
      <c r="R51" s="3">
        <f>IF(O51=0,0,IF(Q51="",B51*P51/100,Q51))</f>
        <v/>
      </c>
      <c r="S51" s="4" t="n"/>
      <c r="T51" s="5" t="n"/>
      <c r="U51" s="3" t="n"/>
      <c r="V51" s="3">
        <f>IF(S51=0,0,IF(U51="",B51*T51/100,U51))</f>
        <v/>
      </c>
      <c r="W51" s="4" t="n"/>
      <c r="X51" s="5" t="n"/>
      <c r="Y51" s="3" t="n"/>
      <c r="Z51" s="3">
        <f>IF(W51=0,0,IF(Y51="",B51*X51/100,Y51))</f>
        <v/>
      </c>
      <c r="AA51" s="3" t="n"/>
      <c r="AB51" s="3" t="n"/>
      <c r="AC51" s="3">
        <f>B51*0.035</f>
        <v/>
      </c>
      <c r="AD51" s="3">
        <f>B51*0.065</f>
        <v/>
      </c>
      <c r="AE51" s="3">
        <f>SUM(B51,F51,J51,N51,R51,V51,Z51,AA51,AB51,AC51,AD51)</f>
        <v/>
      </c>
      <c r="AF51" s="3">
        <f>B51*0.055</f>
        <v/>
      </c>
      <c r="AG51" s="3">
        <f>B51*0.035</f>
        <v/>
      </c>
      <c r="AH51" s="3">
        <f>B51*0.165</f>
        <v/>
      </c>
      <c r="AI51" s="3">
        <f>MAX(0,AE51-AF51-AH51)</f>
        <v/>
      </c>
      <c r="AJ51" s="3">
        <f>IF(AI51&lt;=490,0,IF(AI51&lt;=600,(AI51-490)*0.05,IF(AI51&lt;=730,5.5+(AI51-600)*0.10,IF(AI51&lt;=3896.67,18.5+(AI51-730)*0.175,IF(AI51&lt;=19896.67,572.67+(AI51-3896.67)*0.25,IF(AI51&lt;=50416.67,4572.67+(AI51-19896.67)*0.30,13728.67+(AI51-50416.67)*0.35))))))</f>
        <v/>
      </c>
      <c r="AK51" s="3" t="n"/>
      <c r="AL51" s="3" t="n"/>
      <c r="AM51" s="3" t="n"/>
      <c r="AN51" s="3" t="n"/>
      <c r="AO51" s="3" t="n"/>
      <c r="AP51" s="3">
        <f>SUM(AF51,AJ51,AK51,AL51,AM51,AN51,AO51,AG51,AH51)</f>
        <v/>
      </c>
      <c r="AQ51" s="3">
        <f>AE51-AP51</f>
        <v/>
      </c>
      <c r="AR51" s="3" t="n"/>
      <c r="AS51" s="3" t="n"/>
      <c r="AT51" s="3">
        <f>AR51-AS51</f>
        <v/>
      </c>
    </row>
    <row r="52">
      <c r="A52" s="2" t="n"/>
      <c r="B52" s="3" t="n"/>
      <c r="C52" s="4" t="n"/>
      <c r="D52" s="5" t="n"/>
      <c r="E52" s="3" t="n"/>
      <c r="F52" s="3">
        <f>IF(C52=0,0,IF(E52="",B52*D52/100,E52))</f>
        <v/>
      </c>
      <c r="G52" s="4" t="n"/>
      <c r="H52" s="5" t="n"/>
      <c r="I52" s="3" t="n"/>
      <c r="J52" s="3">
        <f>IF(G52=0,0,IF(I52="",B52*H52/100,I52))</f>
        <v/>
      </c>
      <c r="K52" s="4" t="n"/>
      <c r="L52" s="5" t="n"/>
      <c r="M52" s="3" t="n"/>
      <c r="N52" s="3">
        <f>IF(K52=0,0,IF(M52="",B52*L52/100,M52))</f>
        <v/>
      </c>
      <c r="O52" s="4" t="n"/>
      <c r="P52" s="5" t="n"/>
      <c r="Q52" s="3" t="n"/>
      <c r="R52" s="3">
        <f>IF(O52=0,0,IF(Q52="",B52*P52/100,Q52))</f>
        <v/>
      </c>
      <c r="S52" s="4" t="n"/>
      <c r="T52" s="5" t="n"/>
      <c r="U52" s="3" t="n"/>
      <c r="V52" s="3">
        <f>IF(S52=0,0,IF(U52="",B52*T52/100,U52))</f>
        <v/>
      </c>
      <c r="W52" s="4" t="n"/>
      <c r="X52" s="5" t="n"/>
      <c r="Y52" s="3" t="n"/>
      <c r="Z52" s="3">
        <f>IF(W52=0,0,IF(Y52="",B52*X52/100,Y52))</f>
        <v/>
      </c>
      <c r="AA52" s="3" t="n"/>
      <c r="AB52" s="3" t="n"/>
      <c r="AC52" s="3">
        <f>B52*0.035</f>
        <v/>
      </c>
      <c r="AD52" s="3">
        <f>B52*0.065</f>
        <v/>
      </c>
      <c r="AE52" s="3">
        <f>SUM(B52,F52,J52,N52,R52,V52,Z52,AA52,AB52,AC52,AD52)</f>
        <v/>
      </c>
      <c r="AF52" s="3">
        <f>B52*0.055</f>
        <v/>
      </c>
      <c r="AG52" s="3">
        <f>B52*0.035</f>
        <v/>
      </c>
      <c r="AH52" s="3">
        <f>B52*0.165</f>
        <v/>
      </c>
      <c r="AI52" s="3">
        <f>MAX(0,AE52-AF52-AH52)</f>
        <v/>
      </c>
      <c r="AJ52" s="3">
        <f>IF(AI52&lt;=490,0,IF(AI52&lt;=600,(AI52-490)*0.05,IF(AI52&lt;=730,5.5+(AI52-600)*0.10,IF(AI52&lt;=3896.67,18.5+(AI52-730)*0.175,IF(AI52&lt;=19896.67,572.67+(AI52-3896.67)*0.25,IF(AI52&lt;=50416.67,4572.67+(AI52-19896.67)*0.30,13728.67+(AI52-50416.67)*0.35))))))</f>
        <v/>
      </c>
      <c r="AK52" s="3" t="n"/>
      <c r="AL52" s="3" t="n"/>
      <c r="AM52" s="3" t="n"/>
      <c r="AN52" s="3" t="n"/>
      <c r="AO52" s="3" t="n"/>
      <c r="AP52" s="3">
        <f>SUM(AF52,AJ52,AK52,AL52,AM52,AN52,AO52,AG52,AH52)</f>
        <v/>
      </c>
      <c r="AQ52" s="3">
        <f>AE52-AP52</f>
        <v/>
      </c>
      <c r="AR52" s="3" t="n"/>
      <c r="AS52" s="3" t="n"/>
      <c r="AT52" s="3">
        <f>AR52-AS52</f>
        <v/>
      </c>
    </row>
    <row r="53">
      <c r="A53" s="2" t="n"/>
      <c r="B53" s="3" t="n"/>
      <c r="C53" s="4" t="n"/>
      <c r="D53" s="5" t="n"/>
      <c r="E53" s="3" t="n"/>
      <c r="F53" s="3">
        <f>IF(C53=0,0,IF(E53="",B53*D53/100,E53))</f>
        <v/>
      </c>
      <c r="G53" s="4" t="n"/>
      <c r="H53" s="5" t="n"/>
      <c r="I53" s="3" t="n"/>
      <c r="J53" s="3">
        <f>IF(G53=0,0,IF(I53="",B53*H53/100,I53))</f>
        <v/>
      </c>
      <c r="K53" s="4" t="n"/>
      <c r="L53" s="5" t="n"/>
      <c r="M53" s="3" t="n"/>
      <c r="N53" s="3">
        <f>IF(K53=0,0,IF(M53="",B53*L53/100,M53))</f>
        <v/>
      </c>
      <c r="O53" s="4" t="n"/>
      <c r="P53" s="5" t="n"/>
      <c r="Q53" s="3" t="n"/>
      <c r="R53" s="3">
        <f>IF(O53=0,0,IF(Q53="",B53*P53/100,Q53))</f>
        <v/>
      </c>
      <c r="S53" s="4" t="n"/>
      <c r="T53" s="5" t="n"/>
      <c r="U53" s="3" t="n"/>
      <c r="V53" s="3">
        <f>IF(S53=0,0,IF(U53="",B53*T53/100,U53))</f>
        <v/>
      </c>
      <c r="W53" s="4" t="n"/>
      <c r="X53" s="5" t="n"/>
      <c r="Y53" s="3" t="n"/>
      <c r="Z53" s="3">
        <f>IF(W53=0,0,IF(Y53="",B53*X53/100,Y53))</f>
        <v/>
      </c>
      <c r="AA53" s="3" t="n"/>
      <c r="AB53" s="3" t="n"/>
      <c r="AC53" s="3">
        <f>B53*0.035</f>
        <v/>
      </c>
      <c r="AD53" s="3">
        <f>B53*0.065</f>
        <v/>
      </c>
      <c r="AE53" s="3">
        <f>SUM(B53,F53,J53,N53,R53,V53,Z53,AA53,AB53,AC53,AD53)</f>
        <v/>
      </c>
      <c r="AF53" s="3">
        <f>B53*0.055</f>
        <v/>
      </c>
      <c r="AG53" s="3">
        <f>B53*0.035</f>
        <v/>
      </c>
      <c r="AH53" s="3">
        <f>B53*0.165</f>
        <v/>
      </c>
      <c r="AI53" s="3">
        <f>MAX(0,AE53-AF53-AH53)</f>
        <v/>
      </c>
      <c r="AJ53" s="3">
        <f>IF(AI53&lt;=490,0,IF(AI53&lt;=600,(AI53-490)*0.05,IF(AI53&lt;=730,5.5+(AI53-600)*0.10,IF(AI53&lt;=3896.67,18.5+(AI53-730)*0.175,IF(AI53&lt;=19896.67,572.67+(AI53-3896.67)*0.25,IF(AI53&lt;=50416.67,4572.67+(AI53-19896.67)*0.30,13728.67+(AI53-50416.67)*0.35))))))</f>
        <v/>
      </c>
      <c r="AK53" s="3" t="n"/>
      <c r="AL53" s="3" t="n"/>
      <c r="AM53" s="3" t="n"/>
      <c r="AN53" s="3" t="n"/>
      <c r="AO53" s="3" t="n"/>
      <c r="AP53" s="3">
        <f>SUM(AF53,AJ53,AK53,AL53,AM53,AN53,AO53,AG53,AH53)</f>
        <v/>
      </c>
      <c r="AQ53" s="3">
        <f>AE53-AP53</f>
        <v/>
      </c>
      <c r="AR53" s="3" t="n"/>
      <c r="AS53" s="3" t="n"/>
      <c r="AT53" s="3">
        <f>AR53-AS53</f>
        <v/>
      </c>
    </row>
    <row r="54">
      <c r="A54" s="2" t="n"/>
      <c r="B54" s="3" t="n"/>
      <c r="C54" s="4" t="n"/>
      <c r="D54" s="5" t="n"/>
      <c r="E54" s="3" t="n"/>
      <c r="F54" s="3">
        <f>IF(C54=0,0,IF(E54="",B54*D54/100,E54))</f>
        <v/>
      </c>
      <c r="G54" s="4" t="n"/>
      <c r="H54" s="5" t="n"/>
      <c r="I54" s="3" t="n"/>
      <c r="J54" s="3">
        <f>IF(G54=0,0,IF(I54="",B54*H54/100,I54))</f>
        <v/>
      </c>
      <c r="K54" s="4" t="n"/>
      <c r="L54" s="5" t="n"/>
      <c r="M54" s="3" t="n"/>
      <c r="N54" s="3">
        <f>IF(K54=0,0,IF(M54="",B54*L54/100,M54))</f>
        <v/>
      </c>
      <c r="O54" s="4" t="n"/>
      <c r="P54" s="5" t="n"/>
      <c r="Q54" s="3" t="n"/>
      <c r="R54" s="3">
        <f>IF(O54=0,0,IF(Q54="",B54*P54/100,Q54))</f>
        <v/>
      </c>
      <c r="S54" s="4" t="n"/>
      <c r="T54" s="5" t="n"/>
      <c r="U54" s="3" t="n"/>
      <c r="V54" s="3">
        <f>IF(S54=0,0,IF(U54="",B54*T54/100,U54))</f>
        <v/>
      </c>
      <c r="W54" s="4" t="n"/>
      <c r="X54" s="5" t="n"/>
      <c r="Y54" s="3" t="n"/>
      <c r="Z54" s="3">
        <f>IF(W54=0,0,IF(Y54="",B54*X54/100,Y54))</f>
        <v/>
      </c>
      <c r="AA54" s="3" t="n"/>
      <c r="AB54" s="3" t="n"/>
      <c r="AC54" s="3">
        <f>B54*0.035</f>
        <v/>
      </c>
      <c r="AD54" s="3">
        <f>B54*0.065</f>
        <v/>
      </c>
      <c r="AE54" s="3">
        <f>SUM(B54,F54,J54,N54,R54,V54,Z54,AA54,AB54,AC54,AD54)</f>
        <v/>
      </c>
      <c r="AF54" s="3">
        <f>B54*0.055</f>
        <v/>
      </c>
      <c r="AG54" s="3">
        <f>B54*0.035</f>
        <v/>
      </c>
      <c r="AH54" s="3">
        <f>B54*0.165</f>
        <v/>
      </c>
      <c r="AI54" s="3">
        <f>MAX(0,AE54-AF54-AH54)</f>
        <v/>
      </c>
      <c r="AJ54" s="3">
        <f>IF(AI54&lt;=490,0,IF(AI54&lt;=600,(AI54-490)*0.05,IF(AI54&lt;=730,5.5+(AI54-600)*0.10,IF(AI54&lt;=3896.67,18.5+(AI54-730)*0.175,IF(AI54&lt;=19896.67,572.67+(AI54-3896.67)*0.25,IF(AI54&lt;=50416.67,4572.67+(AI54-19896.67)*0.30,13728.67+(AI54-50416.67)*0.35))))))</f>
        <v/>
      </c>
      <c r="AK54" s="3" t="n"/>
      <c r="AL54" s="3" t="n"/>
      <c r="AM54" s="3" t="n"/>
      <c r="AN54" s="3" t="n"/>
      <c r="AO54" s="3" t="n"/>
      <c r="AP54" s="3">
        <f>SUM(AF54,AJ54,AK54,AL54,AM54,AN54,AO54,AG54,AH54)</f>
        <v/>
      </c>
      <c r="AQ54" s="3">
        <f>AE54-AP54</f>
        <v/>
      </c>
      <c r="AR54" s="3" t="n"/>
      <c r="AS54" s="3" t="n"/>
      <c r="AT54" s="3">
        <f>AR54-AS54</f>
        <v/>
      </c>
    </row>
    <row r="55">
      <c r="A55" s="2" t="n"/>
      <c r="B55" s="3" t="n"/>
      <c r="C55" s="4" t="n"/>
      <c r="D55" s="5" t="n"/>
      <c r="E55" s="3" t="n"/>
      <c r="F55" s="3">
        <f>IF(C55=0,0,IF(E55="",B55*D55/100,E55))</f>
        <v/>
      </c>
      <c r="G55" s="4" t="n"/>
      <c r="H55" s="5" t="n"/>
      <c r="I55" s="3" t="n"/>
      <c r="J55" s="3">
        <f>IF(G55=0,0,IF(I55="",B55*H55/100,I55))</f>
        <v/>
      </c>
      <c r="K55" s="4" t="n"/>
      <c r="L55" s="5" t="n"/>
      <c r="M55" s="3" t="n"/>
      <c r="N55" s="3">
        <f>IF(K55=0,0,IF(M55="",B55*L55/100,M55))</f>
        <v/>
      </c>
      <c r="O55" s="4" t="n"/>
      <c r="P55" s="5" t="n"/>
      <c r="Q55" s="3" t="n"/>
      <c r="R55" s="3">
        <f>IF(O55=0,0,IF(Q55="",B55*P55/100,Q55))</f>
        <v/>
      </c>
      <c r="S55" s="4" t="n"/>
      <c r="T55" s="5" t="n"/>
      <c r="U55" s="3" t="n"/>
      <c r="V55" s="3">
        <f>IF(S55=0,0,IF(U55="",B55*T55/100,U55))</f>
        <v/>
      </c>
      <c r="W55" s="4" t="n"/>
      <c r="X55" s="5" t="n"/>
      <c r="Y55" s="3" t="n"/>
      <c r="Z55" s="3">
        <f>IF(W55=0,0,IF(Y55="",B55*X55/100,Y55))</f>
        <v/>
      </c>
      <c r="AA55" s="3" t="n"/>
      <c r="AB55" s="3" t="n"/>
      <c r="AC55" s="3">
        <f>B55*0.035</f>
        <v/>
      </c>
      <c r="AD55" s="3">
        <f>B55*0.065</f>
        <v/>
      </c>
      <c r="AE55" s="3">
        <f>SUM(B55,F55,J55,N55,R55,V55,Z55,AA55,AB55,AC55,AD55)</f>
        <v/>
      </c>
      <c r="AF55" s="3">
        <f>B55*0.055</f>
        <v/>
      </c>
      <c r="AG55" s="3">
        <f>B55*0.035</f>
        <v/>
      </c>
      <c r="AH55" s="3">
        <f>B55*0.165</f>
        <v/>
      </c>
      <c r="AI55" s="3">
        <f>MAX(0,AE55-AF55-AH55)</f>
        <v/>
      </c>
      <c r="AJ55" s="3">
        <f>IF(AI55&lt;=490,0,IF(AI55&lt;=600,(AI55-490)*0.05,IF(AI55&lt;=730,5.5+(AI55-600)*0.10,IF(AI55&lt;=3896.67,18.5+(AI55-730)*0.175,IF(AI55&lt;=19896.67,572.67+(AI55-3896.67)*0.25,IF(AI55&lt;=50416.67,4572.67+(AI55-19896.67)*0.30,13728.67+(AI55-50416.67)*0.35))))))</f>
        <v/>
      </c>
      <c r="AK55" s="3" t="n"/>
      <c r="AL55" s="3" t="n"/>
      <c r="AM55" s="3" t="n"/>
      <c r="AN55" s="3" t="n"/>
      <c r="AO55" s="3" t="n"/>
      <c r="AP55" s="3">
        <f>SUM(AF55,AJ55,AK55,AL55,AM55,AN55,AO55,AG55,AH55)</f>
        <v/>
      </c>
      <c r="AQ55" s="3">
        <f>AE55-AP55</f>
        <v/>
      </c>
      <c r="AR55" s="3" t="n"/>
      <c r="AS55" s="3" t="n"/>
      <c r="AT55" s="3">
        <f>AR55-AS55</f>
        <v/>
      </c>
    </row>
    <row r="56">
      <c r="A56" s="2" t="n"/>
      <c r="B56" s="3" t="n"/>
      <c r="C56" s="4" t="n"/>
      <c r="D56" s="5" t="n"/>
      <c r="E56" s="3" t="n"/>
      <c r="F56" s="3">
        <f>IF(C56=0,0,IF(E56="",B56*D56/100,E56))</f>
        <v/>
      </c>
      <c r="G56" s="4" t="n"/>
      <c r="H56" s="5" t="n"/>
      <c r="I56" s="3" t="n"/>
      <c r="J56" s="3">
        <f>IF(G56=0,0,IF(I56="",B56*H56/100,I56))</f>
        <v/>
      </c>
      <c r="K56" s="4" t="n"/>
      <c r="L56" s="5" t="n"/>
      <c r="M56" s="3" t="n"/>
      <c r="N56" s="3">
        <f>IF(K56=0,0,IF(M56="",B56*L56/100,M56))</f>
        <v/>
      </c>
      <c r="O56" s="4" t="n"/>
      <c r="P56" s="5" t="n"/>
      <c r="Q56" s="3" t="n"/>
      <c r="R56" s="3">
        <f>IF(O56=0,0,IF(Q56="",B56*P56/100,Q56))</f>
        <v/>
      </c>
      <c r="S56" s="4" t="n"/>
      <c r="T56" s="5" t="n"/>
      <c r="U56" s="3" t="n"/>
      <c r="V56" s="3">
        <f>IF(S56=0,0,IF(U56="",B56*T56/100,U56))</f>
        <v/>
      </c>
      <c r="W56" s="4" t="n"/>
      <c r="X56" s="5" t="n"/>
      <c r="Y56" s="3" t="n"/>
      <c r="Z56" s="3">
        <f>IF(W56=0,0,IF(Y56="",B56*X56/100,Y56))</f>
        <v/>
      </c>
      <c r="AA56" s="3" t="n"/>
      <c r="AB56" s="3" t="n"/>
      <c r="AC56" s="3">
        <f>B56*0.035</f>
        <v/>
      </c>
      <c r="AD56" s="3">
        <f>B56*0.065</f>
        <v/>
      </c>
      <c r="AE56" s="3">
        <f>SUM(B56,F56,J56,N56,R56,V56,Z56,AA56,AB56,AC56,AD56)</f>
        <v/>
      </c>
      <c r="AF56" s="3">
        <f>B56*0.055</f>
        <v/>
      </c>
      <c r="AG56" s="3">
        <f>B56*0.035</f>
        <v/>
      </c>
      <c r="AH56" s="3">
        <f>B56*0.165</f>
        <v/>
      </c>
      <c r="AI56" s="3">
        <f>MAX(0,AE56-AF56-AH56)</f>
        <v/>
      </c>
      <c r="AJ56" s="3">
        <f>IF(AI56&lt;=490,0,IF(AI56&lt;=600,(AI56-490)*0.05,IF(AI56&lt;=730,5.5+(AI56-600)*0.10,IF(AI56&lt;=3896.67,18.5+(AI56-730)*0.175,IF(AI56&lt;=19896.67,572.67+(AI56-3896.67)*0.25,IF(AI56&lt;=50416.67,4572.67+(AI56-19896.67)*0.30,13728.67+(AI56-50416.67)*0.35))))))</f>
        <v/>
      </c>
      <c r="AK56" s="3" t="n"/>
      <c r="AL56" s="3" t="n"/>
      <c r="AM56" s="3" t="n"/>
      <c r="AN56" s="3" t="n"/>
      <c r="AO56" s="3" t="n"/>
      <c r="AP56" s="3">
        <f>SUM(AF56,AJ56,AK56,AL56,AM56,AN56,AO56,AG56,AH56)</f>
        <v/>
      </c>
      <c r="AQ56" s="3">
        <f>AE56-AP56</f>
        <v/>
      </c>
      <c r="AR56" s="3" t="n"/>
      <c r="AS56" s="3" t="n"/>
      <c r="AT56" s="3">
        <f>AR56-AS56</f>
        <v/>
      </c>
    </row>
    <row r="57">
      <c r="A57" s="2" t="n"/>
      <c r="B57" s="3" t="n"/>
      <c r="C57" s="4" t="n"/>
      <c r="D57" s="5" t="n"/>
      <c r="E57" s="3" t="n"/>
      <c r="F57" s="3">
        <f>IF(C57=0,0,IF(E57="",B57*D57/100,E57))</f>
        <v/>
      </c>
      <c r="G57" s="4" t="n"/>
      <c r="H57" s="5" t="n"/>
      <c r="I57" s="3" t="n"/>
      <c r="J57" s="3">
        <f>IF(G57=0,0,IF(I57="",B57*H57/100,I57))</f>
        <v/>
      </c>
      <c r="K57" s="4" t="n"/>
      <c r="L57" s="5" t="n"/>
      <c r="M57" s="3" t="n"/>
      <c r="N57" s="3">
        <f>IF(K57=0,0,IF(M57="",B57*L57/100,M57))</f>
        <v/>
      </c>
      <c r="O57" s="4" t="n"/>
      <c r="P57" s="5" t="n"/>
      <c r="Q57" s="3" t="n"/>
      <c r="R57" s="3">
        <f>IF(O57=0,0,IF(Q57="",B57*P57/100,Q57))</f>
        <v/>
      </c>
      <c r="S57" s="4" t="n"/>
      <c r="T57" s="5" t="n"/>
      <c r="U57" s="3" t="n"/>
      <c r="V57" s="3">
        <f>IF(S57=0,0,IF(U57="",B57*T57/100,U57))</f>
        <v/>
      </c>
      <c r="W57" s="4" t="n"/>
      <c r="X57" s="5" t="n"/>
      <c r="Y57" s="3" t="n"/>
      <c r="Z57" s="3">
        <f>IF(W57=0,0,IF(Y57="",B57*X57/100,Y57))</f>
        <v/>
      </c>
      <c r="AA57" s="3" t="n"/>
      <c r="AB57" s="3" t="n"/>
      <c r="AC57" s="3">
        <f>B57*0.035</f>
        <v/>
      </c>
      <c r="AD57" s="3">
        <f>B57*0.065</f>
        <v/>
      </c>
      <c r="AE57" s="3">
        <f>SUM(B57,F57,J57,N57,R57,V57,Z57,AA57,AB57,AC57,AD57)</f>
        <v/>
      </c>
      <c r="AF57" s="3">
        <f>B57*0.055</f>
        <v/>
      </c>
      <c r="AG57" s="3">
        <f>B57*0.035</f>
        <v/>
      </c>
      <c r="AH57" s="3">
        <f>B57*0.165</f>
        <v/>
      </c>
      <c r="AI57" s="3">
        <f>MAX(0,AE57-AF57-AH57)</f>
        <v/>
      </c>
      <c r="AJ57" s="3">
        <f>IF(AI57&lt;=490,0,IF(AI57&lt;=600,(AI57-490)*0.05,IF(AI57&lt;=730,5.5+(AI57-600)*0.10,IF(AI57&lt;=3896.67,18.5+(AI57-730)*0.175,IF(AI57&lt;=19896.67,572.67+(AI57-3896.67)*0.25,IF(AI57&lt;=50416.67,4572.67+(AI57-19896.67)*0.30,13728.67+(AI57-50416.67)*0.35))))))</f>
        <v/>
      </c>
      <c r="AK57" s="3" t="n"/>
      <c r="AL57" s="3" t="n"/>
      <c r="AM57" s="3" t="n"/>
      <c r="AN57" s="3" t="n"/>
      <c r="AO57" s="3" t="n"/>
      <c r="AP57" s="3">
        <f>SUM(AF57,AJ57,AK57,AL57,AM57,AN57,AO57,AG57,AH57)</f>
        <v/>
      </c>
      <c r="AQ57" s="3">
        <f>AE57-AP57</f>
        <v/>
      </c>
      <c r="AR57" s="3" t="n"/>
      <c r="AS57" s="3" t="n"/>
      <c r="AT57" s="3">
        <f>AR57-AS57</f>
        <v/>
      </c>
    </row>
    <row r="58">
      <c r="A58" s="2" t="n"/>
      <c r="B58" s="3" t="n"/>
      <c r="C58" s="4" t="n"/>
      <c r="D58" s="5" t="n"/>
      <c r="E58" s="3" t="n"/>
      <c r="F58" s="3">
        <f>IF(C58=0,0,IF(E58="",B58*D58/100,E58))</f>
        <v/>
      </c>
      <c r="G58" s="4" t="n"/>
      <c r="H58" s="5" t="n"/>
      <c r="I58" s="3" t="n"/>
      <c r="J58" s="3">
        <f>IF(G58=0,0,IF(I58="",B58*H58/100,I58))</f>
        <v/>
      </c>
      <c r="K58" s="4" t="n"/>
      <c r="L58" s="5" t="n"/>
      <c r="M58" s="3" t="n"/>
      <c r="N58" s="3">
        <f>IF(K58=0,0,IF(M58="",B58*L58/100,M58))</f>
        <v/>
      </c>
      <c r="O58" s="4" t="n"/>
      <c r="P58" s="5" t="n"/>
      <c r="Q58" s="3" t="n"/>
      <c r="R58" s="3">
        <f>IF(O58=0,0,IF(Q58="",B58*P58/100,Q58))</f>
        <v/>
      </c>
      <c r="S58" s="4" t="n"/>
      <c r="T58" s="5" t="n"/>
      <c r="U58" s="3" t="n"/>
      <c r="V58" s="3">
        <f>IF(S58=0,0,IF(U58="",B58*T58/100,U58))</f>
        <v/>
      </c>
      <c r="W58" s="4" t="n"/>
      <c r="X58" s="5" t="n"/>
      <c r="Y58" s="3" t="n"/>
      <c r="Z58" s="3">
        <f>IF(W58=0,0,IF(Y58="",B58*X58/100,Y58))</f>
        <v/>
      </c>
      <c r="AA58" s="3" t="n"/>
      <c r="AB58" s="3" t="n"/>
      <c r="AC58" s="3">
        <f>B58*0.035</f>
        <v/>
      </c>
      <c r="AD58" s="3">
        <f>B58*0.065</f>
        <v/>
      </c>
      <c r="AE58" s="3">
        <f>SUM(B58,F58,J58,N58,R58,V58,Z58,AA58,AB58,AC58,AD58)</f>
        <v/>
      </c>
      <c r="AF58" s="3">
        <f>B58*0.055</f>
        <v/>
      </c>
      <c r="AG58" s="3">
        <f>B58*0.035</f>
        <v/>
      </c>
      <c r="AH58" s="3">
        <f>B58*0.165</f>
        <v/>
      </c>
      <c r="AI58" s="3">
        <f>MAX(0,AE58-AF58-AH58)</f>
        <v/>
      </c>
      <c r="AJ58" s="3">
        <f>IF(AI58&lt;=490,0,IF(AI58&lt;=600,(AI58-490)*0.05,IF(AI58&lt;=730,5.5+(AI58-600)*0.10,IF(AI58&lt;=3896.67,18.5+(AI58-730)*0.175,IF(AI58&lt;=19896.67,572.67+(AI58-3896.67)*0.25,IF(AI58&lt;=50416.67,4572.67+(AI58-19896.67)*0.30,13728.67+(AI58-50416.67)*0.35))))))</f>
        <v/>
      </c>
      <c r="AK58" s="3" t="n"/>
      <c r="AL58" s="3" t="n"/>
      <c r="AM58" s="3" t="n"/>
      <c r="AN58" s="3" t="n"/>
      <c r="AO58" s="3" t="n"/>
      <c r="AP58" s="3">
        <f>SUM(AF58,AJ58,AK58,AL58,AM58,AN58,AO58,AG58,AH58)</f>
        <v/>
      </c>
      <c r="AQ58" s="3">
        <f>AE58-AP58</f>
        <v/>
      </c>
      <c r="AR58" s="3" t="n"/>
      <c r="AS58" s="3" t="n"/>
      <c r="AT58" s="3">
        <f>AR58-AS58</f>
        <v/>
      </c>
    </row>
    <row r="59">
      <c r="A59" s="2" t="n"/>
      <c r="B59" s="3" t="n"/>
      <c r="C59" s="4" t="n"/>
      <c r="D59" s="5" t="n"/>
      <c r="E59" s="3" t="n"/>
      <c r="F59" s="3">
        <f>IF(C59=0,0,IF(E59="",B59*D59/100,E59))</f>
        <v/>
      </c>
      <c r="G59" s="4" t="n"/>
      <c r="H59" s="5" t="n"/>
      <c r="I59" s="3" t="n"/>
      <c r="J59" s="3">
        <f>IF(G59=0,0,IF(I59="",B59*H59/100,I59))</f>
        <v/>
      </c>
      <c r="K59" s="4" t="n"/>
      <c r="L59" s="5" t="n"/>
      <c r="M59" s="3" t="n"/>
      <c r="N59" s="3">
        <f>IF(K59=0,0,IF(M59="",B59*L59/100,M59))</f>
        <v/>
      </c>
      <c r="O59" s="4" t="n"/>
      <c r="P59" s="5" t="n"/>
      <c r="Q59" s="3" t="n"/>
      <c r="R59" s="3">
        <f>IF(O59=0,0,IF(Q59="",B59*P59/100,Q59))</f>
        <v/>
      </c>
      <c r="S59" s="4" t="n"/>
      <c r="T59" s="5" t="n"/>
      <c r="U59" s="3" t="n"/>
      <c r="V59" s="3">
        <f>IF(S59=0,0,IF(U59="",B59*T59/100,U59))</f>
        <v/>
      </c>
      <c r="W59" s="4" t="n"/>
      <c r="X59" s="5" t="n"/>
      <c r="Y59" s="3" t="n"/>
      <c r="Z59" s="3">
        <f>IF(W59=0,0,IF(Y59="",B59*X59/100,Y59))</f>
        <v/>
      </c>
      <c r="AA59" s="3" t="n"/>
      <c r="AB59" s="3" t="n"/>
      <c r="AC59" s="3">
        <f>B59*0.035</f>
        <v/>
      </c>
      <c r="AD59" s="3">
        <f>B59*0.065</f>
        <v/>
      </c>
      <c r="AE59" s="3">
        <f>SUM(B59,F59,J59,N59,R59,V59,Z59,AA59,AB59,AC59,AD59)</f>
        <v/>
      </c>
      <c r="AF59" s="3">
        <f>B59*0.055</f>
        <v/>
      </c>
      <c r="AG59" s="3">
        <f>B59*0.035</f>
        <v/>
      </c>
      <c r="AH59" s="3">
        <f>B59*0.165</f>
        <v/>
      </c>
      <c r="AI59" s="3">
        <f>MAX(0,AE59-AF59-AH59)</f>
        <v/>
      </c>
      <c r="AJ59" s="3">
        <f>IF(AI59&lt;=490,0,IF(AI59&lt;=600,(AI59-490)*0.05,IF(AI59&lt;=730,5.5+(AI59-600)*0.10,IF(AI59&lt;=3896.67,18.5+(AI59-730)*0.175,IF(AI59&lt;=19896.67,572.67+(AI59-3896.67)*0.25,IF(AI59&lt;=50416.67,4572.67+(AI59-19896.67)*0.30,13728.67+(AI59-50416.67)*0.35))))))</f>
        <v/>
      </c>
      <c r="AK59" s="3" t="n"/>
      <c r="AL59" s="3" t="n"/>
      <c r="AM59" s="3" t="n"/>
      <c r="AN59" s="3" t="n"/>
      <c r="AO59" s="3" t="n"/>
      <c r="AP59" s="3">
        <f>SUM(AF59,AJ59,AK59,AL59,AM59,AN59,AO59,AG59,AH59)</f>
        <v/>
      </c>
      <c r="AQ59" s="3">
        <f>AE59-AP59</f>
        <v/>
      </c>
      <c r="AR59" s="3" t="n"/>
      <c r="AS59" s="3" t="n"/>
      <c r="AT59" s="3">
        <f>AR59-AS59</f>
        <v/>
      </c>
    </row>
    <row r="60">
      <c r="A60" s="2" t="n"/>
      <c r="B60" s="3" t="n"/>
      <c r="C60" s="4" t="n"/>
      <c r="D60" s="5" t="n"/>
      <c r="E60" s="3" t="n"/>
      <c r="F60" s="3">
        <f>IF(C60=0,0,IF(E60="",B60*D60/100,E60))</f>
        <v/>
      </c>
      <c r="G60" s="4" t="n"/>
      <c r="H60" s="5" t="n"/>
      <c r="I60" s="3" t="n"/>
      <c r="J60" s="3">
        <f>IF(G60=0,0,IF(I60="",B60*H60/100,I60))</f>
        <v/>
      </c>
      <c r="K60" s="4" t="n"/>
      <c r="L60" s="5" t="n"/>
      <c r="M60" s="3" t="n"/>
      <c r="N60" s="3">
        <f>IF(K60=0,0,IF(M60="",B60*L60/100,M60))</f>
        <v/>
      </c>
      <c r="O60" s="4" t="n"/>
      <c r="P60" s="5" t="n"/>
      <c r="Q60" s="3" t="n"/>
      <c r="R60" s="3">
        <f>IF(O60=0,0,IF(Q60="",B60*P60/100,Q60))</f>
        <v/>
      </c>
      <c r="S60" s="4" t="n"/>
      <c r="T60" s="5" t="n"/>
      <c r="U60" s="3" t="n"/>
      <c r="V60" s="3">
        <f>IF(S60=0,0,IF(U60="",B60*T60/100,U60))</f>
        <v/>
      </c>
      <c r="W60" s="4" t="n"/>
      <c r="X60" s="5" t="n"/>
      <c r="Y60" s="3" t="n"/>
      <c r="Z60" s="3">
        <f>IF(W60=0,0,IF(Y60="",B60*X60/100,Y60))</f>
        <v/>
      </c>
      <c r="AA60" s="3" t="n"/>
      <c r="AB60" s="3" t="n"/>
      <c r="AC60" s="3">
        <f>B60*0.035</f>
        <v/>
      </c>
      <c r="AD60" s="3">
        <f>B60*0.065</f>
        <v/>
      </c>
      <c r="AE60" s="3">
        <f>SUM(B60,F60,J60,N60,R60,V60,Z60,AA60,AB60,AC60,AD60)</f>
        <v/>
      </c>
      <c r="AF60" s="3">
        <f>B60*0.055</f>
        <v/>
      </c>
      <c r="AG60" s="3">
        <f>B60*0.035</f>
        <v/>
      </c>
      <c r="AH60" s="3">
        <f>B60*0.165</f>
        <v/>
      </c>
      <c r="AI60" s="3">
        <f>MAX(0,AE60-AF60-AH60)</f>
        <v/>
      </c>
      <c r="AJ60" s="3">
        <f>IF(AI60&lt;=490,0,IF(AI60&lt;=600,(AI60-490)*0.05,IF(AI60&lt;=730,5.5+(AI60-600)*0.10,IF(AI60&lt;=3896.67,18.5+(AI60-730)*0.175,IF(AI60&lt;=19896.67,572.67+(AI60-3896.67)*0.25,IF(AI60&lt;=50416.67,4572.67+(AI60-19896.67)*0.30,13728.67+(AI60-50416.67)*0.35))))))</f>
        <v/>
      </c>
      <c r="AK60" s="3" t="n"/>
      <c r="AL60" s="3" t="n"/>
      <c r="AM60" s="3" t="n"/>
      <c r="AN60" s="3" t="n"/>
      <c r="AO60" s="3" t="n"/>
      <c r="AP60" s="3">
        <f>SUM(AF60,AJ60,AK60,AL60,AM60,AN60,AO60,AG60,AH60)</f>
        <v/>
      </c>
      <c r="AQ60" s="3">
        <f>AE60-AP60</f>
        <v/>
      </c>
      <c r="AR60" s="3" t="n"/>
      <c r="AS60" s="3" t="n"/>
      <c r="AT60" s="3">
        <f>AR60-AS60</f>
        <v/>
      </c>
    </row>
    <row r="61">
      <c r="A61" s="2" t="n"/>
      <c r="B61" s="3" t="n"/>
      <c r="C61" s="4" t="n"/>
      <c r="D61" s="5" t="n"/>
      <c r="E61" s="3" t="n"/>
      <c r="F61" s="3">
        <f>IF(C61=0,0,IF(E61="",B61*D61/100,E61))</f>
        <v/>
      </c>
      <c r="G61" s="4" t="n"/>
      <c r="H61" s="5" t="n"/>
      <c r="I61" s="3" t="n"/>
      <c r="J61" s="3">
        <f>IF(G61=0,0,IF(I61="",B61*H61/100,I61))</f>
        <v/>
      </c>
      <c r="K61" s="4" t="n"/>
      <c r="L61" s="5" t="n"/>
      <c r="M61" s="3" t="n"/>
      <c r="N61" s="3">
        <f>IF(K61=0,0,IF(M61="",B61*L61/100,M61))</f>
        <v/>
      </c>
      <c r="O61" s="4" t="n"/>
      <c r="P61" s="5" t="n"/>
      <c r="Q61" s="3" t="n"/>
      <c r="R61" s="3">
        <f>IF(O61=0,0,IF(Q61="",B61*P61/100,Q61))</f>
        <v/>
      </c>
      <c r="S61" s="4" t="n"/>
      <c r="T61" s="5" t="n"/>
      <c r="U61" s="3" t="n"/>
      <c r="V61" s="3">
        <f>IF(S61=0,0,IF(U61="",B61*T61/100,U61))</f>
        <v/>
      </c>
      <c r="W61" s="4" t="n"/>
      <c r="X61" s="5" t="n"/>
      <c r="Y61" s="3" t="n"/>
      <c r="Z61" s="3">
        <f>IF(W61=0,0,IF(Y61="",B61*X61/100,Y61))</f>
        <v/>
      </c>
      <c r="AA61" s="3" t="n"/>
      <c r="AB61" s="3" t="n"/>
      <c r="AC61" s="3">
        <f>B61*0.035</f>
        <v/>
      </c>
      <c r="AD61" s="3">
        <f>B61*0.065</f>
        <v/>
      </c>
      <c r="AE61" s="3">
        <f>SUM(B61,F61,J61,N61,R61,V61,Z61,AA61,AB61,AC61,AD61)</f>
        <v/>
      </c>
      <c r="AF61" s="3">
        <f>B61*0.055</f>
        <v/>
      </c>
      <c r="AG61" s="3">
        <f>B61*0.035</f>
        <v/>
      </c>
      <c r="AH61" s="3">
        <f>B61*0.165</f>
        <v/>
      </c>
      <c r="AI61" s="3">
        <f>MAX(0,AE61-AF61-AH61)</f>
        <v/>
      </c>
      <c r="AJ61" s="3">
        <f>IF(AI61&lt;=490,0,IF(AI61&lt;=600,(AI61-490)*0.05,IF(AI61&lt;=730,5.5+(AI61-600)*0.10,IF(AI61&lt;=3896.67,18.5+(AI61-730)*0.175,IF(AI61&lt;=19896.67,572.67+(AI61-3896.67)*0.25,IF(AI61&lt;=50416.67,4572.67+(AI61-19896.67)*0.30,13728.67+(AI61-50416.67)*0.35))))))</f>
        <v/>
      </c>
      <c r="AK61" s="3" t="n"/>
      <c r="AL61" s="3" t="n"/>
      <c r="AM61" s="3" t="n"/>
      <c r="AN61" s="3" t="n"/>
      <c r="AO61" s="3" t="n"/>
      <c r="AP61" s="3">
        <f>SUM(AF61,AJ61,AK61,AL61,AM61,AN61,AO61,AG61,AH61)</f>
        <v/>
      </c>
      <c r="AQ61" s="3">
        <f>AE61-AP61</f>
        <v/>
      </c>
      <c r="AR61" s="3" t="n"/>
      <c r="AS61" s="3" t="n"/>
      <c r="AT61" s="3">
        <f>AR61-AS61</f>
        <v/>
      </c>
    </row>
    <row r="62">
      <c r="A62" s="2" t="n"/>
      <c r="B62" s="3" t="n"/>
      <c r="C62" s="4" t="n"/>
      <c r="D62" s="5" t="n"/>
      <c r="E62" s="3" t="n"/>
      <c r="F62" s="3">
        <f>IF(C62=0,0,IF(E62="",B62*D62/100,E62))</f>
        <v/>
      </c>
      <c r="G62" s="4" t="n"/>
      <c r="H62" s="5" t="n"/>
      <c r="I62" s="3" t="n"/>
      <c r="J62" s="3">
        <f>IF(G62=0,0,IF(I62="",B62*H62/100,I62))</f>
        <v/>
      </c>
      <c r="K62" s="4" t="n"/>
      <c r="L62" s="5" t="n"/>
      <c r="M62" s="3" t="n"/>
      <c r="N62" s="3">
        <f>IF(K62=0,0,IF(M62="",B62*L62/100,M62))</f>
        <v/>
      </c>
      <c r="O62" s="4" t="n"/>
      <c r="P62" s="5" t="n"/>
      <c r="Q62" s="3" t="n"/>
      <c r="R62" s="3">
        <f>IF(O62=0,0,IF(Q62="",B62*P62/100,Q62))</f>
        <v/>
      </c>
      <c r="S62" s="4" t="n"/>
      <c r="T62" s="5" t="n"/>
      <c r="U62" s="3" t="n"/>
      <c r="V62" s="3">
        <f>IF(S62=0,0,IF(U62="",B62*T62/100,U62))</f>
        <v/>
      </c>
      <c r="W62" s="4" t="n"/>
      <c r="X62" s="5" t="n"/>
      <c r="Y62" s="3" t="n"/>
      <c r="Z62" s="3">
        <f>IF(W62=0,0,IF(Y62="",B62*X62/100,Y62))</f>
        <v/>
      </c>
      <c r="AA62" s="3" t="n"/>
      <c r="AB62" s="3" t="n"/>
      <c r="AC62" s="3">
        <f>B62*0.035</f>
        <v/>
      </c>
      <c r="AD62" s="3">
        <f>B62*0.065</f>
        <v/>
      </c>
      <c r="AE62" s="3">
        <f>SUM(B62,F62,J62,N62,R62,V62,Z62,AA62,AB62,AC62,AD62)</f>
        <v/>
      </c>
      <c r="AF62" s="3">
        <f>B62*0.055</f>
        <v/>
      </c>
      <c r="AG62" s="3">
        <f>B62*0.035</f>
        <v/>
      </c>
      <c r="AH62" s="3">
        <f>B62*0.165</f>
        <v/>
      </c>
      <c r="AI62" s="3">
        <f>MAX(0,AE62-AF62-AH62)</f>
        <v/>
      </c>
      <c r="AJ62" s="3">
        <f>IF(AI62&lt;=490,0,IF(AI62&lt;=600,(AI62-490)*0.05,IF(AI62&lt;=730,5.5+(AI62-600)*0.10,IF(AI62&lt;=3896.67,18.5+(AI62-730)*0.175,IF(AI62&lt;=19896.67,572.67+(AI62-3896.67)*0.25,IF(AI62&lt;=50416.67,4572.67+(AI62-19896.67)*0.30,13728.67+(AI62-50416.67)*0.35))))))</f>
        <v/>
      </c>
      <c r="AK62" s="3" t="n"/>
      <c r="AL62" s="3" t="n"/>
      <c r="AM62" s="3" t="n"/>
      <c r="AN62" s="3" t="n"/>
      <c r="AO62" s="3" t="n"/>
      <c r="AP62" s="3">
        <f>SUM(AF62,AJ62,AK62,AL62,AM62,AN62,AO62,AG62,AH62)</f>
        <v/>
      </c>
      <c r="AQ62" s="3">
        <f>AE62-AP62</f>
        <v/>
      </c>
      <c r="AR62" s="3" t="n"/>
      <c r="AS62" s="3" t="n"/>
      <c r="AT62" s="3">
        <f>AR62-AS62</f>
        <v/>
      </c>
    </row>
    <row r="63">
      <c r="A63" s="2" t="n"/>
      <c r="B63" s="3" t="n"/>
      <c r="C63" s="4" t="n"/>
      <c r="D63" s="5" t="n"/>
      <c r="E63" s="3" t="n"/>
      <c r="F63" s="3">
        <f>IF(C63=0,0,IF(E63="",B63*D63/100,E63))</f>
        <v/>
      </c>
      <c r="G63" s="4" t="n"/>
      <c r="H63" s="5" t="n"/>
      <c r="I63" s="3" t="n"/>
      <c r="J63" s="3">
        <f>IF(G63=0,0,IF(I63="",B63*H63/100,I63))</f>
        <v/>
      </c>
      <c r="K63" s="4" t="n"/>
      <c r="L63" s="5" t="n"/>
      <c r="M63" s="3" t="n"/>
      <c r="N63" s="3">
        <f>IF(K63=0,0,IF(M63="",B63*L63/100,M63))</f>
        <v/>
      </c>
      <c r="O63" s="4" t="n"/>
      <c r="P63" s="5" t="n"/>
      <c r="Q63" s="3" t="n"/>
      <c r="R63" s="3">
        <f>IF(O63=0,0,IF(Q63="",B63*P63/100,Q63))</f>
        <v/>
      </c>
      <c r="S63" s="4" t="n"/>
      <c r="T63" s="5" t="n"/>
      <c r="U63" s="3" t="n"/>
      <c r="V63" s="3">
        <f>IF(S63=0,0,IF(U63="",B63*T63/100,U63))</f>
        <v/>
      </c>
      <c r="W63" s="4" t="n"/>
      <c r="X63" s="5" t="n"/>
      <c r="Y63" s="3" t="n"/>
      <c r="Z63" s="3">
        <f>IF(W63=0,0,IF(Y63="",B63*X63/100,Y63))</f>
        <v/>
      </c>
      <c r="AA63" s="3" t="n"/>
      <c r="AB63" s="3" t="n"/>
      <c r="AC63" s="3">
        <f>B63*0.035</f>
        <v/>
      </c>
      <c r="AD63" s="3">
        <f>B63*0.065</f>
        <v/>
      </c>
      <c r="AE63" s="3">
        <f>SUM(B63,F63,J63,N63,R63,V63,Z63,AA63,AB63,AC63,AD63)</f>
        <v/>
      </c>
      <c r="AF63" s="3">
        <f>B63*0.055</f>
        <v/>
      </c>
      <c r="AG63" s="3">
        <f>B63*0.035</f>
        <v/>
      </c>
      <c r="AH63" s="3">
        <f>B63*0.165</f>
        <v/>
      </c>
      <c r="AI63" s="3">
        <f>MAX(0,AE63-AF63-AH63)</f>
        <v/>
      </c>
      <c r="AJ63" s="3">
        <f>IF(AI63&lt;=490,0,IF(AI63&lt;=600,(AI63-490)*0.05,IF(AI63&lt;=730,5.5+(AI63-600)*0.10,IF(AI63&lt;=3896.67,18.5+(AI63-730)*0.175,IF(AI63&lt;=19896.67,572.67+(AI63-3896.67)*0.25,IF(AI63&lt;=50416.67,4572.67+(AI63-19896.67)*0.30,13728.67+(AI63-50416.67)*0.35))))))</f>
        <v/>
      </c>
      <c r="AK63" s="3" t="n"/>
      <c r="AL63" s="3" t="n"/>
      <c r="AM63" s="3" t="n"/>
      <c r="AN63" s="3" t="n"/>
      <c r="AO63" s="3" t="n"/>
      <c r="AP63" s="3">
        <f>SUM(AF63,AJ63,AK63,AL63,AM63,AN63,AO63,AG63,AH63)</f>
        <v/>
      </c>
      <c r="AQ63" s="3">
        <f>AE63-AP63</f>
        <v/>
      </c>
      <c r="AR63" s="3" t="n"/>
      <c r="AS63" s="3" t="n"/>
      <c r="AT63" s="3">
        <f>AR63-AS63</f>
        <v/>
      </c>
    </row>
    <row r="64">
      <c r="A64" s="2" t="n"/>
      <c r="B64" s="3" t="n"/>
      <c r="C64" s="4" t="n"/>
      <c r="D64" s="5" t="n"/>
      <c r="E64" s="3" t="n"/>
      <c r="F64" s="3">
        <f>IF(C64=0,0,IF(E64="",B64*D64/100,E64))</f>
        <v/>
      </c>
      <c r="G64" s="4" t="n"/>
      <c r="H64" s="5" t="n"/>
      <c r="I64" s="3" t="n"/>
      <c r="J64" s="3">
        <f>IF(G64=0,0,IF(I64="",B64*H64/100,I64))</f>
        <v/>
      </c>
      <c r="K64" s="4" t="n"/>
      <c r="L64" s="5" t="n"/>
      <c r="M64" s="3" t="n"/>
      <c r="N64" s="3">
        <f>IF(K64=0,0,IF(M64="",B64*L64/100,M64))</f>
        <v/>
      </c>
      <c r="O64" s="4" t="n"/>
      <c r="P64" s="5" t="n"/>
      <c r="Q64" s="3" t="n"/>
      <c r="R64" s="3">
        <f>IF(O64=0,0,IF(Q64="",B64*P64/100,Q64))</f>
        <v/>
      </c>
      <c r="S64" s="4" t="n"/>
      <c r="T64" s="5" t="n"/>
      <c r="U64" s="3" t="n"/>
      <c r="V64" s="3">
        <f>IF(S64=0,0,IF(U64="",B64*T64/100,U64))</f>
        <v/>
      </c>
      <c r="W64" s="4" t="n"/>
      <c r="X64" s="5" t="n"/>
      <c r="Y64" s="3" t="n"/>
      <c r="Z64" s="3">
        <f>IF(W64=0,0,IF(Y64="",B64*X64/100,Y64))</f>
        <v/>
      </c>
      <c r="AA64" s="3" t="n"/>
      <c r="AB64" s="3" t="n"/>
      <c r="AC64" s="3">
        <f>B64*0.035</f>
        <v/>
      </c>
      <c r="AD64" s="3">
        <f>B64*0.065</f>
        <v/>
      </c>
      <c r="AE64" s="3">
        <f>SUM(B64,F64,J64,N64,R64,V64,Z64,AA64,AB64,AC64,AD64)</f>
        <v/>
      </c>
      <c r="AF64" s="3">
        <f>B64*0.055</f>
        <v/>
      </c>
      <c r="AG64" s="3">
        <f>B64*0.035</f>
        <v/>
      </c>
      <c r="AH64" s="3">
        <f>B64*0.165</f>
        <v/>
      </c>
      <c r="AI64" s="3">
        <f>MAX(0,AE64-AF64-AH64)</f>
        <v/>
      </c>
      <c r="AJ64" s="3">
        <f>IF(AI64&lt;=490,0,IF(AI64&lt;=600,(AI64-490)*0.05,IF(AI64&lt;=730,5.5+(AI64-600)*0.10,IF(AI64&lt;=3896.67,18.5+(AI64-730)*0.175,IF(AI64&lt;=19896.67,572.67+(AI64-3896.67)*0.25,IF(AI64&lt;=50416.67,4572.67+(AI64-19896.67)*0.30,13728.67+(AI64-50416.67)*0.35))))))</f>
        <v/>
      </c>
      <c r="AK64" s="3" t="n"/>
      <c r="AL64" s="3" t="n"/>
      <c r="AM64" s="3" t="n"/>
      <c r="AN64" s="3" t="n"/>
      <c r="AO64" s="3" t="n"/>
      <c r="AP64" s="3">
        <f>SUM(AF64,AJ64,AK64,AL64,AM64,AN64,AO64,AG64,AH64)</f>
        <v/>
      </c>
      <c r="AQ64" s="3">
        <f>AE64-AP64</f>
        <v/>
      </c>
      <c r="AR64" s="3" t="n"/>
      <c r="AS64" s="3" t="n"/>
      <c r="AT64" s="3">
        <f>AR64-AS64</f>
        <v/>
      </c>
    </row>
    <row r="65">
      <c r="A65" s="2" t="n"/>
      <c r="B65" s="3" t="n"/>
      <c r="C65" s="4" t="n"/>
      <c r="D65" s="5" t="n"/>
      <c r="E65" s="3" t="n"/>
      <c r="F65" s="3">
        <f>IF(C65=0,0,IF(E65="",B65*D65/100,E65))</f>
        <v/>
      </c>
      <c r="G65" s="4" t="n"/>
      <c r="H65" s="5" t="n"/>
      <c r="I65" s="3" t="n"/>
      <c r="J65" s="3">
        <f>IF(G65=0,0,IF(I65="",B65*H65/100,I65))</f>
        <v/>
      </c>
      <c r="K65" s="4" t="n"/>
      <c r="L65" s="5" t="n"/>
      <c r="M65" s="3" t="n"/>
      <c r="N65" s="3">
        <f>IF(K65=0,0,IF(M65="",B65*L65/100,M65))</f>
        <v/>
      </c>
      <c r="O65" s="4" t="n"/>
      <c r="P65" s="5" t="n"/>
      <c r="Q65" s="3" t="n"/>
      <c r="R65" s="3">
        <f>IF(O65=0,0,IF(Q65="",B65*P65/100,Q65))</f>
        <v/>
      </c>
      <c r="S65" s="4" t="n"/>
      <c r="T65" s="5" t="n"/>
      <c r="U65" s="3" t="n"/>
      <c r="V65" s="3">
        <f>IF(S65=0,0,IF(U65="",B65*T65/100,U65))</f>
        <v/>
      </c>
      <c r="W65" s="4" t="n"/>
      <c r="X65" s="5" t="n"/>
      <c r="Y65" s="3" t="n"/>
      <c r="Z65" s="3">
        <f>IF(W65=0,0,IF(Y65="",B65*X65/100,Y65))</f>
        <v/>
      </c>
      <c r="AA65" s="3" t="n"/>
      <c r="AB65" s="3" t="n"/>
      <c r="AC65" s="3">
        <f>B65*0.035</f>
        <v/>
      </c>
      <c r="AD65" s="3">
        <f>B65*0.065</f>
        <v/>
      </c>
      <c r="AE65" s="3">
        <f>SUM(B65,F65,J65,N65,R65,V65,Z65,AA65,AB65,AC65,AD65)</f>
        <v/>
      </c>
      <c r="AF65" s="3">
        <f>B65*0.055</f>
        <v/>
      </c>
      <c r="AG65" s="3">
        <f>B65*0.035</f>
        <v/>
      </c>
      <c r="AH65" s="3">
        <f>B65*0.165</f>
        <v/>
      </c>
      <c r="AI65" s="3">
        <f>MAX(0,AE65-AF65-AH65)</f>
        <v/>
      </c>
      <c r="AJ65" s="3">
        <f>IF(AI65&lt;=490,0,IF(AI65&lt;=600,(AI65-490)*0.05,IF(AI65&lt;=730,5.5+(AI65-600)*0.10,IF(AI65&lt;=3896.67,18.5+(AI65-730)*0.175,IF(AI65&lt;=19896.67,572.67+(AI65-3896.67)*0.25,IF(AI65&lt;=50416.67,4572.67+(AI65-19896.67)*0.30,13728.67+(AI65-50416.67)*0.35))))))</f>
        <v/>
      </c>
      <c r="AK65" s="3" t="n"/>
      <c r="AL65" s="3" t="n"/>
      <c r="AM65" s="3" t="n"/>
      <c r="AN65" s="3" t="n"/>
      <c r="AO65" s="3" t="n"/>
      <c r="AP65" s="3">
        <f>SUM(AF65,AJ65,AK65,AL65,AM65,AN65,AO65,AG65,AH65)</f>
        <v/>
      </c>
      <c r="AQ65" s="3">
        <f>AE65-AP65</f>
        <v/>
      </c>
      <c r="AR65" s="3" t="n"/>
      <c r="AS65" s="3" t="n"/>
      <c r="AT65" s="3">
        <f>AR65-AS65</f>
        <v/>
      </c>
    </row>
    <row r="66">
      <c r="A66" s="2" t="n"/>
      <c r="B66" s="3" t="n"/>
      <c r="C66" s="4" t="n"/>
      <c r="D66" s="5" t="n"/>
      <c r="E66" s="3" t="n"/>
      <c r="F66" s="3">
        <f>IF(C66=0,0,IF(E66="",B66*D66/100,E66))</f>
        <v/>
      </c>
      <c r="G66" s="4" t="n"/>
      <c r="H66" s="5" t="n"/>
      <c r="I66" s="3" t="n"/>
      <c r="J66" s="3">
        <f>IF(G66=0,0,IF(I66="",B66*H66/100,I66))</f>
        <v/>
      </c>
      <c r="K66" s="4" t="n"/>
      <c r="L66" s="5" t="n"/>
      <c r="M66" s="3" t="n"/>
      <c r="N66" s="3">
        <f>IF(K66=0,0,IF(M66="",B66*L66/100,M66))</f>
        <v/>
      </c>
      <c r="O66" s="4" t="n"/>
      <c r="P66" s="5" t="n"/>
      <c r="Q66" s="3" t="n"/>
      <c r="R66" s="3">
        <f>IF(O66=0,0,IF(Q66="",B66*P66/100,Q66))</f>
        <v/>
      </c>
      <c r="S66" s="4" t="n"/>
      <c r="T66" s="5" t="n"/>
      <c r="U66" s="3" t="n"/>
      <c r="V66" s="3">
        <f>IF(S66=0,0,IF(U66="",B66*T66/100,U66))</f>
        <v/>
      </c>
      <c r="W66" s="4" t="n"/>
      <c r="X66" s="5" t="n"/>
      <c r="Y66" s="3" t="n"/>
      <c r="Z66" s="3">
        <f>IF(W66=0,0,IF(Y66="",B66*X66/100,Y66))</f>
        <v/>
      </c>
      <c r="AA66" s="3" t="n"/>
      <c r="AB66" s="3" t="n"/>
      <c r="AC66" s="3">
        <f>B66*0.035</f>
        <v/>
      </c>
      <c r="AD66" s="3">
        <f>B66*0.065</f>
        <v/>
      </c>
      <c r="AE66" s="3">
        <f>SUM(B66,F66,J66,N66,R66,V66,Z66,AA66,AB66,AC66,AD66)</f>
        <v/>
      </c>
      <c r="AF66" s="3">
        <f>B66*0.055</f>
        <v/>
      </c>
      <c r="AG66" s="3">
        <f>B66*0.035</f>
        <v/>
      </c>
      <c r="AH66" s="3">
        <f>B66*0.165</f>
        <v/>
      </c>
      <c r="AI66" s="3">
        <f>MAX(0,AE66-AF66-AH66)</f>
        <v/>
      </c>
      <c r="AJ66" s="3">
        <f>IF(AI66&lt;=490,0,IF(AI66&lt;=600,(AI66-490)*0.05,IF(AI66&lt;=730,5.5+(AI66-600)*0.10,IF(AI66&lt;=3896.67,18.5+(AI66-730)*0.175,IF(AI66&lt;=19896.67,572.67+(AI66-3896.67)*0.25,IF(AI66&lt;=50416.67,4572.67+(AI66-19896.67)*0.30,13728.67+(AI66-50416.67)*0.35))))))</f>
        <v/>
      </c>
      <c r="AK66" s="3" t="n"/>
      <c r="AL66" s="3" t="n"/>
      <c r="AM66" s="3" t="n"/>
      <c r="AN66" s="3" t="n"/>
      <c r="AO66" s="3" t="n"/>
      <c r="AP66" s="3">
        <f>SUM(AF66,AJ66,AK66,AL66,AM66,AN66,AO66,AG66,AH66)</f>
        <v/>
      </c>
      <c r="AQ66" s="3">
        <f>AE66-AP66</f>
        <v/>
      </c>
      <c r="AR66" s="3" t="n"/>
      <c r="AS66" s="3" t="n"/>
      <c r="AT66" s="3">
        <f>AR66-AS66</f>
        <v/>
      </c>
    </row>
    <row r="67">
      <c r="A67" s="2" t="n"/>
      <c r="B67" s="3" t="n"/>
      <c r="C67" s="4" t="n"/>
      <c r="D67" s="5" t="n"/>
      <c r="E67" s="3" t="n"/>
      <c r="F67" s="3">
        <f>IF(C67=0,0,IF(E67="",B67*D67/100,E67))</f>
        <v/>
      </c>
      <c r="G67" s="4" t="n"/>
      <c r="H67" s="5" t="n"/>
      <c r="I67" s="3" t="n"/>
      <c r="J67" s="3">
        <f>IF(G67=0,0,IF(I67="",B67*H67/100,I67))</f>
        <v/>
      </c>
      <c r="K67" s="4" t="n"/>
      <c r="L67" s="5" t="n"/>
      <c r="M67" s="3" t="n"/>
      <c r="N67" s="3">
        <f>IF(K67=0,0,IF(M67="",B67*L67/100,M67))</f>
        <v/>
      </c>
      <c r="O67" s="4" t="n"/>
      <c r="P67" s="5" t="n"/>
      <c r="Q67" s="3" t="n"/>
      <c r="R67" s="3">
        <f>IF(O67=0,0,IF(Q67="",B67*P67/100,Q67))</f>
        <v/>
      </c>
      <c r="S67" s="4" t="n"/>
      <c r="T67" s="5" t="n"/>
      <c r="U67" s="3" t="n"/>
      <c r="V67" s="3">
        <f>IF(S67=0,0,IF(U67="",B67*T67/100,U67))</f>
        <v/>
      </c>
      <c r="W67" s="4" t="n"/>
      <c r="X67" s="5" t="n"/>
      <c r="Y67" s="3" t="n"/>
      <c r="Z67" s="3">
        <f>IF(W67=0,0,IF(Y67="",B67*X67/100,Y67))</f>
        <v/>
      </c>
      <c r="AA67" s="3" t="n"/>
      <c r="AB67" s="3" t="n"/>
      <c r="AC67" s="3">
        <f>B67*0.035</f>
        <v/>
      </c>
      <c r="AD67" s="3">
        <f>B67*0.065</f>
        <v/>
      </c>
      <c r="AE67" s="3">
        <f>SUM(B67,F67,J67,N67,R67,V67,Z67,AA67,AB67,AC67,AD67)</f>
        <v/>
      </c>
      <c r="AF67" s="3">
        <f>B67*0.055</f>
        <v/>
      </c>
      <c r="AG67" s="3">
        <f>B67*0.035</f>
        <v/>
      </c>
      <c r="AH67" s="3">
        <f>B67*0.165</f>
        <v/>
      </c>
      <c r="AI67" s="3">
        <f>MAX(0,AE67-AF67-AH67)</f>
        <v/>
      </c>
      <c r="AJ67" s="3">
        <f>IF(AI67&lt;=490,0,IF(AI67&lt;=600,(AI67-490)*0.05,IF(AI67&lt;=730,5.5+(AI67-600)*0.10,IF(AI67&lt;=3896.67,18.5+(AI67-730)*0.175,IF(AI67&lt;=19896.67,572.67+(AI67-3896.67)*0.25,IF(AI67&lt;=50416.67,4572.67+(AI67-19896.67)*0.30,13728.67+(AI67-50416.67)*0.35))))))</f>
        <v/>
      </c>
      <c r="AK67" s="3" t="n"/>
      <c r="AL67" s="3" t="n"/>
      <c r="AM67" s="3" t="n"/>
      <c r="AN67" s="3" t="n"/>
      <c r="AO67" s="3" t="n"/>
      <c r="AP67" s="3">
        <f>SUM(AF67,AJ67,AK67,AL67,AM67,AN67,AO67,AG67,AH67)</f>
        <v/>
      </c>
      <c r="AQ67" s="3">
        <f>AE67-AP67</f>
        <v/>
      </c>
      <c r="AR67" s="3" t="n"/>
      <c r="AS67" s="3" t="n"/>
      <c r="AT67" s="3">
        <f>AR67-AS67</f>
        <v/>
      </c>
    </row>
    <row r="68">
      <c r="A68" s="2" t="n"/>
      <c r="B68" s="3" t="n"/>
      <c r="C68" s="4" t="n"/>
      <c r="D68" s="5" t="n"/>
      <c r="E68" s="3" t="n"/>
      <c r="F68" s="3">
        <f>IF(C68=0,0,IF(E68="",B68*D68/100,E68))</f>
        <v/>
      </c>
      <c r="G68" s="4" t="n"/>
      <c r="H68" s="5" t="n"/>
      <c r="I68" s="3" t="n"/>
      <c r="J68" s="3">
        <f>IF(G68=0,0,IF(I68="",B68*H68/100,I68))</f>
        <v/>
      </c>
      <c r="K68" s="4" t="n"/>
      <c r="L68" s="5" t="n"/>
      <c r="M68" s="3" t="n"/>
      <c r="N68" s="3">
        <f>IF(K68=0,0,IF(M68="",B68*L68/100,M68))</f>
        <v/>
      </c>
      <c r="O68" s="4" t="n"/>
      <c r="P68" s="5" t="n"/>
      <c r="Q68" s="3" t="n"/>
      <c r="R68" s="3">
        <f>IF(O68=0,0,IF(Q68="",B68*P68/100,Q68))</f>
        <v/>
      </c>
      <c r="S68" s="4" t="n"/>
      <c r="T68" s="5" t="n"/>
      <c r="U68" s="3" t="n"/>
      <c r="V68" s="3">
        <f>IF(S68=0,0,IF(U68="",B68*T68/100,U68))</f>
        <v/>
      </c>
      <c r="W68" s="4" t="n"/>
      <c r="X68" s="5" t="n"/>
      <c r="Y68" s="3" t="n"/>
      <c r="Z68" s="3">
        <f>IF(W68=0,0,IF(Y68="",B68*X68/100,Y68))</f>
        <v/>
      </c>
      <c r="AA68" s="3" t="n"/>
      <c r="AB68" s="3" t="n"/>
      <c r="AC68" s="3">
        <f>B68*0.035</f>
        <v/>
      </c>
      <c r="AD68" s="3">
        <f>B68*0.065</f>
        <v/>
      </c>
      <c r="AE68" s="3">
        <f>SUM(B68,F68,J68,N68,R68,V68,Z68,AA68,AB68,AC68,AD68)</f>
        <v/>
      </c>
      <c r="AF68" s="3">
        <f>B68*0.055</f>
        <v/>
      </c>
      <c r="AG68" s="3">
        <f>B68*0.035</f>
        <v/>
      </c>
      <c r="AH68" s="3">
        <f>B68*0.165</f>
        <v/>
      </c>
      <c r="AI68" s="3">
        <f>MAX(0,AE68-AF68-AH68)</f>
        <v/>
      </c>
      <c r="AJ68" s="3">
        <f>IF(AI68&lt;=490,0,IF(AI68&lt;=600,(AI68-490)*0.05,IF(AI68&lt;=730,5.5+(AI68-600)*0.10,IF(AI68&lt;=3896.67,18.5+(AI68-730)*0.175,IF(AI68&lt;=19896.67,572.67+(AI68-3896.67)*0.25,IF(AI68&lt;=50416.67,4572.67+(AI68-19896.67)*0.30,13728.67+(AI68-50416.67)*0.35))))))</f>
        <v/>
      </c>
      <c r="AK68" s="3" t="n"/>
      <c r="AL68" s="3" t="n"/>
      <c r="AM68" s="3" t="n"/>
      <c r="AN68" s="3" t="n"/>
      <c r="AO68" s="3" t="n"/>
      <c r="AP68" s="3">
        <f>SUM(AF68,AJ68,AK68,AL68,AM68,AN68,AO68,AG68,AH68)</f>
        <v/>
      </c>
      <c r="AQ68" s="3">
        <f>AE68-AP68</f>
        <v/>
      </c>
      <c r="AR68" s="3" t="n"/>
      <c r="AS68" s="3" t="n"/>
      <c r="AT68" s="3">
        <f>AR68-AS68</f>
        <v/>
      </c>
    </row>
    <row r="69">
      <c r="A69" s="2" t="n"/>
      <c r="B69" s="3" t="n"/>
      <c r="C69" s="4" t="n"/>
      <c r="D69" s="5" t="n"/>
      <c r="E69" s="3" t="n"/>
      <c r="F69" s="3">
        <f>IF(C69=0,0,IF(E69="",B69*D69/100,E69))</f>
        <v/>
      </c>
      <c r="G69" s="4" t="n"/>
      <c r="H69" s="5" t="n"/>
      <c r="I69" s="3" t="n"/>
      <c r="J69" s="3">
        <f>IF(G69=0,0,IF(I69="",B69*H69/100,I69))</f>
        <v/>
      </c>
      <c r="K69" s="4" t="n"/>
      <c r="L69" s="5" t="n"/>
      <c r="M69" s="3" t="n"/>
      <c r="N69" s="3">
        <f>IF(K69=0,0,IF(M69="",B69*L69/100,M69))</f>
        <v/>
      </c>
      <c r="O69" s="4" t="n"/>
      <c r="P69" s="5" t="n"/>
      <c r="Q69" s="3" t="n"/>
      <c r="R69" s="3">
        <f>IF(O69=0,0,IF(Q69="",B69*P69/100,Q69))</f>
        <v/>
      </c>
      <c r="S69" s="4" t="n"/>
      <c r="T69" s="5" t="n"/>
      <c r="U69" s="3" t="n"/>
      <c r="V69" s="3">
        <f>IF(S69=0,0,IF(U69="",B69*T69/100,U69))</f>
        <v/>
      </c>
      <c r="W69" s="4" t="n"/>
      <c r="X69" s="5" t="n"/>
      <c r="Y69" s="3" t="n"/>
      <c r="Z69" s="3">
        <f>IF(W69=0,0,IF(Y69="",B69*X69/100,Y69))</f>
        <v/>
      </c>
      <c r="AA69" s="3" t="n"/>
      <c r="AB69" s="3" t="n"/>
      <c r="AC69" s="3">
        <f>B69*0.035</f>
        <v/>
      </c>
      <c r="AD69" s="3">
        <f>B69*0.065</f>
        <v/>
      </c>
      <c r="AE69" s="3">
        <f>SUM(B69,F69,J69,N69,R69,V69,Z69,AA69,AB69,AC69,AD69)</f>
        <v/>
      </c>
      <c r="AF69" s="3">
        <f>B69*0.055</f>
        <v/>
      </c>
      <c r="AG69" s="3">
        <f>B69*0.035</f>
        <v/>
      </c>
      <c r="AH69" s="3">
        <f>B69*0.165</f>
        <v/>
      </c>
      <c r="AI69" s="3">
        <f>MAX(0,AE69-AF69-AH69)</f>
        <v/>
      </c>
      <c r="AJ69" s="3">
        <f>IF(AI69&lt;=490,0,IF(AI69&lt;=600,(AI69-490)*0.05,IF(AI69&lt;=730,5.5+(AI69-600)*0.10,IF(AI69&lt;=3896.67,18.5+(AI69-730)*0.175,IF(AI69&lt;=19896.67,572.67+(AI69-3896.67)*0.25,IF(AI69&lt;=50416.67,4572.67+(AI69-19896.67)*0.30,13728.67+(AI69-50416.67)*0.35))))))</f>
        <v/>
      </c>
      <c r="AK69" s="3" t="n"/>
      <c r="AL69" s="3" t="n"/>
      <c r="AM69" s="3" t="n"/>
      <c r="AN69" s="3" t="n"/>
      <c r="AO69" s="3" t="n"/>
      <c r="AP69" s="3">
        <f>SUM(AF69,AJ69,AK69,AL69,AM69,AN69,AO69,AG69,AH69)</f>
        <v/>
      </c>
      <c r="AQ69" s="3">
        <f>AE69-AP69</f>
        <v/>
      </c>
      <c r="AR69" s="3" t="n"/>
      <c r="AS69" s="3" t="n"/>
      <c r="AT69" s="3">
        <f>AR69-AS69</f>
        <v/>
      </c>
    </row>
    <row r="70">
      <c r="A70" s="2" t="n"/>
      <c r="B70" s="3" t="n"/>
      <c r="C70" s="4" t="n"/>
      <c r="D70" s="5" t="n"/>
      <c r="E70" s="3" t="n"/>
      <c r="F70" s="3">
        <f>IF(C70=0,0,IF(E70="",B70*D70/100,E70))</f>
        <v/>
      </c>
      <c r="G70" s="4" t="n"/>
      <c r="H70" s="5" t="n"/>
      <c r="I70" s="3" t="n"/>
      <c r="J70" s="3">
        <f>IF(G70=0,0,IF(I70="",B70*H70/100,I70))</f>
        <v/>
      </c>
      <c r="K70" s="4" t="n"/>
      <c r="L70" s="5" t="n"/>
      <c r="M70" s="3" t="n"/>
      <c r="N70" s="3">
        <f>IF(K70=0,0,IF(M70="",B70*L70/100,M70))</f>
        <v/>
      </c>
      <c r="O70" s="4" t="n"/>
      <c r="P70" s="5" t="n"/>
      <c r="Q70" s="3" t="n"/>
      <c r="R70" s="3">
        <f>IF(O70=0,0,IF(Q70="",B70*P70/100,Q70))</f>
        <v/>
      </c>
      <c r="S70" s="4" t="n"/>
      <c r="T70" s="5" t="n"/>
      <c r="U70" s="3" t="n"/>
      <c r="V70" s="3">
        <f>IF(S70=0,0,IF(U70="",B70*T70/100,U70))</f>
        <v/>
      </c>
      <c r="W70" s="4" t="n"/>
      <c r="X70" s="5" t="n"/>
      <c r="Y70" s="3" t="n"/>
      <c r="Z70" s="3">
        <f>IF(W70=0,0,IF(Y70="",B70*X70/100,Y70))</f>
        <v/>
      </c>
      <c r="AA70" s="3" t="n"/>
      <c r="AB70" s="3" t="n"/>
      <c r="AC70" s="3">
        <f>B70*0.035</f>
        <v/>
      </c>
      <c r="AD70" s="3">
        <f>B70*0.065</f>
        <v/>
      </c>
      <c r="AE70" s="3">
        <f>SUM(B70,F70,J70,N70,R70,V70,Z70,AA70,AB70,AC70,AD70)</f>
        <v/>
      </c>
      <c r="AF70" s="3">
        <f>B70*0.055</f>
        <v/>
      </c>
      <c r="AG70" s="3">
        <f>B70*0.035</f>
        <v/>
      </c>
      <c r="AH70" s="3">
        <f>B70*0.165</f>
        <v/>
      </c>
      <c r="AI70" s="3">
        <f>MAX(0,AE70-AF70-AH70)</f>
        <v/>
      </c>
      <c r="AJ70" s="3">
        <f>IF(AI70&lt;=490,0,IF(AI70&lt;=600,(AI70-490)*0.05,IF(AI70&lt;=730,5.5+(AI70-600)*0.10,IF(AI70&lt;=3896.67,18.5+(AI70-730)*0.175,IF(AI70&lt;=19896.67,572.67+(AI70-3896.67)*0.25,IF(AI70&lt;=50416.67,4572.67+(AI70-19896.67)*0.30,13728.67+(AI70-50416.67)*0.35))))))</f>
        <v/>
      </c>
      <c r="AK70" s="3" t="n"/>
      <c r="AL70" s="3" t="n"/>
      <c r="AM70" s="3" t="n"/>
      <c r="AN70" s="3" t="n"/>
      <c r="AO70" s="3" t="n"/>
      <c r="AP70" s="3">
        <f>SUM(AF70,AJ70,AK70,AL70,AM70,AN70,AO70,AG70,AH70)</f>
        <v/>
      </c>
      <c r="AQ70" s="3">
        <f>AE70-AP70</f>
        <v/>
      </c>
      <c r="AR70" s="3" t="n"/>
      <c r="AS70" s="3" t="n"/>
      <c r="AT70" s="3">
        <f>AR70-AS70</f>
        <v/>
      </c>
    </row>
    <row r="71">
      <c r="A71" s="2" t="n"/>
      <c r="B71" s="3" t="n"/>
      <c r="C71" s="4" t="n"/>
      <c r="D71" s="5" t="n"/>
      <c r="E71" s="3" t="n"/>
      <c r="F71" s="3">
        <f>IF(C71=0,0,IF(E71="",B71*D71/100,E71))</f>
        <v/>
      </c>
      <c r="G71" s="4" t="n"/>
      <c r="H71" s="5" t="n"/>
      <c r="I71" s="3" t="n"/>
      <c r="J71" s="3">
        <f>IF(G71=0,0,IF(I71="",B71*H71/100,I71))</f>
        <v/>
      </c>
      <c r="K71" s="4" t="n"/>
      <c r="L71" s="5" t="n"/>
      <c r="M71" s="3" t="n"/>
      <c r="N71" s="3">
        <f>IF(K71=0,0,IF(M71="",B71*L71/100,M71))</f>
        <v/>
      </c>
      <c r="O71" s="4" t="n"/>
      <c r="P71" s="5" t="n"/>
      <c r="Q71" s="3" t="n"/>
      <c r="R71" s="3">
        <f>IF(O71=0,0,IF(Q71="",B71*P71/100,Q71))</f>
        <v/>
      </c>
      <c r="S71" s="4" t="n"/>
      <c r="T71" s="5" t="n"/>
      <c r="U71" s="3" t="n"/>
      <c r="V71" s="3">
        <f>IF(S71=0,0,IF(U71="",B71*T71/100,U71))</f>
        <v/>
      </c>
      <c r="W71" s="4" t="n"/>
      <c r="X71" s="5" t="n"/>
      <c r="Y71" s="3" t="n"/>
      <c r="Z71" s="3">
        <f>IF(W71=0,0,IF(Y71="",B71*X71/100,Y71))</f>
        <v/>
      </c>
      <c r="AA71" s="3" t="n"/>
      <c r="AB71" s="3" t="n"/>
      <c r="AC71" s="3">
        <f>B71*0.035</f>
        <v/>
      </c>
      <c r="AD71" s="3">
        <f>B71*0.065</f>
        <v/>
      </c>
      <c r="AE71" s="3">
        <f>SUM(B71,F71,J71,N71,R71,V71,Z71,AA71,AB71,AC71,AD71)</f>
        <v/>
      </c>
      <c r="AF71" s="3">
        <f>B71*0.055</f>
        <v/>
      </c>
      <c r="AG71" s="3">
        <f>B71*0.035</f>
        <v/>
      </c>
      <c r="AH71" s="3">
        <f>B71*0.165</f>
        <v/>
      </c>
      <c r="AI71" s="3">
        <f>MAX(0,AE71-AF71-AH71)</f>
        <v/>
      </c>
      <c r="AJ71" s="3">
        <f>IF(AI71&lt;=490,0,IF(AI71&lt;=600,(AI71-490)*0.05,IF(AI71&lt;=730,5.5+(AI71-600)*0.10,IF(AI71&lt;=3896.67,18.5+(AI71-730)*0.175,IF(AI71&lt;=19896.67,572.67+(AI71-3896.67)*0.25,IF(AI71&lt;=50416.67,4572.67+(AI71-19896.67)*0.30,13728.67+(AI71-50416.67)*0.35))))))</f>
        <v/>
      </c>
      <c r="AK71" s="3" t="n"/>
      <c r="AL71" s="3" t="n"/>
      <c r="AM71" s="3" t="n"/>
      <c r="AN71" s="3" t="n"/>
      <c r="AO71" s="3" t="n"/>
      <c r="AP71" s="3">
        <f>SUM(AF71,AJ71,AK71,AL71,AM71,AN71,AO71,AG71,AH71)</f>
        <v/>
      </c>
      <c r="AQ71" s="3">
        <f>AE71-AP71</f>
        <v/>
      </c>
      <c r="AR71" s="3" t="n"/>
      <c r="AS71" s="3" t="n"/>
      <c r="AT71" s="3">
        <f>AR71-AS71</f>
        <v/>
      </c>
    </row>
    <row r="72">
      <c r="A72" s="2" t="n"/>
      <c r="B72" s="3" t="n"/>
      <c r="C72" s="4" t="n"/>
      <c r="D72" s="5" t="n"/>
      <c r="E72" s="3" t="n"/>
      <c r="F72" s="3">
        <f>IF(C72=0,0,IF(E72="",B72*D72/100,E72))</f>
        <v/>
      </c>
      <c r="G72" s="4" t="n"/>
      <c r="H72" s="5" t="n"/>
      <c r="I72" s="3" t="n"/>
      <c r="J72" s="3">
        <f>IF(G72=0,0,IF(I72="",B72*H72/100,I72))</f>
        <v/>
      </c>
      <c r="K72" s="4" t="n"/>
      <c r="L72" s="5" t="n"/>
      <c r="M72" s="3" t="n"/>
      <c r="N72" s="3">
        <f>IF(K72=0,0,IF(M72="",B72*L72/100,M72))</f>
        <v/>
      </c>
      <c r="O72" s="4" t="n"/>
      <c r="P72" s="5" t="n"/>
      <c r="Q72" s="3" t="n"/>
      <c r="R72" s="3">
        <f>IF(O72=0,0,IF(Q72="",B72*P72/100,Q72))</f>
        <v/>
      </c>
      <c r="S72" s="4" t="n"/>
      <c r="T72" s="5" t="n"/>
      <c r="U72" s="3" t="n"/>
      <c r="V72" s="3">
        <f>IF(S72=0,0,IF(U72="",B72*T72/100,U72))</f>
        <v/>
      </c>
      <c r="W72" s="4" t="n"/>
      <c r="X72" s="5" t="n"/>
      <c r="Y72" s="3" t="n"/>
      <c r="Z72" s="3">
        <f>IF(W72=0,0,IF(Y72="",B72*X72/100,Y72))</f>
        <v/>
      </c>
      <c r="AA72" s="3" t="n"/>
      <c r="AB72" s="3" t="n"/>
      <c r="AC72" s="3">
        <f>B72*0.035</f>
        <v/>
      </c>
      <c r="AD72" s="3">
        <f>B72*0.065</f>
        <v/>
      </c>
      <c r="AE72" s="3">
        <f>SUM(B72,F72,J72,N72,R72,V72,Z72,AA72,AB72,AC72,AD72)</f>
        <v/>
      </c>
      <c r="AF72" s="3">
        <f>B72*0.055</f>
        <v/>
      </c>
      <c r="AG72" s="3">
        <f>B72*0.035</f>
        <v/>
      </c>
      <c r="AH72" s="3">
        <f>B72*0.165</f>
        <v/>
      </c>
      <c r="AI72" s="3">
        <f>MAX(0,AE72-AF72-AH72)</f>
        <v/>
      </c>
      <c r="AJ72" s="3">
        <f>IF(AI72&lt;=490,0,IF(AI72&lt;=600,(AI72-490)*0.05,IF(AI72&lt;=730,5.5+(AI72-600)*0.10,IF(AI72&lt;=3896.67,18.5+(AI72-730)*0.175,IF(AI72&lt;=19896.67,572.67+(AI72-3896.67)*0.25,IF(AI72&lt;=50416.67,4572.67+(AI72-19896.67)*0.30,13728.67+(AI72-50416.67)*0.35))))))</f>
        <v/>
      </c>
      <c r="AK72" s="3" t="n"/>
      <c r="AL72" s="3" t="n"/>
      <c r="AM72" s="3" t="n"/>
      <c r="AN72" s="3" t="n"/>
      <c r="AO72" s="3" t="n"/>
      <c r="AP72" s="3">
        <f>SUM(AF72,AJ72,AK72,AL72,AM72,AN72,AO72,AG72,AH72)</f>
        <v/>
      </c>
      <c r="AQ72" s="3">
        <f>AE72-AP72</f>
        <v/>
      </c>
      <c r="AR72" s="3" t="n"/>
      <c r="AS72" s="3" t="n"/>
      <c r="AT72" s="3">
        <f>AR72-AS72</f>
        <v/>
      </c>
    </row>
    <row r="73">
      <c r="A73" s="2" t="n"/>
      <c r="B73" s="3" t="n"/>
      <c r="C73" s="4" t="n"/>
      <c r="D73" s="5" t="n"/>
      <c r="E73" s="3" t="n"/>
      <c r="F73" s="3">
        <f>IF(C73=0,0,IF(E73="",B73*D73/100,E73))</f>
        <v/>
      </c>
      <c r="G73" s="4" t="n"/>
      <c r="H73" s="5" t="n"/>
      <c r="I73" s="3" t="n"/>
      <c r="J73" s="3">
        <f>IF(G73=0,0,IF(I73="",B73*H73/100,I73))</f>
        <v/>
      </c>
      <c r="K73" s="4" t="n"/>
      <c r="L73" s="5" t="n"/>
      <c r="M73" s="3" t="n"/>
      <c r="N73" s="3">
        <f>IF(K73=0,0,IF(M73="",B73*L73/100,M73))</f>
        <v/>
      </c>
      <c r="O73" s="4" t="n"/>
      <c r="P73" s="5" t="n"/>
      <c r="Q73" s="3" t="n"/>
      <c r="R73" s="3">
        <f>IF(O73=0,0,IF(Q73="",B73*P73/100,Q73))</f>
        <v/>
      </c>
      <c r="S73" s="4" t="n"/>
      <c r="T73" s="5" t="n"/>
      <c r="U73" s="3" t="n"/>
      <c r="V73" s="3">
        <f>IF(S73=0,0,IF(U73="",B73*T73/100,U73))</f>
        <v/>
      </c>
      <c r="W73" s="4" t="n"/>
      <c r="X73" s="5" t="n"/>
      <c r="Y73" s="3" t="n"/>
      <c r="Z73" s="3">
        <f>IF(W73=0,0,IF(Y73="",B73*X73/100,Y73))</f>
        <v/>
      </c>
      <c r="AA73" s="3" t="n"/>
      <c r="AB73" s="3" t="n"/>
      <c r="AC73" s="3">
        <f>B73*0.035</f>
        <v/>
      </c>
      <c r="AD73" s="3">
        <f>B73*0.065</f>
        <v/>
      </c>
      <c r="AE73" s="3">
        <f>SUM(B73,F73,J73,N73,R73,V73,Z73,AA73,AB73,AC73,AD73)</f>
        <v/>
      </c>
      <c r="AF73" s="3">
        <f>B73*0.055</f>
        <v/>
      </c>
      <c r="AG73" s="3">
        <f>B73*0.035</f>
        <v/>
      </c>
      <c r="AH73" s="3">
        <f>B73*0.165</f>
        <v/>
      </c>
      <c r="AI73" s="3">
        <f>MAX(0,AE73-AF73-AH73)</f>
        <v/>
      </c>
      <c r="AJ73" s="3">
        <f>IF(AI73&lt;=490,0,IF(AI73&lt;=600,(AI73-490)*0.05,IF(AI73&lt;=730,5.5+(AI73-600)*0.10,IF(AI73&lt;=3896.67,18.5+(AI73-730)*0.175,IF(AI73&lt;=19896.67,572.67+(AI73-3896.67)*0.25,IF(AI73&lt;=50416.67,4572.67+(AI73-19896.67)*0.30,13728.67+(AI73-50416.67)*0.35))))))</f>
        <v/>
      </c>
      <c r="AK73" s="3" t="n"/>
      <c r="AL73" s="3" t="n"/>
      <c r="AM73" s="3" t="n"/>
      <c r="AN73" s="3" t="n"/>
      <c r="AO73" s="3" t="n"/>
      <c r="AP73" s="3">
        <f>SUM(AF73,AJ73,AK73,AL73,AM73,AN73,AO73,AG73,AH73)</f>
        <v/>
      </c>
      <c r="AQ73" s="3">
        <f>AE73-AP73</f>
        <v/>
      </c>
      <c r="AR73" s="3" t="n"/>
      <c r="AS73" s="3" t="n"/>
      <c r="AT73" s="3">
        <f>AR73-AS73</f>
        <v/>
      </c>
    </row>
    <row r="74">
      <c r="A74" s="2" t="n"/>
      <c r="B74" s="3" t="n"/>
      <c r="C74" s="4" t="n"/>
      <c r="D74" s="5" t="n"/>
      <c r="E74" s="3" t="n"/>
      <c r="F74" s="3">
        <f>IF(C74=0,0,IF(E74="",B74*D74/100,E74))</f>
        <v/>
      </c>
      <c r="G74" s="4" t="n"/>
      <c r="H74" s="5" t="n"/>
      <c r="I74" s="3" t="n"/>
      <c r="J74" s="3">
        <f>IF(G74=0,0,IF(I74="",B74*H74/100,I74))</f>
        <v/>
      </c>
      <c r="K74" s="4" t="n"/>
      <c r="L74" s="5" t="n"/>
      <c r="M74" s="3" t="n"/>
      <c r="N74" s="3">
        <f>IF(K74=0,0,IF(M74="",B74*L74/100,M74))</f>
        <v/>
      </c>
      <c r="O74" s="4" t="n"/>
      <c r="P74" s="5" t="n"/>
      <c r="Q74" s="3" t="n"/>
      <c r="R74" s="3">
        <f>IF(O74=0,0,IF(Q74="",B74*P74/100,Q74))</f>
        <v/>
      </c>
      <c r="S74" s="4" t="n"/>
      <c r="T74" s="5" t="n"/>
      <c r="U74" s="3" t="n"/>
      <c r="V74" s="3">
        <f>IF(S74=0,0,IF(U74="",B74*T74/100,U74))</f>
        <v/>
      </c>
      <c r="W74" s="4" t="n"/>
      <c r="X74" s="5" t="n"/>
      <c r="Y74" s="3" t="n"/>
      <c r="Z74" s="3">
        <f>IF(W74=0,0,IF(Y74="",B74*X74/100,Y74))</f>
        <v/>
      </c>
      <c r="AA74" s="3" t="n"/>
      <c r="AB74" s="3" t="n"/>
      <c r="AC74" s="3">
        <f>B74*0.035</f>
        <v/>
      </c>
      <c r="AD74" s="3">
        <f>B74*0.065</f>
        <v/>
      </c>
      <c r="AE74" s="3">
        <f>SUM(B74,F74,J74,N74,R74,V74,Z74,AA74,AB74,AC74,AD74)</f>
        <v/>
      </c>
      <c r="AF74" s="3">
        <f>B74*0.055</f>
        <v/>
      </c>
      <c r="AG74" s="3">
        <f>B74*0.035</f>
        <v/>
      </c>
      <c r="AH74" s="3">
        <f>B74*0.165</f>
        <v/>
      </c>
      <c r="AI74" s="3">
        <f>MAX(0,AE74-AF74-AH74)</f>
        <v/>
      </c>
      <c r="AJ74" s="3">
        <f>IF(AI74&lt;=490,0,IF(AI74&lt;=600,(AI74-490)*0.05,IF(AI74&lt;=730,5.5+(AI74-600)*0.10,IF(AI74&lt;=3896.67,18.5+(AI74-730)*0.175,IF(AI74&lt;=19896.67,572.67+(AI74-3896.67)*0.25,IF(AI74&lt;=50416.67,4572.67+(AI74-19896.67)*0.30,13728.67+(AI74-50416.67)*0.35))))))</f>
        <v/>
      </c>
      <c r="AK74" s="3" t="n"/>
      <c r="AL74" s="3" t="n"/>
      <c r="AM74" s="3" t="n"/>
      <c r="AN74" s="3" t="n"/>
      <c r="AO74" s="3" t="n"/>
      <c r="AP74" s="3">
        <f>SUM(AF74,AJ74,AK74,AL74,AM74,AN74,AO74,AG74,AH74)</f>
        <v/>
      </c>
      <c r="AQ74" s="3">
        <f>AE74-AP74</f>
        <v/>
      </c>
      <c r="AR74" s="3" t="n"/>
      <c r="AS74" s="3" t="n"/>
      <c r="AT74" s="3">
        <f>AR74-AS74</f>
        <v/>
      </c>
    </row>
    <row r="75">
      <c r="A75" s="2" t="n"/>
      <c r="B75" s="3" t="n"/>
      <c r="C75" s="4" t="n"/>
      <c r="D75" s="5" t="n"/>
      <c r="E75" s="3" t="n"/>
      <c r="F75" s="3">
        <f>IF(C75=0,0,IF(E75="",B75*D75/100,E75))</f>
        <v/>
      </c>
      <c r="G75" s="4" t="n"/>
      <c r="H75" s="5" t="n"/>
      <c r="I75" s="3" t="n"/>
      <c r="J75" s="3">
        <f>IF(G75=0,0,IF(I75="",B75*H75/100,I75))</f>
        <v/>
      </c>
      <c r="K75" s="4" t="n"/>
      <c r="L75" s="5" t="n"/>
      <c r="M75" s="3" t="n"/>
      <c r="N75" s="3">
        <f>IF(K75=0,0,IF(M75="",B75*L75/100,M75))</f>
        <v/>
      </c>
      <c r="O75" s="4" t="n"/>
      <c r="P75" s="5" t="n"/>
      <c r="Q75" s="3" t="n"/>
      <c r="R75" s="3">
        <f>IF(O75=0,0,IF(Q75="",B75*P75/100,Q75))</f>
        <v/>
      </c>
      <c r="S75" s="4" t="n"/>
      <c r="T75" s="5" t="n"/>
      <c r="U75" s="3" t="n"/>
      <c r="V75" s="3">
        <f>IF(S75=0,0,IF(U75="",B75*T75/100,U75))</f>
        <v/>
      </c>
      <c r="W75" s="4" t="n"/>
      <c r="X75" s="5" t="n"/>
      <c r="Y75" s="3" t="n"/>
      <c r="Z75" s="3">
        <f>IF(W75=0,0,IF(Y75="",B75*X75/100,Y75))</f>
        <v/>
      </c>
      <c r="AA75" s="3" t="n"/>
      <c r="AB75" s="3" t="n"/>
      <c r="AC75" s="3">
        <f>B75*0.035</f>
        <v/>
      </c>
      <c r="AD75" s="3">
        <f>B75*0.065</f>
        <v/>
      </c>
      <c r="AE75" s="3">
        <f>SUM(B75,F75,J75,N75,R75,V75,Z75,AA75,AB75,AC75,AD75)</f>
        <v/>
      </c>
      <c r="AF75" s="3">
        <f>B75*0.055</f>
        <v/>
      </c>
      <c r="AG75" s="3">
        <f>B75*0.035</f>
        <v/>
      </c>
      <c r="AH75" s="3">
        <f>B75*0.165</f>
        <v/>
      </c>
      <c r="AI75" s="3">
        <f>MAX(0,AE75-AF75-AH75)</f>
        <v/>
      </c>
      <c r="AJ75" s="3">
        <f>IF(AI75&lt;=490,0,IF(AI75&lt;=600,(AI75-490)*0.05,IF(AI75&lt;=730,5.5+(AI75-600)*0.10,IF(AI75&lt;=3896.67,18.5+(AI75-730)*0.175,IF(AI75&lt;=19896.67,572.67+(AI75-3896.67)*0.25,IF(AI75&lt;=50416.67,4572.67+(AI75-19896.67)*0.30,13728.67+(AI75-50416.67)*0.35))))))</f>
        <v/>
      </c>
      <c r="AK75" s="3" t="n"/>
      <c r="AL75" s="3" t="n"/>
      <c r="AM75" s="3" t="n"/>
      <c r="AN75" s="3" t="n"/>
      <c r="AO75" s="3" t="n"/>
      <c r="AP75" s="3">
        <f>SUM(AF75,AJ75,AK75,AL75,AM75,AN75,AO75,AG75,AH75)</f>
        <v/>
      </c>
      <c r="AQ75" s="3">
        <f>AE75-AP75</f>
        <v/>
      </c>
      <c r="AR75" s="3" t="n"/>
      <c r="AS75" s="3" t="n"/>
      <c r="AT75" s="3">
        <f>AR75-AS75</f>
        <v/>
      </c>
    </row>
    <row r="76">
      <c r="A76" s="2" t="n"/>
      <c r="B76" s="3" t="n"/>
      <c r="C76" s="4" t="n"/>
      <c r="D76" s="5" t="n"/>
      <c r="E76" s="3" t="n"/>
      <c r="F76" s="3">
        <f>IF(C76=0,0,IF(E76="",B76*D76/100,E76))</f>
        <v/>
      </c>
      <c r="G76" s="4" t="n"/>
      <c r="H76" s="5" t="n"/>
      <c r="I76" s="3" t="n"/>
      <c r="J76" s="3">
        <f>IF(G76=0,0,IF(I76="",B76*H76/100,I76))</f>
        <v/>
      </c>
      <c r="K76" s="4" t="n"/>
      <c r="L76" s="5" t="n"/>
      <c r="M76" s="3" t="n"/>
      <c r="N76" s="3">
        <f>IF(K76=0,0,IF(M76="",B76*L76/100,M76))</f>
        <v/>
      </c>
      <c r="O76" s="4" t="n"/>
      <c r="P76" s="5" t="n"/>
      <c r="Q76" s="3" t="n"/>
      <c r="R76" s="3">
        <f>IF(O76=0,0,IF(Q76="",B76*P76/100,Q76))</f>
        <v/>
      </c>
      <c r="S76" s="4" t="n"/>
      <c r="T76" s="5" t="n"/>
      <c r="U76" s="3" t="n"/>
      <c r="V76" s="3">
        <f>IF(S76=0,0,IF(U76="",B76*T76/100,U76))</f>
        <v/>
      </c>
      <c r="W76" s="4" t="n"/>
      <c r="X76" s="5" t="n"/>
      <c r="Y76" s="3" t="n"/>
      <c r="Z76" s="3">
        <f>IF(W76=0,0,IF(Y76="",B76*X76/100,Y76))</f>
        <v/>
      </c>
      <c r="AA76" s="3" t="n"/>
      <c r="AB76" s="3" t="n"/>
      <c r="AC76" s="3">
        <f>B76*0.035</f>
        <v/>
      </c>
      <c r="AD76" s="3">
        <f>B76*0.065</f>
        <v/>
      </c>
      <c r="AE76" s="3">
        <f>SUM(B76,F76,J76,N76,R76,V76,Z76,AA76,AB76,AC76,AD76)</f>
        <v/>
      </c>
      <c r="AF76" s="3">
        <f>B76*0.055</f>
        <v/>
      </c>
      <c r="AG76" s="3">
        <f>B76*0.035</f>
        <v/>
      </c>
      <c r="AH76" s="3">
        <f>B76*0.165</f>
        <v/>
      </c>
      <c r="AI76" s="3">
        <f>MAX(0,AE76-AF76-AH76)</f>
        <v/>
      </c>
      <c r="AJ76" s="3">
        <f>IF(AI76&lt;=490,0,IF(AI76&lt;=600,(AI76-490)*0.05,IF(AI76&lt;=730,5.5+(AI76-600)*0.10,IF(AI76&lt;=3896.67,18.5+(AI76-730)*0.175,IF(AI76&lt;=19896.67,572.67+(AI76-3896.67)*0.25,IF(AI76&lt;=50416.67,4572.67+(AI76-19896.67)*0.30,13728.67+(AI76-50416.67)*0.35))))))</f>
        <v/>
      </c>
      <c r="AK76" s="3" t="n"/>
      <c r="AL76" s="3" t="n"/>
      <c r="AM76" s="3" t="n"/>
      <c r="AN76" s="3" t="n"/>
      <c r="AO76" s="3" t="n"/>
      <c r="AP76" s="3">
        <f>SUM(AF76,AJ76,AK76,AL76,AM76,AN76,AO76,AG76,AH76)</f>
        <v/>
      </c>
      <c r="AQ76" s="3">
        <f>AE76-AP76</f>
        <v/>
      </c>
      <c r="AR76" s="3" t="n"/>
      <c r="AS76" s="3" t="n"/>
      <c r="AT76" s="3">
        <f>AR76-AS76</f>
        <v/>
      </c>
    </row>
    <row r="77">
      <c r="A77" s="2" t="n"/>
      <c r="B77" s="3" t="n"/>
      <c r="C77" s="4" t="n"/>
      <c r="D77" s="5" t="n"/>
      <c r="E77" s="3" t="n"/>
      <c r="F77" s="3">
        <f>IF(C77=0,0,IF(E77="",B77*D77/100,E77))</f>
        <v/>
      </c>
      <c r="G77" s="4" t="n"/>
      <c r="H77" s="5" t="n"/>
      <c r="I77" s="3" t="n"/>
      <c r="J77" s="3">
        <f>IF(G77=0,0,IF(I77="",B77*H77/100,I77))</f>
        <v/>
      </c>
      <c r="K77" s="4" t="n"/>
      <c r="L77" s="5" t="n"/>
      <c r="M77" s="3" t="n"/>
      <c r="N77" s="3">
        <f>IF(K77=0,0,IF(M77="",B77*L77/100,M77))</f>
        <v/>
      </c>
      <c r="O77" s="4" t="n"/>
      <c r="P77" s="5" t="n"/>
      <c r="Q77" s="3" t="n"/>
      <c r="R77" s="3">
        <f>IF(O77=0,0,IF(Q77="",B77*P77/100,Q77))</f>
        <v/>
      </c>
      <c r="S77" s="4" t="n"/>
      <c r="T77" s="5" t="n"/>
      <c r="U77" s="3" t="n"/>
      <c r="V77" s="3">
        <f>IF(S77=0,0,IF(U77="",B77*T77/100,U77))</f>
        <v/>
      </c>
      <c r="W77" s="4" t="n"/>
      <c r="X77" s="5" t="n"/>
      <c r="Y77" s="3" t="n"/>
      <c r="Z77" s="3">
        <f>IF(W77=0,0,IF(Y77="",B77*X77/100,Y77))</f>
        <v/>
      </c>
      <c r="AA77" s="3" t="n"/>
      <c r="AB77" s="3" t="n"/>
      <c r="AC77" s="3">
        <f>B77*0.035</f>
        <v/>
      </c>
      <c r="AD77" s="3">
        <f>B77*0.065</f>
        <v/>
      </c>
      <c r="AE77" s="3">
        <f>SUM(B77,F77,J77,N77,R77,V77,Z77,AA77,AB77,AC77,AD77)</f>
        <v/>
      </c>
      <c r="AF77" s="3">
        <f>B77*0.055</f>
        <v/>
      </c>
      <c r="AG77" s="3">
        <f>B77*0.035</f>
        <v/>
      </c>
      <c r="AH77" s="3">
        <f>B77*0.165</f>
        <v/>
      </c>
      <c r="AI77" s="3">
        <f>MAX(0,AE77-AF77-AH77)</f>
        <v/>
      </c>
      <c r="AJ77" s="3">
        <f>IF(AI77&lt;=490,0,IF(AI77&lt;=600,(AI77-490)*0.05,IF(AI77&lt;=730,5.5+(AI77-600)*0.10,IF(AI77&lt;=3896.67,18.5+(AI77-730)*0.175,IF(AI77&lt;=19896.67,572.67+(AI77-3896.67)*0.25,IF(AI77&lt;=50416.67,4572.67+(AI77-19896.67)*0.30,13728.67+(AI77-50416.67)*0.35))))))</f>
        <v/>
      </c>
      <c r="AK77" s="3" t="n"/>
      <c r="AL77" s="3" t="n"/>
      <c r="AM77" s="3" t="n"/>
      <c r="AN77" s="3" t="n"/>
      <c r="AO77" s="3" t="n"/>
      <c r="AP77" s="3">
        <f>SUM(AF77,AJ77,AK77,AL77,AM77,AN77,AO77,AG77,AH77)</f>
        <v/>
      </c>
      <c r="AQ77" s="3">
        <f>AE77-AP77</f>
        <v/>
      </c>
      <c r="AR77" s="3" t="n"/>
      <c r="AS77" s="3" t="n"/>
      <c r="AT77" s="3">
        <f>AR77-AS77</f>
        <v/>
      </c>
    </row>
    <row r="78">
      <c r="A78" s="2" t="n"/>
      <c r="B78" s="3" t="n"/>
      <c r="C78" s="4" t="n"/>
      <c r="D78" s="5" t="n"/>
      <c r="E78" s="3" t="n"/>
      <c r="F78" s="3">
        <f>IF(C78=0,0,IF(E78="",B78*D78/100,E78))</f>
        <v/>
      </c>
      <c r="G78" s="4" t="n"/>
      <c r="H78" s="5" t="n"/>
      <c r="I78" s="3" t="n"/>
      <c r="J78" s="3">
        <f>IF(G78=0,0,IF(I78="",B78*H78/100,I78))</f>
        <v/>
      </c>
      <c r="K78" s="4" t="n"/>
      <c r="L78" s="5" t="n"/>
      <c r="M78" s="3" t="n"/>
      <c r="N78" s="3">
        <f>IF(K78=0,0,IF(M78="",B78*L78/100,M78))</f>
        <v/>
      </c>
      <c r="O78" s="4" t="n"/>
      <c r="P78" s="5" t="n"/>
      <c r="Q78" s="3" t="n"/>
      <c r="R78" s="3">
        <f>IF(O78=0,0,IF(Q78="",B78*P78/100,Q78))</f>
        <v/>
      </c>
      <c r="S78" s="4" t="n"/>
      <c r="T78" s="5" t="n"/>
      <c r="U78" s="3" t="n"/>
      <c r="V78" s="3">
        <f>IF(S78=0,0,IF(U78="",B78*T78/100,U78))</f>
        <v/>
      </c>
      <c r="W78" s="4" t="n"/>
      <c r="X78" s="5" t="n"/>
      <c r="Y78" s="3" t="n"/>
      <c r="Z78" s="3">
        <f>IF(W78=0,0,IF(Y78="",B78*X78/100,Y78))</f>
        <v/>
      </c>
      <c r="AA78" s="3" t="n"/>
      <c r="AB78" s="3" t="n"/>
      <c r="AC78" s="3">
        <f>B78*0.035</f>
        <v/>
      </c>
      <c r="AD78" s="3">
        <f>B78*0.065</f>
        <v/>
      </c>
      <c r="AE78" s="3">
        <f>SUM(B78,F78,J78,N78,R78,V78,Z78,AA78,AB78,AC78,AD78)</f>
        <v/>
      </c>
      <c r="AF78" s="3">
        <f>B78*0.055</f>
        <v/>
      </c>
      <c r="AG78" s="3">
        <f>B78*0.035</f>
        <v/>
      </c>
      <c r="AH78" s="3">
        <f>B78*0.165</f>
        <v/>
      </c>
      <c r="AI78" s="3">
        <f>MAX(0,AE78-AF78-AH78)</f>
        <v/>
      </c>
      <c r="AJ78" s="3">
        <f>IF(AI78&lt;=490,0,IF(AI78&lt;=600,(AI78-490)*0.05,IF(AI78&lt;=730,5.5+(AI78-600)*0.10,IF(AI78&lt;=3896.67,18.5+(AI78-730)*0.175,IF(AI78&lt;=19896.67,572.67+(AI78-3896.67)*0.25,IF(AI78&lt;=50416.67,4572.67+(AI78-19896.67)*0.30,13728.67+(AI78-50416.67)*0.35))))))</f>
        <v/>
      </c>
      <c r="AK78" s="3" t="n"/>
      <c r="AL78" s="3" t="n"/>
      <c r="AM78" s="3" t="n"/>
      <c r="AN78" s="3" t="n"/>
      <c r="AO78" s="3" t="n"/>
      <c r="AP78" s="3">
        <f>SUM(AF78,AJ78,AK78,AL78,AM78,AN78,AO78,AG78,AH78)</f>
        <v/>
      </c>
      <c r="AQ78" s="3">
        <f>AE78-AP78</f>
        <v/>
      </c>
      <c r="AR78" s="3" t="n"/>
      <c r="AS78" s="3" t="n"/>
      <c r="AT78" s="3">
        <f>AR78-AS78</f>
        <v/>
      </c>
    </row>
    <row r="79">
      <c r="A79" s="2" t="n"/>
      <c r="B79" s="3" t="n"/>
      <c r="C79" s="4" t="n"/>
      <c r="D79" s="5" t="n"/>
      <c r="E79" s="3" t="n"/>
      <c r="F79" s="3">
        <f>IF(C79=0,0,IF(E79="",B79*D79/100,E79))</f>
        <v/>
      </c>
      <c r="G79" s="4" t="n"/>
      <c r="H79" s="5" t="n"/>
      <c r="I79" s="3" t="n"/>
      <c r="J79" s="3">
        <f>IF(G79=0,0,IF(I79="",B79*H79/100,I79))</f>
        <v/>
      </c>
      <c r="K79" s="4" t="n"/>
      <c r="L79" s="5" t="n"/>
      <c r="M79" s="3" t="n"/>
      <c r="N79" s="3">
        <f>IF(K79=0,0,IF(M79="",B79*L79/100,M79))</f>
        <v/>
      </c>
      <c r="O79" s="4" t="n"/>
      <c r="P79" s="5" t="n"/>
      <c r="Q79" s="3" t="n"/>
      <c r="R79" s="3">
        <f>IF(O79=0,0,IF(Q79="",B79*P79/100,Q79))</f>
        <v/>
      </c>
      <c r="S79" s="4" t="n"/>
      <c r="T79" s="5" t="n"/>
      <c r="U79" s="3" t="n"/>
      <c r="V79" s="3">
        <f>IF(S79=0,0,IF(U79="",B79*T79/100,U79))</f>
        <v/>
      </c>
      <c r="W79" s="4" t="n"/>
      <c r="X79" s="5" t="n"/>
      <c r="Y79" s="3" t="n"/>
      <c r="Z79" s="3">
        <f>IF(W79=0,0,IF(Y79="",B79*X79/100,Y79))</f>
        <v/>
      </c>
      <c r="AA79" s="3" t="n"/>
      <c r="AB79" s="3" t="n"/>
      <c r="AC79" s="3">
        <f>B79*0.035</f>
        <v/>
      </c>
      <c r="AD79" s="3">
        <f>B79*0.065</f>
        <v/>
      </c>
      <c r="AE79" s="3">
        <f>SUM(B79,F79,J79,N79,R79,V79,Z79,AA79,AB79,AC79,AD79)</f>
        <v/>
      </c>
      <c r="AF79" s="3">
        <f>B79*0.055</f>
        <v/>
      </c>
      <c r="AG79" s="3">
        <f>B79*0.035</f>
        <v/>
      </c>
      <c r="AH79" s="3">
        <f>B79*0.165</f>
        <v/>
      </c>
      <c r="AI79" s="3">
        <f>MAX(0,AE79-AF79-AH79)</f>
        <v/>
      </c>
      <c r="AJ79" s="3">
        <f>IF(AI79&lt;=490,0,IF(AI79&lt;=600,(AI79-490)*0.05,IF(AI79&lt;=730,5.5+(AI79-600)*0.10,IF(AI79&lt;=3896.67,18.5+(AI79-730)*0.175,IF(AI79&lt;=19896.67,572.67+(AI79-3896.67)*0.25,IF(AI79&lt;=50416.67,4572.67+(AI79-19896.67)*0.30,13728.67+(AI79-50416.67)*0.35))))))</f>
        <v/>
      </c>
      <c r="AK79" s="3" t="n"/>
      <c r="AL79" s="3" t="n"/>
      <c r="AM79" s="3" t="n"/>
      <c r="AN79" s="3" t="n"/>
      <c r="AO79" s="3" t="n"/>
      <c r="AP79" s="3">
        <f>SUM(AF79,AJ79,AK79,AL79,AM79,AN79,AO79,AG79,AH79)</f>
        <v/>
      </c>
      <c r="AQ79" s="3">
        <f>AE79-AP79</f>
        <v/>
      </c>
      <c r="AR79" s="3" t="n"/>
      <c r="AS79" s="3" t="n"/>
      <c r="AT79" s="3">
        <f>AR79-AS79</f>
        <v/>
      </c>
    </row>
    <row r="80">
      <c r="A80" s="2" t="n"/>
      <c r="B80" s="3" t="n"/>
      <c r="C80" s="4" t="n"/>
      <c r="D80" s="5" t="n"/>
      <c r="E80" s="3" t="n"/>
      <c r="F80" s="3">
        <f>IF(C80=0,0,IF(E80="",B80*D80/100,E80))</f>
        <v/>
      </c>
      <c r="G80" s="4" t="n"/>
      <c r="H80" s="5" t="n"/>
      <c r="I80" s="3" t="n"/>
      <c r="J80" s="3">
        <f>IF(G80=0,0,IF(I80="",B80*H80/100,I80))</f>
        <v/>
      </c>
      <c r="K80" s="4" t="n"/>
      <c r="L80" s="5" t="n"/>
      <c r="M80" s="3" t="n"/>
      <c r="N80" s="3">
        <f>IF(K80=0,0,IF(M80="",B80*L80/100,M80))</f>
        <v/>
      </c>
      <c r="O80" s="4" t="n"/>
      <c r="P80" s="5" t="n"/>
      <c r="Q80" s="3" t="n"/>
      <c r="R80" s="3">
        <f>IF(O80=0,0,IF(Q80="",B80*P80/100,Q80))</f>
        <v/>
      </c>
      <c r="S80" s="4" t="n"/>
      <c r="T80" s="5" t="n"/>
      <c r="U80" s="3" t="n"/>
      <c r="V80" s="3">
        <f>IF(S80=0,0,IF(U80="",B80*T80/100,U80))</f>
        <v/>
      </c>
      <c r="W80" s="4" t="n"/>
      <c r="X80" s="5" t="n"/>
      <c r="Y80" s="3" t="n"/>
      <c r="Z80" s="3">
        <f>IF(W80=0,0,IF(Y80="",B80*X80/100,Y80))</f>
        <v/>
      </c>
      <c r="AA80" s="3" t="n"/>
      <c r="AB80" s="3" t="n"/>
      <c r="AC80" s="3">
        <f>B80*0.035</f>
        <v/>
      </c>
      <c r="AD80" s="3">
        <f>B80*0.065</f>
        <v/>
      </c>
      <c r="AE80" s="3">
        <f>SUM(B80,F80,J80,N80,R80,V80,Z80,AA80,AB80,AC80,AD80)</f>
        <v/>
      </c>
      <c r="AF80" s="3">
        <f>B80*0.055</f>
        <v/>
      </c>
      <c r="AG80" s="3">
        <f>B80*0.035</f>
        <v/>
      </c>
      <c r="AH80" s="3">
        <f>B80*0.165</f>
        <v/>
      </c>
      <c r="AI80" s="3">
        <f>MAX(0,AE80-AF80-AH80)</f>
        <v/>
      </c>
      <c r="AJ80" s="3">
        <f>IF(AI80&lt;=490,0,IF(AI80&lt;=600,(AI80-490)*0.05,IF(AI80&lt;=730,5.5+(AI80-600)*0.10,IF(AI80&lt;=3896.67,18.5+(AI80-730)*0.175,IF(AI80&lt;=19896.67,572.67+(AI80-3896.67)*0.25,IF(AI80&lt;=50416.67,4572.67+(AI80-19896.67)*0.30,13728.67+(AI80-50416.67)*0.35))))))</f>
        <v/>
      </c>
      <c r="AK80" s="3" t="n"/>
      <c r="AL80" s="3" t="n"/>
      <c r="AM80" s="3" t="n"/>
      <c r="AN80" s="3" t="n"/>
      <c r="AO80" s="3" t="n"/>
      <c r="AP80" s="3">
        <f>SUM(AF80,AJ80,AK80,AL80,AM80,AN80,AO80,AG80,AH80)</f>
        <v/>
      </c>
      <c r="AQ80" s="3">
        <f>AE80-AP80</f>
        <v/>
      </c>
      <c r="AR80" s="3" t="n"/>
      <c r="AS80" s="3" t="n"/>
      <c r="AT80" s="3">
        <f>AR80-AS80</f>
        <v/>
      </c>
    </row>
    <row r="81">
      <c r="A81" s="2" t="n"/>
      <c r="B81" s="3" t="n"/>
      <c r="C81" s="4" t="n"/>
      <c r="D81" s="5" t="n"/>
      <c r="E81" s="3" t="n"/>
      <c r="F81" s="3">
        <f>IF(C81=0,0,IF(E81="",B81*D81/100,E81))</f>
        <v/>
      </c>
      <c r="G81" s="4" t="n"/>
      <c r="H81" s="5" t="n"/>
      <c r="I81" s="3" t="n"/>
      <c r="J81" s="3">
        <f>IF(G81=0,0,IF(I81="",B81*H81/100,I81))</f>
        <v/>
      </c>
      <c r="K81" s="4" t="n"/>
      <c r="L81" s="5" t="n"/>
      <c r="M81" s="3" t="n"/>
      <c r="N81" s="3">
        <f>IF(K81=0,0,IF(M81="",B81*L81/100,M81))</f>
        <v/>
      </c>
      <c r="O81" s="4" t="n"/>
      <c r="P81" s="5" t="n"/>
      <c r="Q81" s="3" t="n"/>
      <c r="R81" s="3">
        <f>IF(O81=0,0,IF(Q81="",B81*P81/100,Q81))</f>
        <v/>
      </c>
      <c r="S81" s="4" t="n"/>
      <c r="T81" s="5" t="n"/>
      <c r="U81" s="3" t="n"/>
      <c r="V81" s="3">
        <f>IF(S81=0,0,IF(U81="",B81*T81/100,U81))</f>
        <v/>
      </c>
      <c r="W81" s="4" t="n"/>
      <c r="X81" s="5" t="n"/>
      <c r="Y81" s="3" t="n"/>
      <c r="Z81" s="3">
        <f>IF(W81=0,0,IF(Y81="",B81*X81/100,Y81))</f>
        <v/>
      </c>
      <c r="AA81" s="3" t="n"/>
      <c r="AB81" s="3" t="n"/>
      <c r="AC81" s="3">
        <f>B81*0.035</f>
        <v/>
      </c>
      <c r="AD81" s="3">
        <f>B81*0.065</f>
        <v/>
      </c>
      <c r="AE81" s="3">
        <f>SUM(B81,F81,J81,N81,R81,V81,Z81,AA81,AB81,AC81,AD81)</f>
        <v/>
      </c>
      <c r="AF81" s="3">
        <f>B81*0.055</f>
        <v/>
      </c>
      <c r="AG81" s="3">
        <f>B81*0.035</f>
        <v/>
      </c>
      <c r="AH81" s="3">
        <f>B81*0.165</f>
        <v/>
      </c>
      <c r="AI81" s="3">
        <f>MAX(0,AE81-AF81-AH81)</f>
        <v/>
      </c>
      <c r="AJ81" s="3">
        <f>IF(AI81&lt;=490,0,IF(AI81&lt;=600,(AI81-490)*0.05,IF(AI81&lt;=730,5.5+(AI81-600)*0.10,IF(AI81&lt;=3896.67,18.5+(AI81-730)*0.175,IF(AI81&lt;=19896.67,572.67+(AI81-3896.67)*0.25,IF(AI81&lt;=50416.67,4572.67+(AI81-19896.67)*0.30,13728.67+(AI81-50416.67)*0.35))))))</f>
        <v/>
      </c>
      <c r="AK81" s="3" t="n"/>
      <c r="AL81" s="3" t="n"/>
      <c r="AM81" s="3" t="n"/>
      <c r="AN81" s="3" t="n"/>
      <c r="AO81" s="3" t="n"/>
      <c r="AP81" s="3">
        <f>SUM(AF81,AJ81,AK81,AL81,AM81,AN81,AO81,AG81,AH81)</f>
        <v/>
      </c>
      <c r="AQ81" s="3">
        <f>AE81-AP81</f>
        <v/>
      </c>
      <c r="AR81" s="3" t="n"/>
      <c r="AS81" s="3" t="n"/>
      <c r="AT81" s="3">
        <f>AR81-AS81</f>
        <v/>
      </c>
    </row>
    <row r="82">
      <c r="A82" s="2" t="n"/>
      <c r="B82" s="3" t="n"/>
      <c r="C82" s="4" t="n"/>
      <c r="D82" s="5" t="n"/>
      <c r="E82" s="3" t="n"/>
      <c r="F82" s="3">
        <f>IF(C82=0,0,IF(E82="",B82*D82/100,E82))</f>
        <v/>
      </c>
      <c r="G82" s="4" t="n"/>
      <c r="H82" s="5" t="n"/>
      <c r="I82" s="3" t="n"/>
      <c r="J82" s="3">
        <f>IF(G82=0,0,IF(I82="",B82*H82/100,I82))</f>
        <v/>
      </c>
      <c r="K82" s="4" t="n"/>
      <c r="L82" s="5" t="n"/>
      <c r="M82" s="3" t="n"/>
      <c r="N82" s="3">
        <f>IF(K82=0,0,IF(M82="",B82*L82/100,M82))</f>
        <v/>
      </c>
      <c r="O82" s="4" t="n"/>
      <c r="P82" s="5" t="n"/>
      <c r="Q82" s="3" t="n"/>
      <c r="R82" s="3">
        <f>IF(O82=0,0,IF(Q82="",B82*P82/100,Q82))</f>
        <v/>
      </c>
      <c r="S82" s="4" t="n"/>
      <c r="T82" s="5" t="n"/>
      <c r="U82" s="3" t="n"/>
      <c r="V82" s="3">
        <f>IF(S82=0,0,IF(U82="",B82*T82/100,U82))</f>
        <v/>
      </c>
      <c r="W82" s="4" t="n"/>
      <c r="X82" s="5" t="n"/>
      <c r="Y82" s="3" t="n"/>
      <c r="Z82" s="3">
        <f>IF(W82=0,0,IF(Y82="",B82*X82/100,Y82))</f>
        <v/>
      </c>
      <c r="AA82" s="3" t="n"/>
      <c r="AB82" s="3" t="n"/>
      <c r="AC82" s="3">
        <f>B82*0.035</f>
        <v/>
      </c>
      <c r="AD82" s="3">
        <f>B82*0.065</f>
        <v/>
      </c>
      <c r="AE82" s="3">
        <f>SUM(B82,F82,J82,N82,R82,V82,Z82,AA82,AB82,AC82,AD82)</f>
        <v/>
      </c>
      <c r="AF82" s="3">
        <f>B82*0.055</f>
        <v/>
      </c>
      <c r="AG82" s="3">
        <f>B82*0.035</f>
        <v/>
      </c>
      <c r="AH82" s="3">
        <f>B82*0.165</f>
        <v/>
      </c>
      <c r="AI82" s="3">
        <f>MAX(0,AE82-AF82-AH82)</f>
        <v/>
      </c>
      <c r="AJ82" s="3">
        <f>IF(AI82&lt;=490,0,IF(AI82&lt;=600,(AI82-490)*0.05,IF(AI82&lt;=730,5.5+(AI82-600)*0.10,IF(AI82&lt;=3896.67,18.5+(AI82-730)*0.175,IF(AI82&lt;=19896.67,572.67+(AI82-3896.67)*0.25,IF(AI82&lt;=50416.67,4572.67+(AI82-19896.67)*0.30,13728.67+(AI82-50416.67)*0.35))))))</f>
        <v/>
      </c>
      <c r="AK82" s="3" t="n"/>
      <c r="AL82" s="3" t="n"/>
      <c r="AM82" s="3" t="n"/>
      <c r="AN82" s="3" t="n"/>
      <c r="AO82" s="3" t="n"/>
      <c r="AP82" s="3">
        <f>SUM(AF82,AJ82,AK82,AL82,AM82,AN82,AO82,AG82,AH82)</f>
        <v/>
      </c>
      <c r="AQ82" s="3">
        <f>AE82-AP82</f>
        <v/>
      </c>
      <c r="AR82" s="3" t="n"/>
      <c r="AS82" s="3" t="n"/>
      <c r="AT82" s="3">
        <f>AR82-AS82</f>
        <v/>
      </c>
    </row>
    <row r="83">
      <c r="A83" s="2" t="n"/>
      <c r="B83" s="3" t="n"/>
      <c r="C83" s="4" t="n"/>
      <c r="D83" s="5" t="n"/>
      <c r="E83" s="3" t="n"/>
      <c r="F83" s="3">
        <f>IF(C83=0,0,IF(E83="",B83*D83/100,E83))</f>
        <v/>
      </c>
      <c r="G83" s="4" t="n"/>
      <c r="H83" s="5" t="n"/>
      <c r="I83" s="3" t="n"/>
      <c r="J83" s="3">
        <f>IF(G83=0,0,IF(I83="",B83*H83/100,I83))</f>
        <v/>
      </c>
      <c r="K83" s="4" t="n"/>
      <c r="L83" s="5" t="n"/>
      <c r="M83" s="3" t="n"/>
      <c r="N83" s="3">
        <f>IF(K83=0,0,IF(M83="",B83*L83/100,M83))</f>
        <v/>
      </c>
      <c r="O83" s="4" t="n"/>
      <c r="P83" s="5" t="n"/>
      <c r="Q83" s="3" t="n"/>
      <c r="R83" s="3">
        <f>IF(O83=0,0,IF(Q83="",B83*P83/100,Q83))</f>
        <v/>
      </c>
      <c r="S83" s="4" t="n"/>
      <c r="T83" s="5" t="n"/>
      <c r="U83" s="3" t="n"/>
      <c r="V83" s="3">
        <f>IF(S83=0,0,IF(U83="",B83*T83/100,U83))</f>
        <v/>
      </c>
      <c r="W83" s="4" t="n"/>
      <c r="X83" s="5" t="n"/>
      <c r="Y83" s="3" t="n"/>
      <c r="Z83" s="3">
        <f>IF(W83=0,0,IF(Y83="",B83*X83/100,Y83))</f>
        <v/>
      </c>
      <c r="AA83" s="3" t="n"/>
      <c r="AB83" s="3" t="n"/>
      <c r="AC83" s="3">
        <f>B83*0.035</f>
        <v/>
      </c>
      <c r="AD83" s="3">
        <f>B83*0.065</f>
        <v/>
      </c>
      <c r="AE83" s="3">
        <f>SUM(B83,F83,J83,N83,R83,V83,Z83,AA83,AB83,AC83,AD83)</f>
        <v/>
      </c>
      <c r="AF83" s="3">
        <f>B83*0.055</f>
        <v/>
      </c>
      <c r="AG83" s="3">
        <f>B83*0.035</f>
        <v/>
      </c>
      <c r="AH83" s="3">
        <f>B83*0.165</f>
        <v/>
      </c>
      <c r="AI83" s="3">
        <f>MAX(0,AE83-AF83-AH83)</f>
        <v/>
      </c>
      <c r="AJ83" s="3">
        <f>IF(AI83&lt;=490,0,IF(AI83&lt;=600,(AI83-490)*0.05,IF(AI83&lt;=730,5.5+(AI83-600)*0.10,IF(AI83&lt;=3896.67,18.5+(AI83-730)*0.175,IF(AI83&lt;=19896.67,572.67+(AI83-3896.67)*0.25,IF(AI83&lt;=50416.67,4572.67+(AI83-19896.67)*0.30,13728.67+(AI83-50416.67)*0.35))))))</f>
        <v/>
      </c>
      <c r="AK83" s="3" t="n"/>
      <c r="AL83" s="3" t="n"/>
      <c r="AM83" s="3" t="n"/>
      <c r="AN83" s="3" t="n"/>
      <c r="AO83" s="3" t="n"/>
      <c r="AP83" s="3">
        <f>SUM(AF83,AJ83,AK83,AL83,AM83,AN83,AO83,AG83,AH83)</f>
        <v/>
      </c>
      <c r="AQ83" s="3">
        <f>AE83-AP83</f>
        <v/>
      </c>
      <c r="AR83" s="3" t="n"/>
      <c r="AS83" s="3" t="n"/>
      <c r="AT83" s="3">
        <f>AR83-AS83</f>
        <v/>
      </c>
    </row>
    <row r="84">
      <c r="A84" s="2" t="n"/>
      <c r="B84" s="3" t="n"/>
      <c r="C84" s="4" t="n"/>
      <c r="D84" s="5" t="n"/>
      <c r="E84" s="3" t="n"/>
      <c r="F84" s="3">
        <f>IF(C84=0,0,IF(E84="",B84*D84/100,E84))</f>
        <v/>
      </c>
      <c r="G84" s="4" t="n"/>
      <c r="H84" s="5" t="n"/>
      <c r="I84" s="3" t="n"/>
      <c r="J84" s="3">
        <f>IF(G84=0,0,IF(I84="",B84*H84/100,I84))</f>
        <v/>
      </c>
      <c r="K84" s="4" t="n"/>
      <c r="L84" s="5" t="n"/>
      <c r="M84" s="3" t="n"/>
      <c r="N84" s="3">
        <f>IF(K84=0,0,IF(M84="",B84*L84/100,M84))</f>
        <v/>
      </c>
      <c r="O84" s="4" t="n"/>
      <c r="P84" s="5" t="n"/>
      <c r="Q84" s="3" t="n"/>
      <c r="R84" s="3">
        <f>IF(O84=0,0,IF(Q84="",B84*P84/100,Q84))</f>
        <v/>
      </c>
      <c r="S84" s="4" t="n"/>
      <c r="T84" s="5" t="n"/>
      <c r="U84" s="3" t="n"/>
      <c r="V84" s="3">
        <f>IF(S84=0,0,IF(U84="",B84*T84/100,U84))</f>
        <v/>
      </c>
      <c r="W84" s="4" t="n"/>
      <c r="X84" s="5" t="n"/>
      <c r="Y84" s="3" t="n"/>
      <c r="Z84" s="3">
        <f>IF(W84=0,0,IF(Y84="",B84*X84/100,Y84))</f>
        <v/>
      </c>
      <c r="AA84" s="3" t="n"/>
      <c r="AB84" s="3" t="n"/>
      <c r="AC84" s="3">
        <f>B84*0.035</f>
        <v/>
      </c>
      <c r="AD84" s="3">
        <f>B84*0.065</f>
        <v/>
      </c>
      <c r="AE84" s="3">
        <f>SUM(B84,F84,J84,N84,R84,V84,Z84,AA84,AB84,AC84,AD84)</f>
        <v/>
      </c>
      <c r="AF84" s="3">
        <f>B84*0.055</f>
        <v/>
      </c>
      <c r="AG84" s="3">
        <f>B84*0.035</f>
        <v/>
      </c>
      <c r="AH84" s="3">
        <f>B84*0.165</f>
        <v/>
      </c>
      <c r="AI84" s="3">
        <f>MAX(0,AE84-AF84-AH84)</f>
        <v/>
      </c>
      <c r="AJ84" s="3">
        <f>IF(AI84&lt;=490,0,IF(AI84&lt;=600,(AI84-490)*0.05,IF(AI84&lt;=730,5.5+(AI84-600)*0.10,IF(AI84&lt;=3896.67,18.5+(AI84-730)*0.175,IF(AI84&lt;=19896.67,572.67+(AI84-3896.67)*0.25,IF(AI84&lt;=50416.67,4572.67+(AI84-19896.67)*0.30,13728.67+(AI84-50416.67)*0.35))))))</f>
        <v/>
      </c>
      <c r="AK84" s="3" t="n"/>
      <c r="AL84" s="3" t="n"/>
      <c r="AM84" s="3" t="n"/>
      <c r="AN84" s="3" t="n"/>
      <c r="AO84" s="3" t="n"/>
      <c r="AP84" s="3">
        <f>SUM(AF84,AJ84,AK84,AL84,AM84,AN84,AO84,AG84,AH84)</f>
        <v/>
      </c>
      <c r="AQ84" s="3">
        <f>AE84-AP84</f>
        <v/>
      </c>
      <c r="AR84" s="3" t="n"/>
      <c r="AS84" s="3" t="n"/>
      <c r="AT84" s="3">
        <f>AR84-AS84</f>
        <v/>
      </c>
    </row>
    <row r="85">
      <c r="A85" s="2" t="n"/>
      <c r="B85" s="3" t="n"/>
      <c r="C85" s="4" t="n"/>
      <c r="D85" s="5" t="n"/>
      <c r="E85" s="3" t="n"/>
      <c r="F85" s="3">
        <f>IF(C85=0,0,IF(E85="",B85*D85/100,E85))</f>
        <v/>
      </c>
      <c r="G85" s="4" t="n"/>
      <c r="H85" s="5" t="n"/>
      <c r="I85" s="3" t="n"/>
      <c r="J85" s="3">
        <f>IF(G85=0,0,IF(I85="",B85*H85/100,I85))</f>
        <v/>
      </c>
      <c r="K85" s="4" t="n"/>
      <c r="L85" s="5" t="n"/>
      <c r="M85" s="3" t="n"/>
      <c r="N85" s="3">
        <f>IF(K85=0,0,IF(M85="",B85*L85/100,M85))</f>
        <v/>
      </c>
      <c r="O85" s="4" t="n"/>
      <c r="P85" s="5" t="n"/>
      <c r="Q85" s="3" t="n"/>
      <c r="R85" s="3">
        <f>IF(O85=0,0,IF(Q85="",B85*P85/100,Q85))</f>
        <v/>
      </c>
      <c r="S85" s="4" t="n"/>
      <c r="T85" s="5" t="n"/>
      <c r="U85" s="3" t="n"/>
      <c r="V85" s="3">
        <f>IF(S85=0,0,IF(U85="",B85*T85/100,U85))</f>
        <v/>
      </c>
      <c r="W85" s="4" t="n"/>
      <c r="X85" s="5" t="n"/>
      <c r="Y85" s="3" t="n"/>
      <c r="Z85" s="3">
        <f>IF(W85=0,0,IF(Y85="",B85*X85/100,Y85))</f>
        <v/>
      </c>
      <c r="AA85" s="3" t="n"/>
      <c r="AB85" s="3" t="n"/>
      <c r="AC85" s="3">
        <f>B85*0.035</f>
        <v/>
      </c>
      <c r="AD85" s="3">
        <f>B85*0.065</f>
        <v/>
      </c>
      <c r="AE85" s="3">
        <f>SUM(B85,F85,J85,N85,R85,V85,Z85,AA85,AB85,AC85,AD85)</f>
        <v/>
      </c>
      <c r="AF85" s="3">
        <f>B85*0.055</f>
        <v/>
      </c>
      <c r="AG85" s="3">
        <f>B85*0.035</f>
        <v/>
      </c>
      <c r="AH85" s="3">
        <f>B85*0.165</f>
        <v/>
      </c>
      <c r="AI85" s="3">
        <f>MAX(0,AE85-AF85-AH85)</f>
        <v/>
      </c>
      <c r="AJ85" s="3">
        <f>IF(AI85&lt;=490,0,IF(AI85&lt;=600,(AI85-490)*0.05,IF(AI85&lt;=730,5.5+(AI85-600)*0.10,IF(AI85&lt;=3896.67,18.5+(AI85-730)*0.175,IF(AI85&lt;=19896.67,572.67+(AI85-3896.67)*0.25,IF(AI85&lt;=50416.67,4572.67+(AI85-19896.67)*0.30,13728.67+(AI85-50416.67)*0.35))))))</f>
        <v/>
      </c>
      <c r="AK85" s="3" t="n"/>
      <c r="AL85" s="3" t="n"/>
      <c r="AM85" s="3" t="n"/>
      <c r="AN85" s="3" t="n"/>
      <c r="AO85" s="3" t="n"/>
      <c r="AP85" s="3">
        <f>SUM(AF85,AJ85,AK85,AL85,AM85,AN85,AO85,AG85,AH85)</f>
        <v/>
      </c>
      <c r="AQ85" s="3">
        <f>AE85-AP85</f>
        <v/>
      </c>
      <c r="AR85" s="3" t="n"/>
      <c r="AS85" s="3" t="n"/>
      <c r="AT85" s="3">
        <f>AR85-AS85</f>
        <v/>
      </c>
    </row>
    <row r="86">
      <c r="A86" s="2" t="n"/>
      <c r="B86" s="3" t="n"/>
      <c r="C86" s="4" t="n"/>
      <c r="D86" s="5" t="n"/>
      <c r="E86" s="3" t="n"/>
      <c r="F86" s="3">
        <f>IF(C86=0,0,IF(E86="",B86*D86/100,E86))</f>
        <v/>
      </c>
      <c r="G86" s="4" t="n"/>
      <c r="H86" s="5" t="n"/>
      <c r="I86" s="3" t="n"/>
      <c r="J86" s="3">
        <f>IF(G86=0,0,IF(I86="",B86*H86/100,I86))</f>
        <v/>
      </c>
      <c r="K86" s="4" t="n"/>
      <c r="L86" s="5" t="n"/>
      <c r="M86" s="3" t="n"/>
      <c r="N86" s="3">
        <f>IF(K86=0,0,IF(M86="",B86*L86/100,M86))</f>
        <v/>
      </c>
      <c r="O86" s="4" t="n"/>
      <c r="P86" s="5" t="n"/>
      <c r="Q86" s="3" t="n"/>
      <c r="R86" s="3">
        <f>IF(O86=0,0,IF(Q86="",B86*P86/100,Q86))</f>
        <v/>
      </c>
      <c r="S86" s="4" t="n"/>
      <c r="T86" s="5" t="n"/>
      <c r="U86" s="3" t="n"/>
      <c r="V86" s="3">
        <f>IF(S86=0,0,IF(U86="",B86*T86/100,U86))</f>
        <v/>
      </c>
      <c r="W86" s="4" t="n"/>
      <c r="X86" s="5" t="n"/>
      <c r="Y86" s="3" t="n"/>
      <c r="Z86" s="3">
        <f>IF(W86=0,0,IF(Y86="",B86*X86/100,Y86))</f>
        <v/>
      </c>
      <c r="AA86" s="3" t="n"/>
      <c r="AB86" s="3" t="n"/>
      <c r="AC86" s="3">
        <f>B86*0.035</f>
        <v/>
      </c>
      <c r="AD86" s="3">
        <f>B86*0.065</f>
        <v/>
      </c>
      <c r="AE86" s="3">
        <f>SUM(B86,F86,J86,N86,R86,V86,Z86,AA86,AB86,AC86,AD86)</f>
        <v/>
      </c>
      <c r="AF86" s="3">
        <f>B86*0.055</f>
        <v/>
      </c>
      <c r="AG86" s="3">
        <f>B86*0.035</f>
        <v/>
      </c>
      <c r="AH86" s="3">
        <f>B86*0.165</f>
        <v/>
      </c>
      <c r="AI86" s="3">
        <f>MAX(0,AE86-AF86-AH86)</f>
        <v/>
      </c>
      <c r="AJ86" s="3">
        <f>IF(AI86&lt;=490,0,IF(AI86&lt;=600,(AI86-490)*0.05,IF(AI86&lt;=730,5.5+(AI86-600)*0.10,IF(AI86&lt;=3896.67,18.5+(AI86-730)*0.175,IF(AI86&lt;=19896.67,572.67+(AI86-3896.67)*0.25,IF(AI86&lt;=50416.67,4572.67+(AI86-19896.67)*0.30,13728.67+(AI86-50416.67)*0.35))))))</f>
        <v/>
      </c>
      <c r="AK86" s="3" t="n"/>
      <c r="AL86" s="3" t="n"/>
      <c r="AM86" s="3" t="n"/>
      <c r="AN86" s="3" t="n"/>
      <c r="AO86" s="3" t="n"/>
      <c r="AP86" s="3">
        <f>SUM(AF86,AJ86,AK86,AL86,AM86,AN86,AO86,AG86,AH86)</f>
        <v/>
      </c>
      <c r="AQ86" s="3">
        <f>AE86-AP86</f>
        <v/>
      </c>
      <c r="AR86" s="3" t="n"/>
      <c r="AS86" s="3" t="n"/>
      <c r="AT86" s="3">
        <f>AR86-AS86</f>
        <v/>
      </c>
    </row>
    <row r="87">
      <c r="A87" s="2" t="n"/>
      <c r="B87" s="3" t="n"/>
      <c r="C87" s="4" t="n"/>
      <c r="D87" s="5" t="n"/>
      <c r="E87" s="3" t="n"/>
      <c r="F87" s="3">
        <f>IF(C87=0,0,IF(E87="",B87*D87/100,E87))</f>
        <v/>
      </c>
      <c r="G87" s="4" t="n"/>
      <c r="H87" s="5" t="n"/>
      <c r="I87" s="3" t="n"/>
      <c r="J87" s="3">
        <f>IF(G87=0,0,IF(I87="",B87*H87/100,I87))</f>
        <v/>
      </c>
      <c r="K87" s="4" t="n"/>
      <c r="L87" s="5" t="n"/>
      <c r="M87" s="3" t="n"/>
      <c r="N87" s="3">
        <f>IF(K87=0,0,IF(M87="",B87*L87/100,M87))</f>
        <v/>
      </c>
      <c r="O87" s="4" t="n"/>
      <c r="P87" s="5" t="n"/>
      <c r="Q87" s="3" t="n"/>
      <c r="R87" s="3">
        <f>IF(O87=0,0,IF(Q87="",B87*P87/100,Q87))</f>
        <v/>
      </c>
      <c r="S87" s="4" t="n"/>
      <c r="T87" s="5" t="n"/>
      <c r="U87" s="3" t="n"/>
      <c r="V87" s="3">
        <f>IF(S87=0,0,IF(U87="",B87*T87/100,U87))</f>
        <v/>
      </c>
      <c r="W87" s="4" t="n"/>
      <c r="X87" s="5" t="n"/>
      <c r="Y87" s="3" t="n"/>
      <c r="Z87" s="3">
        <f>IF(W87=0,0,IF(Y87="",B87*X87/100,Y87))</f>
        <v/>
      </c>
      <c r="AA87" s="3" t="n"/>
      <c r="AB87" s="3" t="n"/>
      <c r="AC87" s="3">
        <f>B87*0.035</f>
        <v/>
      </c>
      <c r="AD87" s="3">
        <f>B87*0.065</f>
        <v/>
      </c>
      <c r="AE87" s="3">
        <f>SUM(B87,F87,J87,N87,R87,V87,Z87,AA87,AB87,AC87,AD87)</f>
        <v/>
      </c>
      <c r="AF87" s="3">
        <f>B87*0.055</f>
        <v/>
      </c>
      <c r="AG87" s="3">
        <f>B87*0.035</f>
        <v/>
      </c>
      <c r="AH87" s="3">
        <f>B87*0.165</f>
        <v/>
      </c>
      <c r="AI87" s="3">
        <f>MAX(0,AE87-AF87-AH87)</f>
        <v/>
      </c>
      <c r="AJ87" s="3">
        <f>IF(AI87&lt;=490,0,IF(AI87&lt;=600,(AI87-490)*0.05,IF(AI87&lt;=730,5.5+(AI87-600)*0.10,IF(AI87&lt;=3896.67,18.5+(AI87-730)*0.175,IF(AI87&lt;=19896.67,572.67+(AI87-3896.67)*0.25,IF(AI87&lt;=50416.67,4572.67+(AI87-19896.67)*0.30,13728.67+(AI87-50416.67)*0.35))))))</f>
        <v/>
      </c>
      <c r="AK87" s="3" t="n"/>
      <c r="AL87" s="3" t="n"/>
      <c r="AM87" s="3" t="n"/>
      <c r="AN87" s="3" t="n"/>
      <c r="AO87" s="3" t="n"/>
      <c r="AP87" s="3">
        <f>SUM(AF87,AJ87,AK87,AL87,AM87,AN87,AO87,AG87,AH87)</f>
        <v/>
      </c>
      <c r="AQ87" s="3">
        <f>AE87-AP87</f>
        <v/>
      </c>
      <c r="AR87" s="3" t="n"/>
      <c r="AS87" s="3" t="n"/>
      <c r="AT87" s="3">
        <f>AR87-AS87</f>
        <v/>
      </c>
    </row>
    <row r="88">
      <c r="A88" s="2" t="n"/>
      <c r="B88" s="3" t="n"/>
      <c r="C88" s="4" t="n"/>
      <c r="D88" s="5" t="n"/>
      <c r="E88" s="3" t="n"/>
      <c r="F88" s="3">
        <f>IF(C88=0,0,IF(E88="",B88*D88/100,E88))</f>
        <v/>
      </c>
      <c r="G88" s="4" t="n"/>
      <c r="H88" s="5" t="n"/>
      <c r="I88" s="3" t="n"/>
      <c r="J88" s="3">
        <f>IF(G88=0,0,IF(I88="",B88*H88/100,I88))</f>
        <v/>
      </c>
      <c r="K88" s="4" t="n"/>
      <c r="L88" s="5" t="n"/>
      <c r="M88" s="3" t="n"/>
      <c r="N88" s="3">
        <f>IF(K88=0,0,IF(M88="",B88*L88/100,M88))</f>
        <v/>
      </c>
      <c r="O88" s="4" t="n"/>
      <c r="P88" s="5" t="n"/>
      <c r="Q88" s="3" t="n"/>
      <c r="R88" s="3">
        <f>IF(O88=0,0,IF(Q88="",B88*P88/100,Q88))</f>
        <v/>
      </c>
      <c r="S88" s="4" t="n"/>
      <c r="T88" s="5" t="n"/>
      <c r="U88" s="3" t="n"/>
      <c r="V88" s="3">
        <f>IF(S88=0,0,IF(U88="",B88*T88/100,U88))</f>
        <v/>
      </c>
      <c r="W88" s="4" t="n"/>
      <c r="X88" s="5" t="n"/>
      <c r="Y88" s="3" t="n"/>
      <c r="Z88" s="3">
        <f>IF(W88=0,0,IF(Y88="",B88*X88/100,Y88))</f>
        <v/>
      </c>
      <c r="AA88" s="3" t="n"/>
      <c r="AB88" s="3" t="n"/>
      <c r="AC88" s="3">
        <f>B88*0.035</f>
        <v/>
      </c>
      <c r="AD88" s="3">
        <f>B88*0.065</f>
        <v/>
      </c>
      <c r="AE88" s="3">
        <f>SUM(B88,F88,J88,N88,R88,V88,Z88,AA88,AB88,AC88,AD88)</f>
        <v/>
      </c>
      <c r="AF88" s="3">
        <f>B88*0.055</f>
        <v/>
      </c>
      <c r="AG88" s="3">
        <f>B88*0.035</f>
        <v/>
      </c>
      <c r="AH88" s="3">
        <f>B88*0.165</f>
        <v/>
      </c>
      <c r="AI88" s="3">
        <f>MAX(0,AE88-AF88-AH88)</f>
        <v/>
      </c>
      <c r="AJ88" s="3">
        <f>IF(AI88&lt;=490,0,IF(AI88&lt;=600,(AI88-490)*0.05,IF(AI88&lt;=730,5.5+(AI88-600)*0.10,IF(AI88&lt;=3896.67,18.5+(AI88-730)*0.175,IF(AI88&lt;=19896.67,572.67+(AI88-3896.67)*0.25,IF(AI88&lt;=50416.67,4572.67+(AI88-19896.67)*0.30,13728.67+(AI88-50416.67)*0.35))))))</f>
        <v/>
      </c>
      <c r="AK88" s="3" t="n"/>
      <c r="AL88" s="3" t="n"/>
      <c r="AM88" s="3" t="n"/>
      <c r="AN88" s="3" t="n"/>
      <c r="AO88" s="3" t="n"/>
      <c r="AP88" s="3">
        <f>SUM(AF88,AJ88,AK88,AL88,AM88,AN88,AO88,AG88,AH88)</f>
        <v/>
      </c>
      <c r="AQ88" s="3">
        <f>AE88-AP88</f>
        <v/>
      </c>
      <c r="AR88" s="3" t="n"/>
      <c r="AS88" s="3" t="n"/>
      <c r="AT88" s="3">
        <f>AR88-AS88</f>
        <v/>
      </c>
    </row>
    <row r="89">
      <c r="A89" s="2" t="n"/>
      <c r="B89" s="3" t="n"/>
      <c r="C89" s="4" t="n"/>
      <c r="D89" s="5" t="n"/>
      <c r="E89" s="3" t="n"/>
      <c r="F89" s="3">
        <f>IF(C89=0,0,IF(E89="",B89*D89/100,E89))</f>
        <v/>
      </c>
      <c r="G89" s="4" t="n"/>
      <c r="H89" s="5" t="n"/>
      <c r="I89" s="3" t="n"/>
      <c r="J89" s="3">
        <f>IF(G89=0,0,IF(I89="",B89*H89/100,I89))</f>
        <v/>
      </c>
      <c r="K89" s="4" t="n"/>
      <c r="L89" s="5" t="n"/>
      <c r="M89" s="3" t="n"/>
      <c r="N89" s="3">
        <f>IF(K89=0,0,IF(M89="",B89*L89/100,M89))</f>
        <v/>
      </c>
      <c r="O89" s="4" t="n"/>
      <c r="P89" s="5" t="n"/>
      <c r="Q89" s="3" t="n"/>
      <c r="R89" s="3">
        <f>IF(O89=0,0,IF(Q89="",B89*P89/100,Q89))</f>
        <v/>
      </c>
      <c r="S89" s="4" t="n"/>
      <c r="T89" s="5" t="n"/>
      <c r="U89" s="3" t="n"/>
      <c r="V89" s="3">
        <f>IF(S89=0,0,IF(U89="",B89*T89/100,U89))</f>
        <v/>
      </c>
      <c r="W89" s="4" t="n"/>
      <c r="X89" s="5" t="n"/>
      <c r="Y89" s="3" t="n"/>
      <c r="Z89" s="3">
        <f>IF(W89=0,0,IF(Y89="",B89*X89/100,Y89))</f>
        <v/>
      </c>
      <c r="AA89" s="3" t="n"/>
      <c r="AB89" s="3" t="n"/>
      <c r="AC89" s="3">
        <f>B89*0.035</f>
        <v/>
      </c>
      <c r="AD89" s="3">
        <f>B89*0.065</f>
        <v/>
      </c>
      <c r="AE89" s="3">
        <f>SUM(B89,F89,J89,N89,R89,V89,Z89,AA89,AB89,AC89,AD89)</f>
        <v/>
      </c>
      <c r="AF89" s="3">
        <f>B89*0.055</f>
        <v/>
      </c>
      <c r="AG89" s="3">
        <f>B89*0.035</f>
        <v/>
      </c>
      <c r="AH89" s="3">
        <f>B89*0.165</f>
        <v/>
      </c>
      <c r="AI89" s="3">
        <f>MAX(0,AE89-AF89-AH89)</f>
        <v/>
      </c>
      <c r="AJ89" s="3">
        <f>IF(AI89&lt;=490,0,IF(AI89&lt;=600,(AI89-490)*0.05,IF(AI89&lt;=730,5.5+(AI89-600)*0.10,IF(AI89&lt;=3896.67,18.5+(AI89-730)*0.175,IF(AI89&lt;=19896.67,572.67+(AI89-3896.67)*0.25,IF(AI89&lt;=50416.67,4572.67+(AI89-19896.67)*0.30,13728.67+(AI89-50416.67)*0.35))))))</f>
        <v/>
      </c>
      <c r="AK89" s="3" t="n"/>
      <c r="AL89" s="3" t="n"/>
      <c r="AM89" s="3" t="n"/>
      <c r="AN89" s="3" t="n"/>
      <c r="AO89" s="3" t="n"/>
      <c r="AP89" s="3">
        <f>SUM(AF89,AJ89,AK89,AL89,AM89,AN89,AO89,AG89,AH89)</f>
        <v/>
      </c>
      <c r="AQ89" s="3">
        <f>AE89-AP89</f>
        <v/>
      </c>
      <c r="AR89" s="3" t="n"/>
      <c r="AS89" s="3" t="n"/>
      <c r="AT89" s="3">
        <f>AR89-AS89</f>
        <v/>
      </c>
    </row>
    <row r="90">
      <c r="A90" s="2" t="n"/>
      <c r="B90" s="3" t="n"/>
      <c r="C90" s="4" t="n"/>
      <c r="D90" s="5" t="n"/>
      <c r="E90" s="3" t="n"/>
      <c r="F90" s="3">
        <f>IF(C90=0,0,IF(E90="",B90*D90/100,E90))</f>
        <v/>
      </c>
      <c r="G90" s="4" t="n"/>
      <c r="H90" s="5" t="n"/>
      <c r="I90" s="3" t="n"/>
      <c r="J90" s="3">
        <f>IF(G90=0,0,IF(I90="",B90*H90/100,I90))</f>
        <v/>
      </c>
      <c r="K90" s="4" t="n"/>
      <c r="L90" s="5" t="n"/>
      <c r="M90" s="3" t="n"/>
      <c r="N90" s="3">
        <f>IF(K90=0,0,IF(M90="",B90*L90/100,M90))</f>
        <v/>
      </c>
      <c r="O90" s="4" t="n"/>
      <c r="P90" s="5" t="n"/>
      <c r="Q90" s="3" t="n"/>
      <c r="R90" s="3">
        <f>IF(O90=0,0,IF(Q90="",B90*P90/100,Q90))</f>
        <v/>
      </c>
      <c r="S90" s="4" t="n"/>
      <c r="T90" s="5" t="n"/>
      <c r="U90" s="3" t="n"/>
      <c r="V90" s="3">
        <f>IF(S90=0,0,IF(U90="",B90*T90/100,U90))</f>
        <v/>
      </c>
      <c r="W90" s="4" t="n"/>
      <c r="X90" s="5" t="n"/>
      <c r="Y90" s="3" t="n"/>
      <c r="Z90" s="3">
        <f>IF(W90=0,0,IF(Y90="",B90*X90/100,Y90))</f>
        <v/>
      </c>
      <c r="AA90" s="3" t="n"/>
      <c r="AB90" s="3" t="n"/>
      <c r="AC90" s="3">
        <f>B90*0.035</f>
        <v/>
      </c>
      <c r="AD90" s="3">
        <f>B90*0.065</f>
        <v/>
      </c>
      <c r="AE90" s="3">
        <f>SUM(B90,F90,J90,N90,R90,V90,Z90,AA90,AB90,AC90,AD90)</f>
        <v/>
      </c>
      <c r="AF90" s="3">
        <f>B90*0.055</f>
        <v/>
      </c>
      <c r="AG90" s="3">
        <f>B90*0.035</f>
        <v/>
      </c>
      <c r="AH90" s="3">
        <f>B90*0.165</f>
        <v/>
      </c>
      <c r="AI90" s="3">
        <f>MAX(0,AE90-AF90-AH90)</f>
        <v/>
      </c>
      <c r="AJ90" s="3">
        <f>IF(AI90&lt;=490,0,IF(AI90&lt;=600,(AI90-490)*0.05,IF(AI90&lt;=730,5.5+(AI90-600)*0.10,IF(AI90&lt;=3896.67,18.5+(AI90-730)*0.175,IF(AI90&lt;=19896.67,572.67+(AI90-3896.67)*0.25,IF(AI90&lt;=50416.67,4572.67+(AI90-19896.67)*0.30,13728.67+(AI90-50416.67)*0.35))))))</f>
        <v/>
      </c>
      <c r="AK90" s="3" t="n"/>
      <c r="AL90" s="3" t="n"/>
      <c r="AM90" s="3" t="n"/>
      <c r="AN90" s="3" t="n"/>
      <c r="AO90" s="3" t="n"/>
      <c r="AP90" s="3">
        <f>SUM(AF90,AJ90,AK90,AL90,AM90,AN90,AO90,AG90,AH90)</f>
        <v/>
      </c>
      <c r="AQ90" s="3">
        <f>AE90-AP90</f>
        <v/>
      </c>
      <c r="AR90" s="3" t="n"/>
      <c r="AS90" s="3" t="n"/>
      <c r="AT90" s="3">
        <f>AR90-AS90</f>
        <v/>
      </c>
    </row>
    <row r="91">
      <c r="A91" s="2" t="n"/>
      <c r="B91" s="3" t="n"/>
      <c r="C91" s="4" t="n"/>
      <c r="D91" s="5" t="n"/>
      <c r="E91" s="3" t="n"/>
      <c r="F91" s="3">
        <f>IF(C91=0,0,IF(E91="",B91*D91/100,E91))</f>
        <v/>
      </c>
      <c r="G91" s="4" t="n"/>
      <c r="H91" s="5" t="n"/>
      <c r="I91" s="3" t="n"/>
      <c r="J91" s="3">
        <f>IF(G91=0,0,IF(I91="",B91*H91/100,I91))</f>
        <v/>
      </c>
      <c r="K91" s="4" t="n"/>
      <c r="L91" s="5" t="n"/>
      <c r="M91" s="3" t="n"/>
      <c r="N91" s="3">
        <f>IF(K91=0,0,IF(M91="",B91*L91/100,M91))</f>
        <v/>
      </c>
      <c r="O91" s="4" t="n"/>
      <c r="P91" s="5" t="n"/>
      <c r="Q91" s="3" t="n"/>
      <c r="R91" s="3">
        <f>IF(O91=0,0,IF(Q91="",B91*P91/100,Q91))</f>
        <v/>
      </c>
      <c r="S91" s="4" t="n"/>
      <c r="T91" s="5" t="n"/>
      <c r="U91" s="3" t="n"/>
      <c r="V91" s="3">
        <f>IF(S91=0,0,IF(U91="",B91*T91/100,U91))</f>
        <v/>
      </c>
      <c r="W91" s="4" t="n"/>
      <c r="X91" s="5" t="n"/>
      <c r="Y91" s="3" t="n"/>
      <c r="Z91" s="3">
        <f>IF(W91=0,0,IF(Y91="",B91*X91/100,Y91))</f>
        <v/>
      </c>
      <c r="AA91" s="3" t="n"/>
      <c r="AB91" s="3" t="n"/>
      <c r="AC91" s="3">
        <f>B91*0.035</f>
        <v/>
      </c>
      <c r="AD91" s="3">
        <f>B91*0.065</f>
        <v/>
      </c>
      <c r="AE91" s="3">
        <f>SUM(B91,F91,J91,N91,R91,V91,Z91,AA91,AB91,AC91,AD91)</f>
        <v/>
      </c>
      <c r="AF91" s="3">
        <f>B91*0.055</f>
        <v/>
      </c>
      <c r="AG91" s="3">
        <f>B91*0.035</f>
        <v/>
      </c>
      <c r="AH91" s="3">
        <f>B91*0.165</f>
        <v/>
      </c>
      <c r="AI91" s="3">
        <f>MAX(0,AE91-AF91-AH91)</f>
        <v/>
      </c>
      <c r="AJ91" s="3">
        <f>IF(AI91&lt;=490,0,IF(AI91&lt;=600,(AI91-490)*0.05,IF(AI91&lt;=730,5.5+(AI91-600)*0.10,IF(AI91&lt;=3896.67,18.5+(AI91-730)*0.175,IF(AI91&lt;=19896.67,572.67+(AI91-3896.67)*0.25,IF(AI91&lt;=50416.67,4572.67+(AI91-19896.67)*0.30,13728.67+(AI91-50416.67)*0.35))))))</f>
        <v/>
      </c>
      <c r="AK91" s="3" t="n"/>
      <c r="AL91" s="3" t="n"/>
      <c r="AM91" s="3" t="n"/>
      <c r="AN91" s="3" t="n"/>
      <c r="AO91" s="3" t="n"/>
      <c r="AP91" s="3">
        <f>SUM(AF91,AJ91,AK91,AL91,AM91,AN91,AO91,AG91,AH91)</f>
        <v/>
      </c>
      <c r="AQ91" s="3">
        <f>AE91-AP91</f>
        <v/>
      </c>
      <c r="AR91" s="3" t="n"/>
      <c r="AS91" s="3" t="n"/>
      <c r="AT91" s="3">
        <f>AR91-AS91</f>
        <v/>
      </c>
    </row>
    <row r="92">
      <c r="A92" s="2" t="n"/>
      <c r="B92" s="3" t="n"/>
      <c r="C92" s="4" t="n"/>
      <c r="D92" s="5" t="n"/>
      <c r="E92" s="3" t="n"/>
      <c r="F92" s="3">
        <f>IF(C92=0,0,IF(E92="",B92*D92/100,E92))</f>
        <v/>
      </c>
      <c r="G92" s="4" t="n"/>
      <c r="H92" s="5" t="n"/>
      <c r="I92" s="3" t="n"/>
      <c r="J92" s="3">
        <f>IF(G92=0,0,IF(I92="",B92*H92/100,I92))</f>
        <v/>
      </c>
      <c r="K92" s="4" t="n"/>
      <c r="L92" s="5" t="n"/>
      <c r="M92" s="3" t="n"/>
      <c r="N92" s="3">
        <f>IF(K92=0,0,IF(M92="",B92*L92/100,M92))</f>
        <v/>
      </c>
      <c r="O92" s="4" t="n"/>
      <c r="P92" s="5" t="n"/>
      <c r="Q92" s="3" t="n"/>
      <c r="R92" s="3">
        <f>IF(O92=0,0,IF(Q92="",B92*P92/100,Q92))</f>
        <v/>
      </c>
      <c r="S92" s="4" t="n"/>
      <c r="T92" s="5" t="n"/>
      <c r="U92" s="3" t="n"/>
      <c r="V92" s="3">
        <f>IF(S92=0,0,IF(U92="",B92*T92/100,U92))</f>
        <v/>
      </c>
      <c r="W92" s="4" t="n"/>
      <c r="X92" s="5" t="n"/>
      <c r="Y92" s="3" t="n"/>
      <c r="Z92" s="3">
        <f>IF(W92=0,0,IF(Y92="",B92*X92/100,Y92))</f>
        <v/>
      </c>
      <c r="AA92" s="3" t="n"/>
      <c r="AB92" s="3" t="n"/>
      <c r="AC92" s="3">
        <f>B92*0.035</f>
        <v/>
      </c>
      <c r="AD92" s="3">
        <f>B92*0.065</f>
        <v/>
      </c>
      <c r="AE92" s="3">
        <f>SUM(B92,F92,J92,N92,R92,V92,Z92,AA92,AB92,AC92,AD92)</f>
        <v/>
      </c>
      <c r="AF92" s="3">
        <f>B92*0.055</f>
        <v/>
      </c>
      <c r="AG92" s="3">
        <f>B92*0.035</f>
        <v/>
      </c>
      <c r="AH92" s="3">
        <f>B92*0.165</f>
        <v/>
      </c>
      <c r="AI92" s="3">
        <f>MAX(0,AE92-AF92-AH92)</f>
        <v/>
      </c>
      <c r="AJ92" s="3">
        <f>IF(AI92&lt;=490,0,IF(AI92&lt;=600,(AI92-490)*0.05,IF(AI92&lt;=730,5.5+(AI92-600)*0.10,IF(AI92&lt;=3896.67,18.5+(AI92-730)*0.175,IF(AI92&lt;=19896.67,572.67+(AI92-3896.67)*0.25,IF(AI92&lt;=50416.67,4572.67+(AI92-19896.67)*0.30,13728.67+(AI92-50416.67)*0.35))))))</f>
        <v/>
      </c>
      <c r="AK92" s="3" t="n"/>
      <c r="AL92" s="3" t="n"/>
      <c r="AM92" s="3" t="n"/>
      <c r="AN92" s="3" t="n"/>
      <c r="AO92" s="3" t="n"/>
      <c r="AP92" s="3">
        <f>SUM(AF92,AJ92,AK92,AL92,AM92,AN92,AO92,AG92,AH92)</f>
        <v/>
      </c>
      <c r="AQ92" s="3">
        <f>AE92-AP92</f>
        <v/>
      </c>
      <c r="AR92" s="3" t="n"/>
      <c r="AS92" s="3" t="n"/>
      <c r="AT92" s="3">
        <f>AR92-AS92</f>
        <v/>
      </c>
    </row>
    <row r="93">
      <c r="A93" s="2" t="n"/>
      <c r="B93" s="3" t="n"/>
      <c r="C93" s="4" t="n"/>
      <c r="D93" s="5" t="n"/>
      <c r="E93" s="3" t="n"/>
      <c r="F93" s="3">
        <f>IF(C93=0,0,IF(E93="",B93*D93/100,E93))</f>
        <v/>
      </c>
      <c r="G93" s="4" t="n"/>
      <c r="H93" s="5" t="n"/>
      <c r="I93" s="3" t="n"/>
      <c r="J93" s="3">
        <f>IF(G93=0,0,IF(I93="",B93*H93/100,I93))</f>
        <v/>
      </c>
      <c r="K93" s="4" t="n"/>
      <c r="L93" s="5" t="n"/>
      <c r="M93" s="3" t="n"/>
      <c r="N93" s="3">
        <f>IF(K93=0,0,IF(M93="",B93*L93/100,M93))</f>
        <v/>
      </c>
      <c r="O93" s="4" t="n"/>
      <c r="P93" s="5" t="n"/>
      <c r="Q93" s="3" t="n"/>
      <c r="R93" s="3">
        <f>IF(O93=0,0,IF(Q93="",B93*P93/100,Q93))</f>
        <v/>
      </c>
      <c r="S93" s="4" t="n"/>
      <c r="T93" s="5" t="n"/>
      <c r="U93" s="3" t="n"/>
      <c r="V93" s="3">
        <f>IF(S93=0,0,IF(U93="",B93*T93/100,U93))</f>
        <v/>
      </c>
      <c r="W93" s="4" t="n"/>
      <c r="X93" s="5" t="n"/>
      <c r="Y93" s="3" t="n"/>
      <c r="Z93" s="3">
        <f>IF(W93=0,0,IF(Y93="",B93*X93/100,Y93))</f>
        <v/>
      </c>
      <c r="AA93" s="3" t="n"/>
      <c r="AB93" s="3" t="n"/>
      <c r="AC93" s="3">
        <f>B93*0.035</f>
        <v/>
      </c>
      <c r="AD93" s="3">
        <f>B93*0.065</f>
        <v/>
      </c>
      <c r="AE93" s="3">
        <f>SUM(B93,F93,J93,N93,R93,V93,Z93,AA93,AB93,AC93,AD93)</f>
        <v/>
      </c>
      <c r="AF93" s="3">
        <f>B93*0.055</f>
        <v/>
      </c>
      <c r="AG93" s="3">
        <f>B93*0.035</f>
        <v/>
      </c>
      <c r="AH93" s="3">
        <f>B93*0.165</f>
        <v/>
      </c>
      <c r="AI93" s="3">
        <f>MAX(0,AE93-AF93-AH93)</f>
        <v/>
      </c>
      <c r="AJ93" s="3">
        <f>IF(AI93&lt;=490,0,IF(AI93&lt;=600,(AI93-490)*0.05,IF(AI93&lt;=730,5.5+(AI93-600)*0.10,IF(AI93&lt;=3896.67,18.5+(AI93-730)*0.175,IF(AI93&lt;=19896.67,572.67+(AI93-3896.67)*0.25,IF(AI93&lt;=50416.67,4572.67+(AI93-19896.67)*0.30,13728.67+(AI93-50416.67)*0.35))))))</f>
        <v/>
      </c>
      <c r="AK93" s="3" t="n"/>
      <c r="AL93" s="3" t="n"/>
      <c r="AM93" s="3" t="n"/>
      <c r="AN93" s="3" t="n"/>
      <c r="AO93" s="3" t="n"/>
      <c r="AP93" s="3">
        <f>SUM(AF93,AJ93,AK93,AL93,AM93,AN93,AO93,AG93,AH93)</f>
        <v/>
      </c>
      <c r="AQ93" s="3">
        <f>AE93-AP93</f>
        <v/>
      </c>
      <c r="AR93" s="3" t="n"/>
      <c r="AS93" s="3" t="n"/>
      <c r="AT93" s="3">
        <f>AR93-AS93</f>
        <v/>
      </c>
    </row>
    <row r="94">
      <c r="A94" s="2" t="n"/>
      <c r="B94" s="3" t="n"/>
      <c r="C94" s="4" t="n"/>
      <c r="D94" s="5" t="n"/>
      <c r="E94" s="3" t="n"/>
      <c r="F94" s="3">
        <f>IF(C94=0,0,IF(E94="",B94*D94/100,E94))</f>
        <v/>
      </c>
      <c r="G94" s="4" t="n"/>
      <c r="H94" s="5" t="n"/>
      <c r="I94" s="3" t="n"/>
      <c r="J94" s="3">
        <f>IF(G94=0,0,IF(I94="",B94*H94/100,I94))</f>
        <v/>
      </c>
      <c r="K94" s="4" t="n"/>
      <c r="L94" s="5" t="n"/>
      <c r="M94" s="3" t="n"/>
      <c r="N94" s="3">
        <f>IF(K94=0,0,IF(M94="",B94*L94/100,M94))</f>
        <v/>
      </c>
      <c r="O94" s="4" t="n"/>
      <c r="P94" s="5" t="n"/>
      <c r="Q94" s="3" t="n"/>
      <c r="R94" s="3">
        <f>IF(O94=0,0,IF(Q94="",B94*P94/100,Q94))</f>
        <v/>
      </c>
      <c r="S94" s="4" t="n"/>
      <c r="T94" s="5" t="n"/>
      <c r="U94" s="3" t="n"/>
      <c r="V94" s="3">
        <f>IF(S94=0,0,IF(U94="",B94*T94/100,U94))</f>
        <v/>
      </c>
      <c r="W94" s="4" t="n"/>
      <c r="X94" s="5" t="n"/>
      <c r="Y94" s="3" t="n"/>
      <c r="Z94" s="3">
        <f>IF(W94=0,0,IF(Y94="",B94*X94/100,Y94))</f>
        <v/>
      </c>
      <c r="AA94" s="3" t="n"/>
      <c r="AB94" s="3" t="n"/>
      <c r="AC94" s="3">
        <f>B94*0.035</f>
        <v/>
      </c>
      <c r="AD94" s="3">
        <f>B94*0.065</f>
        <v/>
      </c>
      <c r="AE94" s="3">
        <f>SUM(B94,F94,J94,N94,R94,V94,Z94,AA94,AB94,AC94,AD94)</f>
        <v/>
      </c>
      <c r="AF94" s="3">
        <f>B94*0.055</f>
        <v/>
      </c>
      <c r="AG94" s="3">
        <f>B94*0.035</f>
        <v/>
      </c>
      <c r="AH94" s="3">
        <f>B94*0.165</f>
        <v/>
      </c>
      <c r="AI94" s="3">
        <f>MAX(0,AE94-AF94-AH94)</f>
        <v/>
      </c>
      <c r="AJ94" s="3">
        <f>IF(AI94&lt;=490,0,IF(AI94&lt;=600,(AI94-490)*0.05,IF(AI94&lt;=730,5.5+(AI94-600)*0.10,IF(AI94&lt;=3896.67,18.5+(AI94-730)*0.175,IF(AI94&lt;=19896.67,572.67+(AI94-3896.67)*0.25,IF(AI94&lt;=50416.67,4572.67+(AI94-19896.67)*0.30,13728.67+(AI94-50416.67)*0.35))))))</f>
        <v/>
      </c>
      <c r="AK94" s="3" t="n"/>
      <c r="AL94" s="3" t="n"/>
      <c r="AM94" s="3" t="n"/>
      <c r="AN94" s="3" t="n"/>
      <c r="AO94" s="3" t="n"/>
      <c r="AP94" s="3">
        <f>SUM(AF94,AJ94,AK94,AL94,AM94,AN94,AO94,AG94,AH94)</f>
        <v/>
      </c>
      <c r="AQ94" s="3">
        <f>AE94-AP94</f>
        <v/>
      </c>
      <c r="AR94" s="3" t="n"/>
      <c r="AS94" s="3" t="n"/>
      <c r="AT94" s="3">
        <f>AR94-AS94</f>
        <v/>
      </c>
    </row>
    <row r="95">
      <c r="A95" s="2" t="n"/>
      <c r="B95" s="3" t="n"/>
      <c r="C95" s="4" t="n"/>
      <c r="D95" s="5" t="n"/>
      <c r="E95" s="3" t="n"/>
      <c r="F95" s="3">
        <f>IF(C95=0,0,IF(E95="",B95*D95/100,E95))</f>
        <v/>
      </c>
      <c r="G95" s="4" t="n"/>
      <c r="H95" s="5" t="n"/>
      <c r="I95" s="3" t="n"/>
      <c r="J95" s="3">
        <f>IF(G95=0,0,IF(I95="",B95*H95/100,I95))</f>
        <v/>
      </c>
      <c r="K95" s="4" t="n"/>
      <c r="L95" s="5" t="n"/>
      <c r="M95" s="3" t="n"/>
      <c r="N95" s="3">
        <f>IF(K95=0,0,IF(M95="",B95*L95/100,M95))</f>
        <v/>
      </c>
      <c r="O95" s="4" t="n"/>
      <c r="P95" s="5" t="n"/>
      <c r="Q95" s="3" t="n"/>
      <c r="R95" s="3">
        <f>IF(O95=0,0,IF(Q95="",B95*P95/100,Q95))</f>
        <v/>
      </c>
      <c r="S95" s="4" t="n"/>
      <c r="T95" s="5" t="n"/>
      <c r="U95" s="3" t="n"/>
      <c r="V95" s="3">
        <f>IF(S95=0,0,IF(U95="",B95*T95/100,U95))</f>
        <v/>
      </c>
      <c r="W95" s="4" t="n"/>
      <c r="X95" s="5" t="n"/>
      <c r="Y95" s="3" t="n"/>
      <c r="Z95" s="3">
        <f>IF(W95=0,0,IF(Y95="",B95*X95/100,Y95))</f>
        <v/>
      </c>
      <c r="AA95" s="3" t="n"/>
      <c r="AB95" s="3" t="n"/>
      <c r="AC95" s="3">
        <f>B95*0.035</f>
        <v/>
      </c>
      <c r="AD95" s="3">
        <f>B95*0.065</f>
        <v/>
      </c>
      <c r="AE95" s="3">
        <f>SUM(B95,F95,J95,N95,R95,V95,Z95,AA95,AB95,AC95,AD95)</f>
        <v/>
      </c>
      <c r="AF95" s="3">
        <f>B95*0.055</f>
        <v/>
      </c>
      <c r="AG95" s="3">
        <f>B95*0.035</f>
        <v/>
      </c>
      <c r="AH95" s="3">
        <f>B95*0.165</f>
        <v/>
      </c>
      <c r="AI95" s="3">
        <f>MAX(0,AE95-AF95-AH95)</f>
        <v/>
      </c>
      <c r="AJ95" s="3">
        <f>IF(AI95&lt;=490,0,IF(AI95&lt;=600,(AI95-490)*0.05,IF(AI95&lt;=730,5.5+(AI95-600)*0.10,IF(AI95&lt;=3896.67,18.5+(AI95-730)*0.175,IF(AI95&lt;=19896.67,572.67+(AI95-3896.67)*0.25,IF(AI95&lt;=50416.67,4572.67+(AI95-19896.67)*0.30,13728.67+(AI95-50416.67)*0.35))))))</f>
        <v/>
      </c>
      <c r="AK95" s="3" t="n"/>
      <c r="AL95" s="3" t="n"/>
      <c r="AM95" s="3" t="n"/>
      <c r="AN95" s="3" t="n"/>
      <c r="AO95" s="3" t="n"/>
      <c r="AP95" s="3">
        <f>SUM(AF95,AJ95,AK95,AL95,AM95,AN95,AO95,AG95,AH95)</f>
        <v/>
      </c>
      <c r="AQ95" s="3">
        <f>AE95-AP95</f>
        <v/>
      </c>
      <c r="AR95" s="3" t="n"/>
      <c r="AS95" s="3" t="n"/>
      <c r="AT95" s="3">
        <f>AR95-AS95</f>
        <v/>
      </c>
    </row>
    <row r="96">
      <c r="A96" s="2" t="n"/>
      <c r="B96" s="3" t="n"/>
      <c r="C96" s="4" t="n"/>
      <c r="D96" s="5" t="n"/>
      <c r="E96" s="3" t="n"/>
      <c r="F96" s="3">
        <f>IF(C96=0,0,IF(E96="",B96*D96/100,E96))</f>
        <v/>
      </c>
      <c r="G96" s="4" t="n"/>
      <c r="H96" s="5" t="n"/>
      <c r="I96" s="3" t="n"/>
      <c r="J96" s="3">
        <f>IF(G96=0,0,IF(I96="",B96*H96/100,I96))</f>
        <v/>
      </c>
      <c r="K96" s="4" t="n"/>
      <c r="L96" s="5" t="n"/>
      <c r="M96" s="3" t="n"/>
      <c r="N96" s="3">
        <f>IF(K96=0,0,IF(M96="",B96*L96/100,M96))</f>
        <v/>
      </c>
      <c r="O96" s="4" t="n"/>
      <c r="P96" s="5" t="n"/>
      <c r="Q96" s="3" t="n"/>
      <c r="R96" s="3">
        <f>IF(O96=0,0,IF(Q96="",B96*P96/100,Q96))</f>
        <v/>
      </c>
      <c r="S96" s="4" t="n"/>
      <c r="T96" s="5" t="n"/>
      <c r="U96" s="3" t="n"/>
      <c r="V96" s="3">
        <f>IF(S96=0,0,IF(U96="",B96*T96/100,U96))</f>
        <v/>
      </c>
      <c r="W96" s="4" t="n"/>
      <c r="X96" s="5" t="n"/>
      <c r="Y96" s="3" t="n"/>
      <c r="Z96" s="3">
        <f>IF(W96=0,0,IF(Y96="",B96*X96/100,Y96))</f>
        <v/>
      </c>
      <c r="AA96" s="3" t="n"/>
      <c r="AB96" s="3" t="n"/>
      <c r="AC96" s="3">
        <f>B96*0.035</f>
        <v/>
      </c>
      <c r="AD96" s="3">
        <f>B96*0.065</f>
        <v/>
      </c>
      <c r="AE96" s="3">
        <f>SUM(B96,F96,J96,N96,R96,V96,Z96,AA96,AB96,AC96,AD96)</f>
        <v/>
      </c>
      <c r="AF96" s="3">
        <f>B96*0.055</f>
        <v/>
      </c>
      <c r="AG96" s="3">
        <f>B96*0.035</f>
        <v/>
      </c>
      <c r="AH96" s="3">
        <f>B96*0.165</f>
        <v/>
      </c>
      <c r="AI96" s="3">
        <f>MAX(0,AE96-AF96-AH96)</f>
        <v/>
      </c>
      <c r="AJ96" s="3">
        <f>IF(AI96&lt;=490,0,IF(AI96&lt;=600,(AI96-490)*0.05,IF(AI96&lt;=730,5.5+(AI96-600)*0.10,IF(AI96&lt;=3896.67,18.5+(AI96-730)*0.175,IF(AI96&lt;=19896.67,572.67+(AI96-3896.67)*0.25,IF(AI96&lt;=50416.67,4572.67+(AI96-19896.67)*0.30,13728.67+(AI96-50416.67)*0.35))))))</f>
        <v/>
      </c>
      <c r="AK96" s="3" t="n"/>
      <c r="AL96" s="3" t="n"/>
      <c r="AM96" s="3" t="n"/>
      <c r="AN96" s="3" t="n"/>
      <c r="AO96" s="3" t="n"/>
      <c r="AP96" s="3">
        <f>SUM(AF96,AJ96,AK96,AL96,AM96,AN96,AO96,AG96,AH96)</f>
        <v/>
      </c>
      <c r="AQ96" s="3">
        <f>AE96-AP96</f>
        <v/>
      </c>
      <c r="AR96" s="3" t="n"/>
      <c r="AS96" s="3" t="n"/>
      <c r="AT96" s="3">
        <f>AR96-AS96</f>
        <v/>
      </c>
    </row>
    <row r="97">
      <c r="A97" s="2" t="n"/>
      <c r="B97" s="3" t="n"/>
      <c r="C97" s="4" t="n"/>
      <c r="D97" s="5" t="n"/>
      <c r="E97" s="3" t="n"/>
      <c r="F97" s="3">
        <f>IF(C97=0,0,IF(E97="",B97*D97/100,E97))</f>
        <v/>
      </c>
      <c r="G97" s="4" t="n"/>
      <c r="H97" s="5" t="n"/>
      <c r="I97" s="3" t="n"/>
      <c r="J97" s="3">
        <f>IF(G97=0,0,IF(I97="",B97*H97/100,I97))</f>
        <v/>
      </c>
      <c r="K97" s="4" t="n"/>
      <c r="L97" s="5" t="n"/>
      <c r="M97" s="3" t="n"/>
      <c r="N97" s="3">
        <f>IF(K97=0,0,IF(M97="",B97*L97/100,M97))</f>
        <v/>
      </c>
      <c r="O97" s="4" t="n"/>
      <c r="P97" s="5" t="n"/>
      <c r="Q97" s="3" t="n"/>
      <c r="R97" s="3">
        <f>IF(O97=0,0,IF(Q97="",B97*P97/100,Q97))</f>
        <v/>
      </c>
      <c r="S97" s="4" t="n"/>
      <c r="T97" s="5" t="n"/>
      <c r="U97" s="3" t="n"/>
      <c r="V97" s="3">
        <f>IF(S97=0,0,IF(U97="",B97*T97/100,U97))</f>
        <v/>
      </c>
      <c r="W97" s="4" t="n"/>
      <c r="X97" s="5" t="n"/>
      <c r="Y97" s="3" t="n"/>
      <c r="Z97" s="3">
        <f>IF(W97=0,0,IF(Y97="",B97*X97/100,Y97))</f>
        <v/>
      </c>
      <c r="AA97" s="3" t="n"/>
      <c r="AB97" s="3" t="n"/>
      <c r="AC97" s="3">
        <f>B97*0.035</f>
        <v/>
      </c>
      <c r="AD97" s="3">
        <f>B97*0.065</f>
        <v/>
      </c>
      <c r="AE97" s="3">
        <f>SUM(B97,F97,J97,N97,R97,V97,Z97,AA97,AB97,AC97,AD97)</f>
        <v/>
      </c>
      <c r="AF97" s="3">
        <f>B97*0.055</f>
        <v/>
      </c>
      <c r="AG97" s="3">
        <f>B97*0.035</f>
        <v/>
      </c>
      <c r="AH97" s="3">
        <f>B97*0.165</f>
        <v/>
      </c>
      <c r="AI97" s="3">
        <f>MAX(0,AE97-AF97-AH97)</f>
        <v/>
      </c>
      <c r="AJ97" s="3">
        <f>IF(AI97&lt;=490,0,IF(AI97&lt;=600,(AI97-490)*0.05,IF(AI97&lt;=730,5.5+(AI97-600)*0.10,IF(AI97&lt;=3896.67,18.5+(AI97-730)*0.175,IF(AI97&lt;=19896.67,572.67+(AI97-3896.67)*0.25,IF(AI97&lt;=50416.67,4572.67+(AI97-19896.67)*0.30,13728.67+(AI97-50416.67)*0.35))))))</f>
        <v/>
      </c>
      <c r="AK97" s="3" t="n"/>
      <c r="AL97" s="3" t="n"/>
      <c r="AM97" s="3" t="n"/>
      <c r="AN97" s="3" t="n"/>
      <c r="AO97" s="3" t="n"/>
      <c r="AP97" s="3">
        <f>SUM(AF97,AJ97,AK97,AL97,AM97,AN97,AO97,AG97,AH97)</f>
        <v/>
      </c>
      <c r="AQ97" s="3">
        <f>AE97-AP97</f>
        <v/>
      </c>
      <c r="AR97" s="3" t="n"/>
      <c r="AS97" s="3" t="n"/>
      <c r="AT97" s="3">
        <f>AR97-AS97</f>
        <v/>
      </c>
    </row>
    <row r="98">
      <c r="A98" s="2" t="n"/>
      <c r="B98" s="3" t="n"/>
      <c r="C98" s="4" t="n"/>
      <c r="D98" s="5" t="n"/>
      <c r="E98" s="3" t="n"/>
      <c r="F98" s="3">
        <f>IF(C98=0,0,IF(E98="",B98*D98/100,E98))</f>
        <v/>
      </c>
      <c r="G98" s="4" t="n"/>
      <c r="H98" s="5" t="n"/>
      <c r="I98" s="3" t="n"/>
      <c r="J98" s="3">
        <f>IF(G98=0,0,IF(I98="",B98*H98/100,I98))</f>
        <v/>
      </c>
      <c r="K98" s="4" t="n"/>
      <c r="L98" s="5" t="n"/>
      <c r="M98" s="3" t="n"/>
      <c r="N98" s="3">
        <f>IF(K98=0,0,IF(M98="",B98*L98/100,M98))</f>
        <v/>
      </c>
      <c r="O98" s="4" t="n"/>
      <c r="P98" s="5" t="n"/>
      <c r="Q98" s="3" t="n"/>
      <c r="R98" s="3">
        <f>IF(O98=0,0,IF(Q98="",B98*P98/100,Q98))</f>
        <v/>
      </c>
      <c r="S98" s="4" t="n"/>
      <c r="T98" s="5" t="n"/>
      <c r="U98" s="3" t="n"/>
      <c r="V98" s="3">
        <f>IF(S98=0,0,IF(U98="",B98*T98/100,U98))</f>
        <v/>
      </c>
      <c r="W98" s="4" t="n"/>
      <c r="X98" s="5" t="n"/>
      <c r="Y98" s="3" t="n"/>
      <c r="Z98" s="3">
        <f>IF(W98=0,0,IF(Y98="",B98*X98/100,Y98))</f>
        <v/>
      </c>
      <c r="AA98" s="3" t="n"/>
      <c r="AB98" s="3" t="n"/>
      <c r="AC98" s="3">
        <f>B98*0.035</f>
        <v/>
      </c>
      <c r="AD98" s="3">
        <f>B98*0.065</f>
        <v/>
      </c>
      <c r="AE98" s="3">
        <f>SUM(B98,F98,J98,N98,R98,V98,Z98,AA98,AB98,AC98,AD98)</f>
        <v/>
      </c>
      <c r="AF98" s="3">
        <f>B98*0.055</f>
        <v/>
      </c>
      <c r="AG98" s="3">
        <f>B98*0.035</f>
        <v/>
      </c>
      <c r="AH98" s="3">
        <f>B98*0.165</f>
        <v/>
      </c>
      <c r="AI98" s="3">
        <f>MAX(0,AE98-AF98-AH98)</f>
        <v/>
      </c>
      <c r="AJ98" s="3">
        <f>IF(AI98&lt;=490,0,IF(AI98&lt;=600,(AI98-490)*0.05,IF(AI98&lt;=730,5.5+(AI98-600)*0.10,IF(AI98&lt;=3896.67,18.5+(AI98-730)*0.175,IF(AI98&lt;=19896.67,572.67+(AI98-3896.67)*0.25,IF(AI98&lt;=50416.67,4572.67+(AI98-19896.67)*0.30,13728.67+(AI98-50416.67)*0.35))))))</f>
        <v/>
      </c>
      <c r="AK98" s="3" t="n"/>
      <c r="AL98" s="3" t="n"/>
      <c r="AM98" s="3" t="n"/>
      <c r="AN98" s="3" t="n"/>
      <c r="AO98" s="3" t="n"/>
      <c r="AP98" s="3">
        <f>SUM(AF98,AJ98,AK98,AL98,AM98,AN98,AO98,AG98,AH98)</f>
        <v/>
      </c>
      <c r="AQ98" s="3">
        <f>AE98-AP98</f>
        <v/>
      </c>
      <c r="AR98" s="3" t="n"/>
      <c r="AS98" s="3" t="n"/>
      <c r="AT98" s="3">
        <f>AR98-AS98</f>
        <v/>
      </c>
    </row>
    <row r="99">
      <c r="A99" s="2" t="n"/>
      <c r="B99" s="3" t="n"/>
      <c r="C99" s="4" t="n"/>
      <c r="D99" s="5" t="n"/>
      <c r="E99" s="3" t="n"/>
      <c r="F99" s="3">
        <f>IF(C99=0,0,IF(E99="",B99*D99/100,E99))</f>
        <v/>
      </c>
      <c r="G99" s="4" t="n"/>
      <c r="H99" s="5" t="n"/>
      <c r="I99" s="3" t="n"/>
      <c r="J99" s="3">
        <f>IF(G99=0,0,IF(I99="",B99*H99/100,I99))</f>
        <v/>
      </c>
      <c r="K99" s="4" t="n"/>
      <c r="L99" s="5" t="n"/>
      <c r="M99" s="3" t="n"/>
      <c r="N99" s="3">
        <f>IF(K99=0,0,IF(M99="",B99*L99/100,M99))</f>
        <v/>
      </c>
      <c r="O99" s="4" t="n"/>
      <c r="P99" s="5" t="n"/>
      <c r="Q99" s="3" t="n"/>
      <c r="R99" s="3">
        <f>IF(O99=0,0,IF(Q99="",B99*P99/100,Q99))</f>
        <v/>
      </c>
      <c r="S99" s="4" t="n"/>
      <c r="T99" s="5" t="n"/>
      <c r="U99" s="3" t="n"/>
      <c r="V99" s="3">
        <f>IF(S99=0,0,IF(U99="",B99*T99/100,U99))</f>
        <v/>
      </c>
      <c r="W99" s="4" t="n"/>
      <c r="X99" s="5" t="n"/>
      <c r="Y99" s="3" t="n"/>
      <c r="Z99" s="3">
        <f>IF(W99=0,0,IF(Y99="",B99*X99/100,Y99))</f>
        <v/>
      </c>
      <c r="AA99" s="3" t="n"/>
      <c r="AB99" s="3" t="n"/>
      <c r="AC99" s="3">
        <f>B99*0.035</f>
        <v/>
      </c>
      <c r="AD99" s="3">
        <f>B99*0.065</f>
        <v/>
      </c>
      <c r="AE99" s="3">
        <f>SUM(B99,F99,J99,N99,R99,V99,Z99,AA99,AB99,AC99,AD99)</f>
        <v/>
      </c>
      <c r="AF99" s="3">
        <f>B99*0.055</f>
        <v/>
      </c>
      <c r="AG99" s="3">
        <f>B99*0.035</f>
        <v/>
      </c>
      <c r="AH99" s="3">
        <f>B99*0.165</f>
        <v/>
      </c>
      <c r="AI99" s="3">
        <f>MAX(0,AE99-AF99-AH99)</f>
        <v/>
      </c>
      <c r="AJ99" s="3">
        <f>IF(AI99&lt;=490,0,IF(AI99&lt;=600,(AI99-490)*0.05,IF(AI99&lt;=730,5.5+(AI99-600)*0.10,IF(AI99&lt;=3896.67,18.5+(AI99-730)*0.175,IF(AI99&lt;=19896.67,572.67+(AI99-3896.67)*0.25,IF(AI99&lt;=50416.67,4572.67+(AI99-19896.67)*0.30,13728.67+(AI99-50416.67)*0.35))))))</f>
        <v/>
      </c>
      <c r="AK99" s="3" t="n"/>
      <c r="AL99" s="3" t="n"/>
      <c r="AM99" s="3" t="n"/>
      <c r="AN99" s="3" t="n"/>
      <c r="AO99" s="3" t="n"/>
      <c r="AP99" s="3">
        <f>SUM(AF99,AJ99,AK99,AL99,AM99,AN99,AO99,AG99,AH99)</f>
        <v/>
      </c>
      <c r="AQ99" s="3">
        <f>AE99-AP99</f>
        <v/>
      </c>
      <c r="AR99" s="3" t="n"/>
      <c r="AS99" s="3" t="n"/>
      <c r="AT99" s="3">
        <f>AR99-AS99</f>
        <v/>
      </c>
    </row>
    <row r="100">
      <c r="A100" s="2" t="n"/>
      <c r="B100" s="3" t="n"/>
      <c r="C100" s="4" t="n"/>
      <c r="D100" s="5" t="n"/>
      <c r="E100" s="3" t="n"/>
      <c r="F100" s="3">
        <f>IF(C100=0,0,IF(E100="",B100*D100/100,E100))</f>
        <v/>
      </c>
      <c r="G100" s="4" t="n"/>
      <c r="H100" s="5" t="n"/>
      <c r="I100" s="3" t="n"/>
      <c r="J100" s="3">
        <f>IF(G100=0,0,IF(I100="",B100*H100/100,I100))</f>
        <v/>
      </c>
      <c r="K100" s="4" t="n"/>
      <c r="L100" s="5" t="n"/>
      <c r="M100" s="3" t="n"/>
      <c r="N100" s="3">
        <f>IF(K100=0,0,IF(M100="",B100*L100/100,M100))</f>
        <v/>
      </c>
      <c r="O100" s="4" t="n"/>
      <c r="P100" s="5" t="n"/>
      <c r="Q100" s="3" t="n"/>
      <c r="R100" s="3">
        <f>IF(O100=0,0,IF(Q100="",B100*P100/100,Q100))</f>
        <v/>
      </c>
      <c r="S100" s="4" t="n"/>
      <c r="T100" s="5" t="n"/>
      <c r="U100" s="3" t="n"/>
      <c r="V100" s="3">
        <f>IF(S100=0,0,IF(U100="",B100*T100/100,U100))</f>
        <v/>
      </c>
      <c r="W100" s="4" t="n"/>
      <c r="X100" s="5" t="n"/>
      <c r="Y100" s="3" t="n"/>
      <c r="Z100" s="3">
        <f>IF(W100=0,0,IF(Y100="",B100*X100/100,Y100))</f>
        <v/>
      </c>
      <c r="AA100" s="3" t="n"/>
      <c r="AB100" s="3" t="n"/>
      <c r="AC100" s="3">
        <f>B100*0.035</f>
        <v/>
      </c>
      <c r="AD100" s="3">
        <f>B100*0.065</f>
        <v/>
      </c>
      <c r="AE100" s="3">
        <f>SUM(B100,F100,J100,N100,R100,V100,Z100,AA100,AB100,AC100,AD100)</f>
        <v/>
      </c>
      <c r="AF100" s="3">
        <f>B100*0.055</f>
        <v/>
      </c>
      <c r="AG100" s="3">
        <f>B100*0.035</f>
        <v/>
      </c>
      <c r="AH100" s="3">
        <f>B100*0.165</f>
        <v/>
      </c>
      <c r="AI100" s="3">
        <f>MAX(0,AE100-AF100-AH100)</f>
        <v/>
      </c>
      <c r="AJ100" s="3">
        <f>IF(AI100&lt;=490,0,IF(AI100&lt;=600,(AI100-490)*0.05,IF(AI100&lt;=730,5.5+(AI100-600)*0.10,IF(AI100&lt;=3896.67,18.5+(AI100-730)*0.175,IF(AI100&lt;=19896.67,572.67+(AI100-3896.67)*0.25,IF(AI100&lt;=50416.67,4572.67+(AI100-19896.67)*0.30,13728.67+(AI100-50416.67)*0.35))))))</f>
        <v/>
      </c>
      <c r="AK100" s="3" t="n"/>
      <c r="AL100" s="3" t="n"/>
      <c r="AM100" s="3" t="n"/>
      <c r="AN100" s="3" t="n"/>
      <c r="AO100" s="3" t="n"/>
      <c r="AP100" s="3">
        <f>SUM(AF100,AJ100,AK100,AL100,AM100,AN100,AO100,AG100,AH100)</f>
        <v/>
      </c>
      <c r="AQ100" s="3">
        <f>AE100-AP100</f>
        <v/>
      </c>
      <c r="AR100" s="3" t="n"/>
      <c r="AS100" s="3" t="n"/>
      <c r="AT100" s="3">
        <f>AR100-AS100</f>
        <v/>
      </c>
    </row>
    <row r="101">
      <c r="A101" s="2" t="n"/>
      <c r="B101" s="3" t="n"/>
      <c r="C101" s="4" t="n"/>
      <c r="D101" s="5" t="n"/>
      <c r="E101" s="3" t="n"/>
      <c r="F101" s="3">
        <f>IF(C101=0,0,IF(E101="",B101*D101/100,E101))</f>
        <v/>
      </c>
      <c r="G101" s="4" t="n"/>
      <c r="H101" s="5" t="n"/>
      <c r="I101" s="3" t="n"/>
      <c r="J101" s="3">
        <f>IF(G101=0,0,IF(I101="",B101*H101/100,I101))</f>
        <v/>
      </c>
      <c r="K101" s="4" t="n"/>
      <c r="L101" s="5" t="n"/>
      <c r="M101" s="3" t="n"/>
      <c r="N101" s="3">
        <f>IF(K101=0,0,IF(M101="",B101*L101/100,M101))</f>
        <v/>
      </c>
      <c r="O101" s="4" t="n"/>
      <c r="P101" s="5" t="n"/>
      <c r="Q101" s="3" t="n"/>
      <c r="R101" s="3">
        <f>IF(O101=0,0,IF(Q101="",B101*P101/100,Q101))</f>
        <v/>
      </c>
      <c r="S101" s="4" t="n"/>
      <c r="T101" s="5" t="n"/>
      <c r="U101" s="3" t="n"/>
      <c r="V101" s="3">
        <f>IF(S101=0,0,IF(U101="",B101*T101/100,U101))</f>
        <v/>
      </c>
      <c r="W101" s="4" t="n"/>
      <c r="X101" s="5" t="n"/>
      <c r="Y101" s="3" t="n"/>
      <c r="Z101" s="3">
        <f>IF(W101=0,0,IF(Y101="",B101*X101/100,Y101))</f>
        <v/>
      </c>
      <c r="AA101" s="3" t="n"/>
      <c r="AB101" s="3" t="n"/>
      <c r="AC101" s="3">
        <f>B101*0.035</f>
        <v/>
      </c>
      <c r="AD101" s="3">
        <f>B101*0.065</f>
        <v/>
      </c>
      <c r="AE101" s="3">
        <f>SUM(B101,F101,J101,N101,R101,V101,Z101,AA101,AB101,AC101,AD101)</f>
        <v/>
      </c>
      <c r="AF101" s="3">
        <f>B101*0.055</f>
        <v/>
      </c>
      <c r="AG101" s="3">
        <f>B101*0.035</f>
        <v/>
      </c>
      <c r="AH101" s="3">
        <f>B101*0.165</f>
        <v/>
      </c>
      <c r="AI101" s="3">
        <f>MAX(0,AE101-AF101-AH101)</f>
        <v/>
      </c>
      <c r="AJ101" s="3">
        <f>IF(AI101&lt;=490,0,IF(AI101&lt;=600,(AI101-490)*0.05,IF(AI101&lt;=730,5.5+(AI101-600)*0.10,IF(AI101&lt;=3896.67,18.5+(AI101-730)*0.175,IF(AI101&lt;=19896.67,572.67+(AI101-3896.67)*0.25,IF(AI101&lt;=50416.67,4572.67+(AI101-19896.67)*0.30,13728.67+(AI101-50416.67)*0.35))))))</f>
        <v/>
      </c>
      <c r="AK101" s="3" t="n"/>
      <c r="AL101" s="3" t="n"/>
      <c r="AM101" s="3" t="n"/>
      <c r="AN101" s="3" t="n"/>
      <c r="AO101" s="3" t="n"/>
      <c r="AP101" s="3">
        <f>SUM(AF101,AJ101,AK101,AL101,AM101,AN101,AO101,AG101,AH101)</f>
        <v/>
      </c>
      <c r="AQ101" s="3">
        <f>AE101-AP101</f>
        <v/>
      </c>
      <c r="AR101" s="3" t="n"/>
      <c r="AS101" s="3" t="n"/>
      <c r="AT101" s="3">
        <f>AR101-AS101</f>
        <v/>
      </c>
    </row>
    <row r="102">
      <c r="A102" s="2" t="n"/>
      <c r="B102" s="3" t="n"/>
      <c r="C102" s="4" t="n"/>
      <c r="D102" s="5" t="n"/>
      <c r="E102" s="3" t="n"/>
      <c r="F102" s="3">
        <f>IF(C102=0,0,IF(E102="",B102*D102/100,E102))</f>
        <v/>
      </c>
      <c r="G102" s="4" t="n"/>
      <c r="H102" s="5" t="n"/>
      <c r="I102" s="3" t="n"/>
      <c r="J102" s="3">
        <f>IF(G102=0,0,IF(I102="",B102*H102/100,I102))</f>
        <v/>
      </c>
      <c r="K102" s="4" t="n"/>
      <c r="L102" s="5" t="n"/>
      <c r="M102" s="3" t="n"/>
      <c r="N102" s="3">
        <f>IF(K102=0,0,IF(M102="",B102*L102/100,M102))</f>
        <v/>
      </c>
      <c r="O102" s="4" t="n"/>
      <c r="P102" s="5" t="n"/>
      <c r="Q102" s="3" t="n"/>
      <c r="R102" s="3">
        <f>IF(O102=0,0,IF(Q102="",B102*P102/100,Q102))</f>
        <v/>
      </c>
      <c r="S102" s="4" t="n"/>
      <c r="T102" s="5" t="n"/>
      <c r="U102" s="3" t="n"/>
      <c r="V102" s="3">
        <f>IF(S102=0,0,IF(U102="",B102*T102/100,U102))</f>
        <v/>
      </c>
      <c r="W102" s="4" t="n"/>
      <c r="X102" s="5" t="n"/>
      <c r="Y102" s="3" t="n"/>
      <c r="Z102" s="3">
        <f>IF(W102=0,0,IF(Y102="",B102*X102/100,Y102))</f>
        <v/>
      </c>
      <c r="AA102" s="3" t="n"/>
      <c r="AB102" s="3" t="n"/>
      <c r="AC102" s="3">
        <f>B102*0.035</f>
        <v/>
      </c>
      <c r="AD102" s="3">
        <f>B102*0.065</f>
        <v/>
      </c>
      <c r="AE102" s="3">
        <f>SUM(B102,F102,J102,N102,R102,V102,Z102,AA102,AB102,AC102,AD102)</f>
        <v/>
      </c>
      <c r="AF102" s="3">
        <f>B102*0.055</f>
        <v/>
      </c>
      <c r="AG102" s="3">
        <f>B102*0.035</f>
        <v/>
      </c>
      <c r="AH102" s="3">
        <f>B102*0.165</f>
        <v/>
      </c>
      <c r="AI102" s="3">
        <f>MAX(0,AE102-AF102-AH102)</f>
        <v/>
      </c>
      <c r="AJ102" s="3">
        <f>IF(AI102&lt;=490,0,IF(AI102&lt;=600,(AI102-490)*0.05,IF(AI102&lt;=730,5.5+(AI102-600)*0.10,IF(AI102&lt;=3896.67,18.5+(AI102-730)*0.175,IF(AI102&lt;=19896.67,572.67+(AI102-3896.67)*0.25,IF(AI102&lt;=50416.67,4572.67+(AI102-19896.67)*0.30,13728.67+(AI102-50416.67)*0.35))))))</f>
        <v/>
      </c>
      <c r="AK102" s="3" t="n"/>
      <c r="AL102" s="3" t="n"/>
      <c r="AM102" s="3" t="n"/>
      <c r="AN102" s="3" t="n"/>
      <c r="AO102" s="3" t="n"/>
      <c r="AP102" s="3">
        <f>SUM(AF102,AJ102,AK102,AL102,AM102,AN102,AO102,AG102,AH102)</f>
        <v/>
      </c>
      <c r="AQ102" s="3">
        <f>AE102-AP102</f>
        <v/>
      </c>
      <c r="AR102" s="3" t="n"/>
      <c r="AS102" s="3" t="n"/>
      <c r="AT102" s="3">
        <f>AR102-AS102</f>
        <v/>
      </c>
    </row>
    <row r="103">
      <c r="A103" s="2" t="n"/>
      <c r="B103" s="3" t="n"/>
      <c r="C103" s="4" t="n"/>
      <c r="D103" s="5" t="n"/>
      <c r="E103" s="3" t="n"/>
      <c r="F103" s="3">
        <f>IF(C103=0,0,IF(E103="",B103*D103/100,E103))</f>
        <v/>
      </c>
      <c r="G103" s="4" t="n"/>
      <c r="H103" s="5" t="n"/>
      <c r="I103" s="3" t="n"/>
      <c r="J103" s="3">
        <f>IF(G103=0,0,IF(I103="",B103*H103/100,I103))</f>
        <v/>
      </c>
      <c r="K103" s="4" t="n"/>
      <c r="L103" s="5" t="n"/>
      <c r="M103" s="3" t="n"/>
      <c r="N103" s="3">
        <f>IF(K103=0,0,IF(M103="",B103*L103/100,M103))</f>
        <v/>
      </c>
      <c r="O103" s="4" t="n"/>
      <c r="P103" s="5" t="n"/>
      <c r="Q103" s="3" t="n"/>
      <c r="R103" s="3">
        <f>IF(O103=0,0,IF(Q103="",B103*P103/100,Q103))</f>
        <v/>
      </c>
      <c r="S103" s="4" t="n"/>
      <c r="T103" s="5" t="n"/>
      <c r="U103" s="3" t="n"/>
      <c r="V103" s="3">
        <f>IF(S103=0,0,IF(U103="",B103*T103/100,U103))</f>
        <v/>
      </c>
      <c r="W103" s="4" t="n"/>
      <c r="X103" s="5" t="n"/>
      <c r="Y103" s="3" t="n"/>
      <c r="Z103" s="3">
        <f>IF(W103=0,0,IF(Y103="",B103*X103/100,Y103))</f>
        <v/>
      </c>
      <c r="AA103" s="3" t="n"/>
      <c r="AB103" s="3" t="n"/>
      <c r="AC103" s="3">
        <f>B103*0.035</f>
        <v/>
      </c>
      <c r="AD103" s="3">
        <f>B103*0.065</f>
        <v/>
      </c>
      <c r="AE103" s="3">
        <f>SUM(B103,F103,J103,N103,R103,V103,Z103,AA103,AB103,AC103,AD103)</f>
        <v/>
      </c>
      <c r="AF103" s="3">
        <f>B103*0.055</f>
        <v/>
      </c>
      <c r="AG103" s="3">
        <f>B103*0.035</f>
        <v/>
      </c>
      <c r="AH103" s="3">
        <f>B103*0.165</f>
        <v/>
      </c>
      <c r="AI103" s="3">
        <f>MAX(0,AE103-AF103-AH103)</f>
        <v/>
      </c>
      <c r="AJ103" s="3">
        <f>IF(AI103&lt;=490,0,IF(AI103&lt;=600,(AI103-490)*0.05,IF(AI103&lt;=730,5.5+(AI103-600)*0.10,IF(AI103&lt;=3896.67,18.5+(AI103-730)*0.175,IF(AI103&lt;=19896.67,572.67+(AI103-3896.67)*0.25,IF(AI103&lt;=50416.67,4572.67+(AI103-19896.67)*0.30,13728.67+(AI103-50416.67)*0.35))))))</f>
        <v/>
      </c>
      <c r="AK103" s="3" t="n"/>
      <c r="AL103" s="3" t="n"/>
      <c r="AM103" s="3" t="n"/>
      <c r="AN103" s="3" t="n"/>
      <c r="AO103" s="3" t="n"/>
      <c r="AP103" s="3">
        <f>SUM(AF103,AJ103,AK103,AL103,AM103,AN103,AO103,AG103,AH103)</f>
        <v/>
      </c>
      <c r="AQ103" s="3">
        <f>AE103-AP103</f>
        <v/>
      </c>
      <c r="AR103" s="3" t="n"/>
      <c r="AS103" s="3" t="n"/>
      <c r="AT103" s="3">
        <f>AR103-AS103</f>
        <v/>
      </c>
    </row>
    <row r="104">
      <c r="A104" s="2" t="n"/>
      <c r="B104" s="3" t="n"/>
      <c r="C104" s="4" t="n"/>
      <c r="D104" s="5" t="n"/>
      <c r="E104" s="3" t="n"/>
      <c r="F104" s="3">
        <f>IF(C104=0,0,IF(E104="",B104*D104/100,E104))</f>
        <v/>
      </c>
      <c r="G104" s="4" t="n"/>
      <c r="H104" s="5" t="n"/>
      <c r="I104" s="3" t="n"/>
      <c r="J104" s="3">
        <f>IF(G104=0,0,IF(I104="",B104*H104/100,I104))</f>
        <v/>
      </c>
      <c r="K104" s="4" t="n"/>
      <c r="L104" s="5" t="n"/>
      <c r="M104" s="3" t="n"/>
      <c r="N104" s="3">
        <f>IF(K104=0,0,IF(M104="",B104*L104/100,M104))</f>
        <v/>
      </c>
      <c r="O104" s="4" t="n"/>
      <c r="P104" s="5" t="n"/>
      <c r="Q104" s="3" t="n"/>
      <c r="R104" s="3">
        <f>IF(O104=0,0,IF(Q104="",B104*P104/100,Q104))</f>
        <v/>
      </c>
      <c r="S104" s="4" t="n"/>
      <c r="T104" s="5" t="n"/>
      <c r="U104" s="3" t="n"/>
      <c r="V104" s="3">
        <f>IF(S104=0,0,IF(U104="",B104*T104/100,U104))</f>
        <v/>
      </c>
      <c r="W104" s="4" t="n"/>
      <c r="X104" s="5" t="n"/>
      <c r="Y104" s="3" t="n"/>
      <c r="Z104" s="3">
        <f>IF(W104=0,0,IF(Y104="",B104*X104/100,Y104))</f>
        <v/>
      </c>
      <c r="AA104" s="3" t="n"/>
      <c r="AB104" s="3" t="n"/>
      <c r="AC104" s="3">
        <f>B104*0.035</f>
        <v/>
      </c>
      <c r="AD104" s="3">
        <f>B104*0.065</f>
        <v/>
      </c>
      <c r="AE104" s="3">
        <f>SUM(B104,F104,J104,N104,R104,V104,Z104,AA104,AB104,AC104,AD104)</f>
        <v/>
      </c>
      <c r="AF104" s="3">
        <f>B104*0.055</f>
        <v/>
      </c>
      <c r="AG104" s="3">
        <f>B104*0.035</f>
        <v/>
      </c>
      <c r="AH104" s="3">
        <f>B104*0.165</f>
        <v/>
      </c>
      <c r="AI104" s="3">
        <f>MAX(0,AE104-AF104-AH104)</f>
        <v/>
      </c>
      <c r="AJ104" s="3">
        <f>IF(AI104&lt;=490,0,IF(AI104&lt;=600,(AI104-490)*0.05,IF(AI104&lt;=730,5.5+(AI104-600)*0.10,IF(AI104&lt;=3896.67,18.5+(AI104-730)*0.175,IF(AI104&lt;=19896.67,572.67+(AI104-3896.67)*0.25,IF(AI104&lt;=50416.67,4572.67+(AI104-19896.67)*0.30,13728.67+(AI104-50416.67)*0.35))))))</f>
        <v/>
      </c>
      <c r="AK104" s="3" t="n"/>
      <c r="AL104" s="3" t="n"/>
      <c r="AM104" s="3" t="n"/>
      <c r="AN104" s="3" t="n"/>
      <c r="AO104" s="3" t="n"/>
      <c r="AP104" s="3">
        <f>SUM(AF104,AJ104,AK104,AL104,AM104,AN104,AO104,AG104,AH104)</f>
        <v/>
      </c>
      <c r="AQ104" s="3">
        <f>AE104-AP104</f>
        <v/>
      </c>
      <c r="AR104" s="3" t="n"/>
      <c r="AS104" s="3" t="n"/>
      <c r="AT104" s="3">
        <f>AR104-AS104</f>
        <v/>
      </c>
    </row>
    <row r="105">
      <c r="A105" s="2" t="n"/>
      <c r="B105" s="3" t="n"/>
      <c r="C105" s="4" t="n"/>
      <c r="D105" s="5" t="n"/>
      <c r="E105" s="3" t="n"/>
      <c r="F105" s="3">
        <f>IF(C105=0,0,IF(E105="",B105*D105/100,E105))</f>
        <v/>
      </c>
      <c r="G105" s="4" t="n"/>
      <c r="H105" s="5" t="n"/>
      <c r="I105" s="3" t="n"/>
      <c r="J105" s="3">
        <f>IF(G105=0,0,IF(I105="",B105*H105/100,I105))</f>
        <v/>
      </c>
      <c r="K105" s="4" t="n"/>
      <c r="L105" s="5" t="n"/>
      <c r="M105" s="3" t="n"/>
      <c r="N105" s="3">
        <f>IF(K105=0,0,IF(M105="",B105*L105/100,M105))</f>
        <v/>
      </c>
      <c r="O105" s="4" t="n"/>
      <c r="P105" s="5" t="n"/>
      <c r="Q105" s="3" t="n"/>
      <c r="R105" s="3">
        <f>IF(O105=0,0,IF(Q105="",B105*P105/100,Q105))</f>
        <v/>
      </c>
      <c r="S105" s="4" t="n"/>
      <c r="T105" s="5" t="n"/>
      <c r="U105" s="3" t="n"/>
      <c r="V105" s="3">
        <f>IF(S105=0,0,IF(U105="",B105*T105/100,U105))</f>
        <v/>
      </c>
      <c r="W105" s="4" t="n"/>
      <c r="X105" s="5" t="n"/>
      <c r="Y105" s="3" t="n"/>
      <c r="Z105" s="3">
        <f>IF(W105=0,0,IF(Y105="",B105*X105/100,Y105))</f>
        <v/>
      </c>
      <c r="AA105" s="3" t="n"/>
      <c r="AB105" s="3" t="n"/>
      <c r="AC105" s="3">
        <f>B105*0.035</f>
        <v/>
      </c>
      <c r="AD105" s="3">
        <f>B105*0.065</f>
        <v/>
      </c>
      <c r="AE105" s="3">
        <f>SUM(B105,F105,J105,N105,R105,V105,Z105,AA105,AB105,AC105,AD105)</f>
        <v/>
      </c>
      <c r="AF105" s="3">
        <f>B105*0.055</f>
        <v/>
      </c>
      <c r="AG105" s="3">
        <f>B105*0.035</f>
        <v/>
      </c>
      <c r="AH105" s="3">
        <f>B105*0.165</f>
        <v/>
      </c>
      <c r="AI105" s="3">
        <f>MAX(0,AE105-AF105-AH105)</f>
        <v/>
      </c>
      <c r="AJ105" s="3">
        <f>IF(AI105&lt;=490,0,IF(AI105&lt;=600,(AI105-490)*0.05,IF(AI105&lt;=730,5.5+(AI105-600)*0.10,IF(AI105&lt;=3896.67,18.5+(AI105-730)*0.175,IF(AI105&lt;=19896.67,572.67+(AI105-3896.67)*0.25,IF(AI105&lt;=50416.67,4572.67+(AI105-19896.67)*0.30,13728.67+(AI105-50416.67)*0.35))))))</f>
        <v/>
      </c>
      <c r="AK105" s="3" t="n"/>
      <c r="AL105" s="3" t="n"/>
      <c r="AM105" s="3" t="n"/>
      <c r="AN105" s="3" t="n"/>
      <c r="AO105" s="3" t="n"/>
      <c r="AP105" s="3">
        <f>SUM(AF105,AJ105,AK105,AL105,AM105,AN105,AO105,AG105,AH105)</f>
        <v/>
      </c>
      <c r="AQ105" s="3">
        <f>AE105-AP105</f>
        <v/>
      </c>
      <c r="AR105" s="3" t="n"/>
      <c r="AS105" s="3" t="n"/>
      <c r="AT105" s="3">
        <f>AR105-AS105</f>
        <v/>
      </c>
    </row>
    <row r="106">
      <c r="A106" s="2" t="n"/>
      <c r="B106" s="3" t="n"/>
      <c r="C106" s="4" t="n"/>
      <c r="D106" s="5" t="n"/>
      <c r="E106" s="3" t="n"/>
      <c r="F106" s="3">
        <f>IF(C106=0,0,IF(E106="",B106*D106/100,E106))</f>
        <v/>
      </c>
      <c r="G106" s="4" t="n"/>
      <c r="H106" s="5" t="n"/>
      <c r="I106" s="3" t="n"/>
      <c r="J106" s="3">
        <f>IF(G106=0,0,IF(I106="",B106*H106/100,I106))</f>
        <v/>
      </c>
      <c r="K106" s="4" t="n"/>
      <c r="L106" s="5" t="n"/>
      <c r="M106" s="3" t="n"/>
      <c r="N106" s="3">
        <f>IF(K106=0,0,IF(M106="",B106*L106/100,M106))</f>
        <v/>
      </c>
      <c r="O106" s="4" t="n"/>
      <c r="P106" s="5" t="n"/>
      <c r="Q106" s="3" t="n"/>
      <c r="R106" s="3">
        <f>IF(O106=0,0,IF(Q106="",B106*P106/100,Q106))</f>
        <v/>
      </c>
      <c r="S106" s="4" t="n"/>
      <c r="T106" s="5" t="n"/>
      <c r="U106" s="3" t="n"/>
      <c r="V106" s="3">
        <f>IF(S106=0,0,IF(U106="",B106*T106/100,U106))</f>
        <v/>
      </c>
      <c r="W106" s="4" t="n"/>
      <c r="X106" s="5" t="n"/>
      <c r="Y106" s="3" t="n"/>
      <c r="Z106" s="3">
        <f>IF(W106=0,0,IF(Y106="",B106*X106/100,Y106))</f>
        <v/>
      </c>
      <c r="AA106" s="3" t="n"/>
      <c r="AB106" s="3" t="n"/>
      <c r="AC106" s="3">
        <f>B106*0.035</f>
        <v/>
      </c>
      <c r="AD106" s="3">
        <f>B106*0.065</f>
        <v/>
      </c>
      <c r="AE106" s="3">
        <f>SUM(B106,F106,J106,N106,R106,V106,Z106,AA106,AB106,AC106,AD106)</f>
        <v/>
      </c>
      <c r="AF106" s="3">
        <f>B106*0.055</f>
        <v/>
      </c>
      <c r="AG106" s="3">
        <f>B106*0.035</f>
        <v/>
      </c>
      <c r="AH106" s="3">
        <f>B106*0.165</f>
        <v/>
      </c>
      <c r="AI106" s="3">
        <f>MAX(0,AE106-AF106-AH106)</f>
        <v/>
      </c>
      <c r="AJ106" s="3">
        <f>IF(AI106&lt;=490,0,IF(AI106&lt;=600,(AI106-490)*0.05,IF(AI106&lt;=730,5.5+(AI106-600)*0.10,IF(AI106&lt;=3896.67,18.5+(AI106-730)*0.175,IF(AI106&lt;=19896.67,572.67+(AI106-3896.67)*0.25,IF(AI106&lt;=50416.67,4572.67+(AI106-19896.67)*0.30,13728.67+(AI106-50416.67)*0.35))))))</f>
        <v/>
      </c>
      <c r="AK106" s="3" t="n"/>
      <c r="AL106" s="3" t="n"/>
      <c r="AM106" s="3" t="n"/>
      <c r="AN106" s="3" t="n"/>
      <c r="AO106" s="3" t="n"/>
      <c r="AP106" s="3">
        <f>SUM(AF106,AJ106,AK106,AL106,AM106,AN106,AO106,AG106,AH106)</f>
        <v/>
      </c>
      <c r="AQ106" s="3">
        <f>AE106-AP106</f>
        <v/>
      </c>
      <c r="AR106" s="3" t="n"/>
      <c r="AS106" s="3" t="n"/>
      <c r="AT106" s="3">
        <f>AR106-AS106</f>
        <v/>
      </c>
    </row>
    <row r="107">
      <c r="A107" s="2" t="n"/>
      <c r="B107" s="3" t="n"/>
      <c r="C107" s="4" t="n"/>
      <c r="D107" s="5" t="n"/>
      <c r="E107" s="3" t="n"/>
      <c r="F107" s="3">
        <f>IF(C107=0,0,IF(E107="",B107*D107/100,E107))</f>
        <v/>
      </c>
      <c r="G107" s="4" t="n"/>
      <c r="H107" s="5" t="n"/>
      <c r="I107" s="3" t="n"/>
      <c r="J107" s="3">
        <f>IF(G107=0,0,IF(I107="",B107*H107/100,I107))</f>
        <v/>
      </c>
      <c r="K107" s="4" t="n"/>
      <c r="L107" s="5" t="n"/>
      <c r="M107" s="3" t="n"/>
      <c r="N107" s="3">
        <f>IF(K107=0,0,IF(M107="",B107*L107/100,M107))</f>
        <v/>
      </c>
      <c r="O107" s="4" t="n"/>
      <c r="P107" s="5" t="n"/>
      <c r="Q107" s="3" t="n"/>
      <c r="R107" s="3">
        <f>IF(O107=0,0,IF(Q107="",B107*P107/100,Q107))</f>
        <v/>
      </c>
      <c r="S107" s="4" t="n"/>
      <c r="T107" s="5" t="n"/>
      <c r="U107" s="3" t="n"/>
      <c r="V107" s="3">
        <f>IF(S107=0,0,IF(U107="",B107*T107/100,U107))</f>
        <v/>
      </c>
      <c r="W107" s="4" t="n"/>
      <c r="X107" s="5" t="n"/>
      <c r="Y107" s="3" t="n"/>
      <c r="Z107" s="3">
        <f>IF(W107=0,0,IF(Y107="",B107*X107/100,Y107))</f>
        <v/>
      </c>
      <c r="AA107" s="3" t="n"/>
      <c r="AB107" s="3" t="n"/>
      <c r="AC107" s="3">
        <f>B107*0.035</f>
        <v/>
      </c>
      <c r="AD107" s="3">
        <f>B107*0.065</f>
        <v/>
      </c>
      <c r="AE107" s="3">
        <f>SUM(B107,F107,J107,N107,R107,V107,Z107,AA107,AB107,AC107,AD107)</f>
        <v/>
      </c>
      <c r="AF107" s="3">
        <f>B107*0.055</f>
        <v/>
      </c>
      <c r="AG107" s="3">
        <f>B107*0.035</f>
        <v/>
      </c>
      <c r="AH107" s="3">
        <f>B107*0.165</f>
        <v/>
      </c>
      <c r="AI107" s="3">
        <f>MAX(0,AE107-AF107-AH107)</f>
        <v/>
      </c>
      <c r="AJ107" s="3">
        <f>IF(AI107&lt;=490,0,IF(AI107&lt;=600,(AI107-490)*0.05,IF(AI107&lt;=730,5.5+(AI107-600)*0.10,IF(AI107&lt;=3896.67,18.5+(AI107-730)*0.175,IF(AI107&lt;=19896.67,572.67+(AI107-3896.67)*0.25,IF(AI107&lt;=50416.67,4572.67+(AI107-19896.67)*0.30,13728.67+(AI107-50416.67)*0.35))))))</f>
        <v/>
      </c>
      <c r="AK107" s="3" t="n"/>
      <c r="AL107" s="3" t="n"/>
      <c r="AM107" s="3" t="n"/>
      <c r="AN107" s="3" t="n"/>
      <c r="AO107" s="3" t="n"/>
      <c r="AP107" s="3">
        <f>SUM(AF107,AJ107,AK107,AL107,AM107,AN107,AO107,AG107,AH107)</f>
        <v/>
      </c>
      <c r="AQ107" s="3">
        <f>AE107-AP107</f>
        <v/>
      </c>
      <c r="AR107" s="3" t="n"/>
      <c r="AS107" s="3" t="n"/>
      <c r="AT107" s="3">
        <f>AR107-AS107</f>
        <v/>
      </c>
    </row>
    <row r="108">
      <c r="A108" s="2" t="n"/>
      <c r="B108" s="3" t="n"/>
      <c r="C108" s="4" t="n"/>
      <c r="D108" s="5" t="n"/>
      <c r="E108" s="3" t="n"/>
      <c r="F108" s="3">
        <f>IF(C108=0,0,IF(E108="",B108*D108/100,E108))</f>
        <v/>
      </c>
      <c r="G108" s="4" t="n"/>
      <c r="H108" s="5" t="n"/>
      <c r="I108" s="3" t="n"/>
      <c r="J108" s="3">
        <f>IF(G108=0,0,IF(I108="",B108*H108/100,I108))</f>
        <v/>
      </c>
      <c r="K108" s="4" t="n"/>
      <c r="L108" s="5" t="n"/>
      <c r="M108" s="3" t="n"/>
      <c r="N108" s="3">
        <f>IF(K108=0,0,IF(M108="",B108*L108/100,M108))</f>
        <v/>
      </c>
      <c r="O108" s="4" t="n"/>
      <c r="P108" s="5" t="n"/>
      <c r="Q108" s="3" t="n"/>
      <c r="R108" s="3">
        <f>IF(O108=0,0,IF(Q108="",B108*P108/100,Q108))</f>
        <v/>
      </c>
      <c r="S108" s="4" t="n"/>
      <c r="T108" s="5" t="n"/>
      <c r="U108" s="3" t="n"/>
      <c r="V108" s="3">
        <f>IF(S108=0,0,IF(U108="",B108*T108/100,U108))</f>
        <v/>
      </c>
      <c r="W108" s="4" t="n"/>
      <c r="X108" s="5" t="n"/>
      <c r="Y108" s="3" t="n"/>
      <c r="Z108" s="3">
        <f>IF(W108=0,0,IF(Y108="",B108*X108/100,Y108))</f>
        <v/>
      </c>
      <c r="AA108" s="3" t="n"/>
      <c r="AB108" s="3" t="n"/>
      <c r="AC108" s="3">
        <f>B108*0.035</f>
        <v/>
      </c>
      <c r="AD108" s="3">
        <f>B108*0.065</f>
        <v/>
      </c>
      <c r="AE108" s="3">
        <f>SUM(B108,F108,J108,N108,R108,V108,Z108,AA108,AB108,AC108,AD108)</f>
        <v/>
      </c>
      <c r="AF108" s="3">
        <f>B108*0.055</f>
        <v/>
      </c>
      <c r="AG108" s="3">
        <f>B108*0.035</f>
        <v/>
      </c>
      <c r="AH108" s="3">
        <f>B108*0.165</f>
        <v/>
      </c>
      <c r="AI108" s="3">
        <f>MAX(0,AE108-AF108-AH108)</f>
        <v/>
      </c>
      <c r="AJ108" s="3">
        <f>IF(AI108&lt;=490,0,IF(AI108&lt;=600,(AI108-490)*0.05,IF(AI108&lt;=730,5.5+(AI108-600)*0.10,IF(AI108&lt;=3896.67,18.5+(AI108-730)*0.175,IF(AI108&lt;=19896.67,572.67+(AI108-3896.67)*0.25,IF(AI108&lt;=50416.67,4572.67+(AI108-19896.67)*0.30,13728.67+(AI108-50416.67)*0.35))))))</f>
        <v/>
      </c>
      <c r="AK108" s="3" t="n"/>
      <c r="AL108" s="3" t="n"/>
      <c r="AM108" s="3" t="n"/>
      <c r="AN108" s="3" t="n"/>
      <c r="AO108" s="3" t="n"/>
      <c r="AP108" s="3">
        <f>SUM(AF108,AJ108,AK108,AL108,AM108,AN108,AO108,AG108,AH108)</f>
        <v/>
      </c>
      <c r="AQ108" s="3">
        <f>AE108-AP108</f>
        <v/>
      </c>
      <c r="AR108" s="3" t="n"/>
      <c r="AS108" s="3" t="n"/>
      <c r="AT108" s="3">
        <f>AR108-AS108</f>
        <v/>
      </c>
    </row>
    <row r="109">
      <c r="A109" s="2" t="n"/>
      <c r="B109" s="3" t="n"/>
      <c r="C109" s="4" t="n"/>
      <c r="D109" s="5" t="n"/>
      <c r="E109" s="3" t="n"/>
      <c r="F109" s="3">
        <f>IF(C109=0,0,IF(E109="",B109*D109/100,E109))</f>
        <v/>
      </c>
      <c r="G109" s="4" t="n"/>
      <c r="H109" s="5" t="n"/>
      <c r="I109" s="3" t="n"/>
      <c r="J109" s="3">
        <f>IF(G109=0,0,IF(I109="",B109*H109/100,I109))</f>
        <v/>
      </c>
      <c r="K109" s="4" t="n"/>
      <c r="L109" s="5" t="n"/>
      <c r="M109" s="3" t="n"/>
      <c r="N109" s="3">
        <f>IF(K109=0,0,IF(M109="",B109*L109/100,M109))</f>
        <v/>
      </c>
      <c r="O109" s="4" t="n"/>
      <c r="P109" s="5" t="n"/>
      <c r="Q109" s="3" t="n"/>
      <c r="R109" s="3">
        <f>IF(O109=0,0,IF(Q109="",B109*P109/100,Q109))</f>
        <v/>
      </c>
      <c r="S109" s="4" t="n"/>
      <c r="T109" s="5" t="n"/>
      <c r="U109" s="3" t="n"/>
      <c r="V109" s="3">
        <f>IF(S109=0,0,IF(U109="",B109*T109/100,U109))</f>
        <v/>
      </c>
      <c r="W109" s="4" t="n"/>
      <c r="X109" s="5" t="n"/>
      <c r="Y109" s="3" t="n"/>
      <c r="Z109" s="3">
        <f>IF(W109=0,0,IF(Y109="",B109*X109/100,Y109))</f>
        <v/>
      </c>
      <c r="AA109" s="3" t="n"/>
      <c r="AB109" s="3" t="n"/>
      <c r="AC109" s="3">
        <f>B109*0.035</f>
        <v/>
      </c>
      <c r="AD109" s="3">
        <f>B109*0.065</f>
        <v/>
      </c>
      <c r="AE109" s="3">
        <f>SUM(B109,F109,J109,N109,R109,V109,Z109,AA109,AB109,AC109,AD109)</f>
        <v/>
      </c>
      <c r="AF109" s="3">
        <f>B109*0.055</f>
        <v/>
      </c>
      <c r="AG109" s="3">
        <f>B109*0.035</f>
        <v/>
      </c>
      <c r="AH109" s="3">
        <f>B109*0.165</f>
        <v/>
      </c>
      <c r="AI109" s="3">
        <f>MAX(0,AE109-AF109-AH109)</f>
        <v/>
      </c>
      <c r="AJ109" s="3">
        <f>IF(AI109&lt;=490,0,IF(AI109&lt;=600,(AI109-490)*0.05,IF(AI109&lt;=730,5.5+(AI109-600)*0.10,IF(AI109&lt;=3896.67,18.5+(AI109-730)*0.175,IF(AI109&lt;=19896.67,572.67+(AI109-3896.67)*0.25,IF(AI109&lt;=50416.67,4572.67+(AI109-19896.67)*0.30,13728.67+(AI109-50416.67)*0.35))))))</f>
        <v/>
      </c>
      <c r="AK109" s="3" t="n"/>
      <c r="AL109" s="3" t="n"/>
      <c r="AM109" s="3" t="n"/>
      <c r="AN109" s="3" t="n"/>
      <c r="AO109" s="3" t="n"/>
      <c r="AP109" s="3">
        <f>SUM(AF109,AJ109,AK109,AL109,AM109,AN109,AO109,AG109,AH109)</f>
        <v/>
      </c>
      <c r="AQ109" s="3">
        <f>AE109-AP109</f>
        <v/>
      </c>
      <c r="AR109" s="3" t="n"/>
      <c r="AS109" s="3" t="n"/>
      <c r="AT109" s="3">
        <f>AR109-AS109</f>
        <v/>
      </c>
    </row>
    <row r="110">
      <c r="A110" s="2" t="n"/>
      <c r="B110" s="3" t="n"/>
      <c r="C110" s="4" t="n"/>
      <c r="D110" s="5" t="n"/>
      <c r="E110" s="3" t="n"/>
      <c r="F110" s="3">
        <f>IF(C110=0,0,IF(E110="",B110*D110/100,E110))</f>
        <v/>
      </c>
      <c r="G110" s="4" t="n"/>
      <c r="H110" s="5" t="n"/>
      <c r="I110" s="3" t="n"/>
      <c r="J110" s="3">
        <f>IF(G110=0,0,IF(I110="",B110*H110/100,I110))</f>
        <v/>
      </c>
      <c r="K110" s="4" t="n"/>
      <c r="L110" s="5" t="n"/>
      <c r="M110" s="3" t="n"/>
      <c r="N110" s="3">
        <f>IF(K110=0,0,IF(M110="",B110*L110/100,M110))</f>
        <v/>
      </c>
      <c r="O110" s="4" t="n"/>
      <c r="P110" s="5" t="n"/>
      <c r="Q110" s="3" t="n"/>
      <c r="R110" s="3">
        <f>IF(O110=0,0,IF(Q110="",B110*P110/100,Q110))</f>
        <v/>
      </c>
      <c r="S110" s="4" t="n"/>
      <c r="T110" s="5" t="n"/>
      <c r="U110" s="3" t="n"/>
      <c r="V110" s="3">
        <f>IF(S110=0,0,IF(U110="",B110*T110/100,U110))</f>
        <v/>
      </c>
      <c r="W110" s="4" t="n"/>
      <c r="X110" s="5" t="n"/>
      <c r="Y110" s="3" t="n"/>
      <c r="Z110" s="3">
        <f>IF(W110=0,0,IF(Y110="",B110*X110/100,Y110))</f>
        <v/>
      </c>
      <c r="AA110" s="3" t="n"/>
      <c r="AB110" s="3" t="n"/>
      <c r="AC110" s="3">
        <f>B110*0.035</f>
        <v/>
      </c>
      <c r="AD110" s="3">
        <f>B110*0.065</f>
        <v/>
      </c>
      <c r="AE110" s="3">
        <f>SUM(B110,F110,J110,N110,R110,V110,Z110,AA110,AB110,AC110,AD110)</f>
        <v/>
      </c>
      <c r="AF110" s="3">
        <f>B110*0.055</f>
        <v/>
      </c>
      <c r="AG110" s="3">
        <f>B110*0.035</f>
        <v/>
      </c>
      <c r="AH110" s="3">
        <f>B110*0.165</f>
        <v/>
      </c>
      <c r="AI110" s="3">
        <f>MAX(0,AE110-AF110-AH110)</f>
        <v/>
      </c>
      <c r="AJ110" s="3">
        <f>IF(AI110&lt;=490,0,IF(AI110&lt;=600,(AI110-490)*0.05,IF(AI110&lt;=730,5.5+(AI110-600)*0.10,IF(AI110&lt;=3896.67,18.5+(AI110-730)*0.175,IF(AI110&lt;=19896.67,572.67+(AI110-3896.67)*0.25,IF(AI110&lt;=50416.67,4572.67+(AI110-19896.67)*0.30,13728.67+(AI110-50416.67)*0.35))))))</f>
        <v/>
      </c>
      <c r="AK110" s="3" t="n"/>
      <c r="AL110" s="3" t="n"/>
      <c r="AM110" s="3" t="n"/>
      <c r="AN110" s="3" t="n"/>
      <c r="AO110" s="3" t="n"/>
      <c r="AP110" s="3">
        <f>SUM(AF110,AJ110,AK110,AL110,AM110,AN110,AO110,AG110,AH110)</f>
        <v/>
      </c>
      <c r="AQ110" s="3">
        <f>AE110-AP110</f>
        <v/>
      </c>
      <c r="AR110" s="3" t="n"/>
      <c r="AS110" s="3" t="n"/>
      <c r="AT110" s="3">
        <f>AR110-AS110</f>
        <v/>
      </c>
    </row>
    <row r="111">
      <c r="A111" s="2" t="n"/>
      <c r="B111" s="3" t="n"/>
      <c r="C111" s="4" t="n"/>
      <c r="D111" s="5" t="n"/>
      <c r="E111" s="3" t="n"/>
      <c r="F111" s="3">
        <f>IF(C111=0,0,IF(E111="",B111*D111/100,E111))</f>
        <v/>
      </c>
      <c r="G111" s="4" t="n"/>
      <c r="H111" s="5" t="n"/>
      <c r="I111" s="3" t="n"/>
      <c r="J111" s="3">
        <f>IF(G111=0,0,IF(I111="",B111*H111/100,I111))</f>
        <v/>
      </c>
      <c r="K111" s="4" t="n"/>
      <c r="L111" s="5" t="n"/>
      <c r="M111" s="3" t="n"/>
      <c r="N111" s="3">
        <f>IF(K111=0,0,IF(M111="",B111*L111/100,M111))</f>
        <v/>
      </c>
      <c r="O111" s="4" t="n"/>
      <c r="P111" s="5" t="n"/>
      <c r="Q111" s="3" t="n"/>
      <c r="R111" s="3">
        <f>IF(O111=0,0,IF(Q111="",B111*P111/100,Q111))</f>
        <v/>
      </c>
      <c r="S111" s="4" t="n"/>
      <c r="T111" s="5" t="n"/>
      <c r="U111" s="3" t="n"/>
      <c r="V111" s="3">
        <f>IF(S111=0,0,IF(U111="",B111*T111/100,U111))</f>
        <v/>
      </c>
      <c r="W111" s="4" t="n"/>
      <c r="X111" s="5" t="n"/>
      <c r="Y111" s="3" t="n"/>
      <c r="Z111" s="3">
        <f>IF(W111=0,0,IF(Y111="",B111*X111/100,Y111))</f>
        <v/>
      </c>
      <c r="AA111" s="3" t="n"/>
      <c r="AB111" s="3" t="n"/>
      <c r="AC111" s="3">
        <f>B111*0.035</f>
        <v/>
      </c>
      <c r="AD111" s="3">
        <f>B111*0.065</f>
        <v/>
      </c>
      <c r="AE111" s="3">
        <f>SUM(B111,F111,J111,N111,R111,V111,Z111,AA111,AB111,AC111,AD111)</f>
        <v/>
      </c>
      <c r="AF111" s="3">
        <f>B111*0.055</f>
        <v/>
      </c>
      <c r="AG111" s="3">
        <f>B111*0.035</f>
        <v/>
      </c>
      <c r="AH111" s="3">
        <f>B111*0.165</f>
        <v/>
      </c>
      <c r="AI111" s="3">
        <f>MAX(0,AE111-AF111-AH111)</f>
        <v/>
      </c>
      <c r="AJ111" s="3">
        <f>IF(AI111&lt;=490,0,IF(AI111&lt;=600,(AI111-490)*0.05,IF(AI111&lt;=730,5.5+(AI111-600)*0.10,IF(AI111&lt;=3896.67,18.5+(AI111-730)*0.175,IF(AI111&lt;=19896.67,572.67+(AI111-3896.67)*0.25,IF(AI111&lt;=50416.67,4572.67+(AI111-19896.67)*0.30,13728.67+(AI111-50416.67)*0.35))))))</f>
        <v/>
      </c>
      <c r="AK111" s="3" t="n"/>
      <c r="AL111" s="3" t="n"/>
      <c r="AM111" s="3" t="n"/>
      <c r="AN111" s="3" t="n"/>
      <c r="AO111" s="3" t="n"/>
      <c r="AP111" s="3">
        <f>SUM(AF111,AJ111,AK111,AL111,AM111,AN111,AO111,AG111,AH111)</f>
        <v/>
      </c>
      <c r="AQ111" s="3">
        <f>AE111-AP111</f>
        <v/>
      </c>
      <c r="AR111" s="3" t="n"/>
      <c r="AS111" s="3" t="n"/>
      <c r="AT111" s="3">
        <f>AR111-AS111</f>
        <v/>
      </c>
    </row>
    <row r="112">
      <c r="A112" s="2" t="n"/>
      <c r="B112" s="3" t="n"/>
      <c r="C112" s="4" t="n"/>
      <c r="D112" s="5" t="n"/>
      <c r="E112" s="3" t="n"/>
      <c r="F112" s="3">
        <f>IF(C112=0,0,IF(E112="",B112*D112/100,E112))</f>
        <v/>
      </c>
      <c r="G112" s="4" t="n"/>
      <c r="H112" s="5" t="n"/>
      <c r="I112" s="3" t="n"/>
      <c r="J112" s="3">
        <f>IF(G112=0,0,IF(I112="",B112*H112/100,I112))</f>
        <v/>
      </c>
      <c r="K112" s="4" t="n"/>
      <c r="L112" s="5" t="n"/>
      <c r="M112" s="3" t="n"/>
      <c r="N112" s="3">
        <f>IF(K112=0,0,IF(M112="",B112*L112/100,M112))</f>
        <v/>
      </c>
      <c r="O112" s="4" t="n"/>
      <c r="P112" s="5" t="n"/>
      <c r="Q112" s="3" t="n"/>
      <c r="R112" s="3">
        <f>IF(O112=0,0,IF(Q112="",B112*P112/100,Q112))</f>
        <v/>
      </c>
      <c r="S112" s="4" t="n"/>
      <c r="T112" s="5" t="n"/>
      <c r="U112" s="3" t="n"/>
      <c r="V112" s="3">
        <f>IF(S112=0,0,IF(U112="",B112*T112/100,U112))</f>
        <v/>
      </c>
      <c r="W112" s="4" t="n"/>
      <c r="X112" s="5" t="n"/>
      <c r="Y112" s="3" t="n"/>
      <c r="Z112" s="3">
        <f>IF(W112=0,0,IF(Y112="",B112*X112/100,Y112))</f>
        <v/>
      </c>
      <c r="AA112" s="3" t="n"/>
      <c r="AB112" s="3" t="n"/>
      <c r="AC112" s="3">
        <f>B112*0.035</f>
        <v/>
      </c>
      <c r="AD112" s="3">
        <f>B112*0.065</f>
        <v/>
      </c>
      <c r="AE112" s="3">
        <f>SUM(B112,F112,J112,N112,R112,V112,Z112,AA112,AB112,AC112,AD112)</f>
        <v/>
      </c>
      <c r="AF112" s="3">
        <f>B112*0.055</f>
        <v/>
      </c>
      <c r="AG112" s="3">
        <f>B112*0.035</f>
        <v/>
      </c>
      <c r="AH112" s="3">
        <f>B112*0.165</f>
        <v/>
      </c>
      <c r="AI112" s="3">
        <f>MAX(0,AE112-AF112-AH112)</f>
        <v/>
      </c>
      <c r="AJ112" s="3">
        <f>IF(AI112&lt;=490,0,IF(AI112&lt;=600,(AI112-490)*0.05,IF(AI112&lt;=730,5.5+(AI112-600)*0.10,IF(AI112&lt;=3896.67,18.5+(AI112-730)*0.175,IF(AI112&lt;=19896.67,572.67+(AI112-3896.67)*0.25,IF(AI112&lt;=50416.67,4572.67+(AI112-19896.67)*0.30,13728.67+(AI112-50416.67)*0.35))))))</f>
        <v/>
      </c>
      <c r="AK112" s="3" t="n"/>
      <c r="AL112" s="3" t="n"/>
      <c r="AM112" s="3" t="n"/>
      <c r="AN112" s="3" t="n"/>
      <c r="AO112" s="3" t="n"/>
      <c r="AP112" s="3">
        <f>SUM(AF112,AJ112,AK112,AL112,AM112,AN112,AO112,AG112,AH112)</f>
        <v/>
      </c>
      <c r="AQ112" s="3">
        <f>AE112-AP112</f>
        <v/>
      </c>
      <c r="AR112" s="3" t="n"/>
      <c r="AS112" s="3" t="n"/>
      <c r="AT112" s="3">
        <f>AR112-AS112</f>
        <v/>
      </c>
    </row>
    <row r="113">
      <c r="A113" s="2" t="n"/>
      <c r="B113" s="3" t="n"/>
      <c r="C113" s="4" t="n"/>
      <c r="D113" s="5" t="n"/>
      <c r="E113" s="3" t="n"/>
      <c r="F113" s="3">
        <f>IF(C113=0,0,IF(E113="",B113*D113/100,E113))</f>
        <v/>
      </c>
      <c r="G113" s="4" t="n"/>
      <c r="H113" s="5" t="n"/>
      <c r="I113" s="3" t="n"/>
      <c r="J113" s="3">
        <f>IF(G113=0,0,IF(I113="",B113*H113/100,I113))</f>
        <v/>
      </c>
      <c r="K113" s="4" t="n"/>
      <c r="L113" s="5" t="n"/>
      <c r="M113" s="3" t="n"/>
      <c r="N113" s="3">
        <f>IF(K113=0,0,IF(M113="",B113*L113/100,M113))</f>
        <v/>
      </c>
      <c r="O113" s="4" t="n"/>
      <c r="P113" s="5" t="n"/>
      <c r="Q113" s="3" t="n"/>
      <c r="R113" s="3">
        <f>IF(O113=0,0,IF(Q113="",B113*P113/100,Q113))</f>
        <v/>
      </c>
      <c r="S113" s="4" t="n"/>
      <c r="T113" s="5" t="n"/>
      <c r="U113" s="3" t="n"/>
      <c r="V113" s="3">
        <f>IF(S113=0,0,IF(U113="",B113*T113/100,U113))</f>
        <v/>
      </c>
      <c r="W113" s="4" t="n"/>
      <c r="X113" s="5" t="n"/>
      <c r="Y113" s="3" t="n"/>
      <c r="Z113" s="3">
        <f>IF(W113=0,0,IF(Y113="",B113*X113/100,Y113))</f>
        <v/>
      </c>
      <c r="AA113" s="3" t="n"/>
      <c r="AB113" s="3" t="n"/>
      <c r="AC113" s="3">
        <f>B113*0.035</f>
        <v/>
      </c>
      <c r="AD113" s="3">
        <f>B113*0.065</f>
        <v/>
      </c>
      <c r="AE113" s="3">
        <f>SUM(B113,F113,J113,N113,R113,V113,Z113,AA113,AB113,AC113,AD113)</f>
        <v/>
      </c>
      <c r="AF113" s="3">
        <f>B113*0.055</f>
        <v/>
      </c>
      <c r="AG113" s="3">
        <f>B113*0.035</f>
        <v/>
      </c>
      <c r="AH113" s="3">
        <f>B113*0.165</f>
        <v/>
      </c>
      <c r="AI113" s="3">
        <f>MAX(0,AE113-AF113-AH113)</f>
        <v/>
      </c>
      <c r="AJ113" s="3">
        <f>IF(AI113&lt;=490,0,IF(AI113&lt;=600,(AI113-490)*0.05,IF(AI113&lt;=730,5.5+(AI113-600)*0.10,IF(AI113&lt;=3896.67,18.5+(AI113-730)*0.175,IF(AI113&lt;=19896.67,572.67+(AI113-3896.67)*0.25,IF(AI113&lt;=50416.67,4572.67+(AI113-19896.67)*0.30,13728.67+(AI113-50416.67)*0.35))))))</f>
        <v/>
      </c>
      <c r="AK113" s="3" t="n"/>
      <c r="AL113" s="3" t="n"/>
      <c r="AM113" s="3" t="n"/>
      <c r="AN113" s="3" t="n"/>
      <c r="AO113" s="3" t="n"/>
      <c r="AP113" s="3">
        <f>SUM(AF113,AJ113,AK113,AL113,AM113,AN113,AO113,AG113,AH113)</f>
        <v/>
      </c>
      <c r="AQ113" s="3">
        <f>AE113-AP113</f>
        <v/>
      </c>
      <c r="AR113" s="3" t="n"/>
      <c r="AS113" s="3" t="n"/>
      <c r="AT113" s="3">
        <f>AR113-AS113</f>
        <v/>
      </c>
    </row>
    <row r="114">
      <c r="A114" s="2" t="n"/>
      <c r="B114" s="3" t="n"/>
      <c r="C114" s="4" t="n"/>
      <c r="D114" s="5" t="n"/>
      <c r="E114" s="3" t="n"/>
      <c r="F114" s="3">
        <f>IF(C114=0,0,IF(E114="",B114*D114/100,E114))</f>
        <v/>
      </c>
      <c r="G114" s="4" t="n"/>
      <c r="H114" s="5" t="n"/>
      <c r="I114" s="3" t="n"/>
      <c r="J114" s="3">
        <f>IF(G114=0,0,IF(I114="",B114*H114/100,I114))</f>
        <v/>
      </c>
      <c r="K114" s="4" t="n"/>
      <c r="L114" s="5" t="n"/>
      <c r="M114" s="3" t="n"/>
      <c r="N114" s="3">
        <f>IF(K114=0,0,IF(M114="",B114*L114/100,M114))</f>
        <v/>
      </c>
      <c r="O114" s="4" t="n"/>
      <c r="P114" s="5" t="n"/>
      <c r="Q114" s="3" t="n"/>
      <c r="R114" s="3">
        <f>IF(O114=0,0,IF(Q114="",B114*P114/100,Q114))</f>
        <v/>
      </c>
      <c r="S114" s="4" t="n"/>
      <c r="T114" s="5" t="n"/>
      <c r="U114" s="3" t="n"/>
      <c r="V114" s="3">
        <f>IF(S114=0,0,IF(U114="",B114*T114/100,U114))</f>
        <v/>
      </c>
      <c r="W114" s="4" t="n"/>
      <c r="X114" s="5" t="n"/>
      <c r="Y114" s="3" t="n"/>
      <c r="Z114" s="3">
        <f>IF(W114=0,0,IF(Y114="",B114*X114/100,Y114))</f>
        <v/>
      </c>
      <c r="AA114" s="3" t="n"/>
      <c r="AB114" s="3" t="n"/>
      <c r="AC114" s="3">
        <f>B114*0.035</f>
        <v/>
      </c>
      <c r="AD114" s="3">
        <f>B114*0.065</f>
        <v/>
      </c>
      <c r="AE114" s="3">
        <f>SUM(B114,F114,J114,N114,R114,V114,Z114,AA114,AB114,AC114,AD114)</f>
        <v/>
      </c>
      <c r="AF114" s="3">
        <f>B114*0.055</f>
        <v/>
      </c>
      <c r="AG114" s="3">
        <f>B114*0.035</f>
        <v/>
      </c>
      <c r="AH114" s="3">
        <f>B114*0.165</f>
        <v/>
      </c>
      <c r="AI114" s="3">
        <f>MAX(0,AE114-AF114-AH114)</f>
        <v/>
      </c>
      <c r="AJ114" s="3">
        <f>IF(AI114&lt;=490,0,IF(AI114&lt;=600,(AI114-490)*0.05,IF(AI114&lt;=730,5.5+(AI114-600)*0.10,IF(AI114&lt;=3896.67,18.5+(AI114-730)*0.175,IF(AI114&lt;=19896.67,572.67+(AI114-3896.67)*0.25,IF(AI114&lt;=50416.67,4572.67+(AI114-19896.67)*0.30,13728.67+(AI114-50416.67)*0.35))))))</f>
        <v/>
      </c>
      <c r="AK114" s="3" t="n"/>
      <c r="AL114" s="3" t="n"/>
      <c r="AM114" s="3" t="n"/>
      <c r="AN114" s="3" t="n"/>
      <c r="AO114" s="3" t="n"/>
      <c r="AP114" s="3">
        <f>SUM(AF114,AJ114,AK114,AL114,AM114,AN114,AO114,AG114,AH114)</f>
        <v/>
      </c>
      <c r="AQ114" s="3">
        <f>AE114-AP114</f>
        <v/>
      </c>
      <c r="AR114" s="3" t="n"/>
      <c r="AS114" s="3" t="n"/>
      <c r="AT114" s="3">
        <f>AR114-AS114</f>
        <v/>
      </c>
    </row>
    <row r="115">
      <c r="A115" s="2" t="n"/>
      <c r="B115" s="3" t="n"/>
      <c r="C115" s="4" t="n"/>
      <c r="D115" s="5" t="n"/>
      <c r="E115" s="3" t="n"/>
      <c r="F115" s="3">
        <f>IF(C115=0,0,IF(E115="",B115*D115/100,E115))</f>
        <v/>
      </c>
      <c r="G115" s="4" t="n"/>
      <c r="H115" s="5" t="n"/>
      <c r="I115" s="3" t="n"/>
      <c r="J115" s="3">
        <f>IF(G115=0,0,IF(I115="",B115*H115/100,I115))</f>
        <v/>
      </c>
      <c r="K115" s="4" t="n"/>
      <c r="L115" s="5" t="n"/>
      <c r="M115" s="3" t="n"/>
      <c r="N115" s="3">
        <f>IF(K115=0,0,IF(M115="",B115*L115/100,M115))</f>
        <v/>
      </c>
      <c r="O115" s="4" t="n"/>
      <c r="P115" s="5" t="n"/>
      <c r="Q115" s="3" t="n"/>
      <c r="R115" s="3">
        <f>IF(O115=0,0,IF(Q115="",B115*P115/100,Q115))</f>
        <v/>
      </c>
      <c r="S115" s="4" t="n"/>
      <c r="T115" s="5" t="n"/>
      <c r="U115" s="3" t="n"/>
      <c r="V115" s="3">
        <f>IF(S115=0,0,IF(U115="",B115*T115/100,U115))</f>
        <v/>
      </c>
      <c r="W115" s="4" t="n"/>
      <c r="X115" s="5" t="n"/>
      <c r="Y115" s="3" t="n"/>
      <c r="Z115" s="3">
        <f>IF(W115=0,0,IF(Y115="",B115*X115/100,Y115))</f>
        <v/>
      </c>
      <c r="AA115" s="3" t="n"/>
      <c r="AB115" s="3" t="n"/>
      <c r="AC115" s="3">
        <f>B115*0.035</f>
        <v/>
      </c>
      <c r="AD115" s="3">
        <f>B115*0.065</f>
        <v/>
      </c>
      <c r="AE115" s="3">
        <f>SUM(B115,F115,J115,N115,R115,V115,Z115,AA115,AB115,AC115,AD115)</f>
        <v/>
      </c>
      <c r="AF115" s="3">
        <f>B115*0.055</f>
        <v/>
      </c>
      <c r="AG115" s="3">
        <f>B115*0.035</f>
        <v/>
      </c>
      <c r="AH115" s="3">
        <f>B115*0.165</f>
        <v/>
      </c>
      <c r="AI115" s="3">
        <f>MAX(0,AE115-AF115-AH115)</f>
        <v/>
      </c>
      <c r="AJ115" s="3">
        <f>IF(AI115&lt;=490,0,IF(AI115&lt;=600,(AI115-490)*0.05,IF(AI115&lt;=730,5.5+(AI115-600)*0.10,IF(AI115&lt;=3896.67,18.5+(AI115-730)*0.175,IF(AI115&lt;=19896.67,572.67+(AI115-3896.67)*0.25,IF(AI115&lt;=50416.67,4572.67+(AI115-19896.67)*0.30,13728.67+(AI115-50416.67)*0.35))))))</f>
        <v/>
      </c>
      <c r="AK115" s="3" t="n"/>
      <c r="AL115" s="3" t="n"/>
      <c r="AM115" s="3" t="n"/>
      <c r="AN115" s="3" t="n"/>
      <c r="AO115" s="3" t="n"/>
      <c r="AP115" s="3">
        <f>SUM(AF115,AJ115,AK115,AL115,AM115,AN115,AO115,AG115,AH115)</f>
        <v/>
      </c>
      <c r="AQ115" s="3">
        <f>AE115-AP115</f>
        <v/>
      </c>
      <c r="AR115" s="3" t="n"/>
      <c r="AS115" s="3" t="n"/>
      <c r="AT115" s="3">
        <f>AR115-AS115</f>
        <v/>
      </c>
    </row>
    <row r="116">
      <c r="A116" s="2" t="n"/>
      <c r="B116" s="3" t="n"/>
      <c r="C116" s="4" t="n"/>
      <c r="D116" s="5" t="n"/>
      <c r="E116" s="3" t="n"/>
      <c r="F116" s="3">
        <f>IF(C116=0,0,IF(E116="",B116*D116/100,E116))</f>
        <v/>
      </c>
      <c r="G116" s="4" t="n"/>
      <c r="H116" s="5" t="n"/>
      <c r="I116" s="3" t="n"/>
      <c r="J116" s="3">
        <f>IF(G116=0,0,IF(I116="",B116*H116/100,I116))</f>
        <v/>
      </c>
      <c r="K116" s="4" t="n"/>
      <c r="L116" s="5" t="n"/>
      <c r="M116" s="3" t="n"/>
      <c r="N116" s="3">
        <f>IF(K116=0,0,IF(M116="",B116*L116/100,M116))</f>
        <v/>
      </c>
      <c r="O116" s="4" t="n"/>
      <c r="P116" s="5" t="n"/>
      <c r="Q116" s="3" t="n"/>
      <c r="R116" s="3">
        <f>IF(O116=0,0,IF(Q116="",B116*P116/100,Q116))</f>
        <v/>
      </c>
      <c r="S116" s="4" t="n"/>
      <c r="T116" s="5" t="n"/>
      <c r="U116" s="3" t="n"/>
      <c r="V116" s="3">
        <f>IF(S116=0,0,IF(U116="",B116*T116/100,U116))</f>
        <v/>
      </c>
      <c r="W116" s="4" t="n"/>
      <c r="X116" s="5" t="n"/>
      <c r="Y116" s="3" t="n"/>
      <c r="Z116" s="3">
        <f>IF(W116=0,0,IF(Y116="",B116*X116/100,Y116))</f>
        <v/>
      </c>
      <c r="AA116" s="3" t="n"/>
      <c r="AB116" s="3" t="n"/>
      <c r="AC116" s="3">
        <f>B116*0.035</f>
        <v/>
      </c>
      <c r="AD116" s="3">
        <f>B116*0.065</f>
        <v/>
      </c>
      <c r="AE116" s="3">
        <f>SUM(B116,F116,J116,N116,R116,V116,Z116,AA116,AB116,AC116,AD116)</f>
        <v/>
      </c>
      <c r="AF116" s="3">
        <f>B116*0.055</f>
        <v/>
      </c>
      <c r="AG116" s="3">
        <f>B116*0.035</f>
        <v/>
      </c>
      <c r="AH116" s="3">
        <f>B116*0.165</f>
        <v/>
      </c>
      <c r="AI116" s="3">
        <f>MAX(0,AE116-AF116-AH116)</f>
        <v/>
      </c>
      <c r="AJ116" s="3">
        <f>IF(AI116&lt;=490,0,IF(AI116&lt;=600,(AI116-490)*0.05,IF(AI116&lt;=730,5.5+(AI116-600)*0.10,IF(AI116&lt;=3896.67,18.5+(AI116-730)*0.175,IF(AI116&lt;=19896.67,572.67+(AI116-3896.67)*0.25,IF(AI116&lt;=50416.67,4572.67+(AI116-19896.67)*0.30,13728.67+(AI116-50416.67)*0.35))))))</f>
        <v/>
      </c>
      <c r="AK116" s="3" t="n"/>
      <c r="AL116" s="3" t="n"/>
      <c r="AM116" s="3" t="n"/>
      <c r="AN116" s="3" t="n"/>
      <c r="AO116" s="3" t="n"/>
      <c r="AP116" s="3">
        <f>SUM(AF116,AJ116,AK116,AL116,AM116,AN116,AO116,AG116,AH116)</f>
        <v/>
      </c>
      <c r="AQ116" s="3">
        <f>AE116-AP116</f>
        <v/>
      </c>
      <c r="AR116" s="3" t="n"/>
      <c r="AS116" s="3" t="n"/>
      <c r="AT116" s="3">
        <f>AR116-AS116</f>
        <v/>
      </c>
    </row>
    <row r="117">
      <c r="A117" s="2" t="n"/>
      <c r="B117" s="3" t="n"/>
      <c r="C117" s="4" t="n"/>
      <c r="D117" s="5" t="n"/>
      <c r="E117" s="3" t="n"/>
      <c r="F117" s="3">
        <f>IF(C117=0,0,IF(E117="",B117*D117/100,E117))</f>
        <v/>
      </c>
      <c r="G117" s="4" t="n"/>
      <c r="H117" s="5" t="n"/>
      <c r="I117" s="3" t="n"/>
      <c r="J117" s="3">
        <f>IF(G117=0,0,IF(I117="",B117*H117/100,I117))</f>
        <v/>
      </c>
      <c r="K117" s="4" t="n"/>
      <c r="L117" s="5" t="n"/>
      <c r="M117" s="3" t="n"/>
      <c r="N117" s="3">
        <f>IF(K117=0,0,IF(M117="",B117*L117/100,M117))</f>
        <v/>
      </c>
      <c r="O117" s="4" t="n"/>
      <c r="P117" s="5" t="n"/>
      <c r="Q117" s="3" t="n"/>
      <c r="R117" s="3">
        <f>IF(O117=0,0,IF(Q117="",B117*P117/100,Q117))</f>
        <v/>
      </c>
      <c r="S117" s="4" t="n"/>
      <c r="T117" s="5" t="n"/>
      <c r="U117" s="3" t="n"/>
      <c r="V117" s="3">
        <f>IF(S117=0,0,IF(U117="",B117*T117/100,U117))</f>
        <v/>
      </c>
      <c r="W117" s="4" t="n"/>
      <c r="X117" s="5" t="n"/>
      <c r="Y117" s="3" t="n"/>
      <c r="Z117" s="3">
        <f>IF(W117=0,0,IF(Y117="",B117*X117/100,Y117))</f>
        <v/>
      </c>
      <c r="AA117" s="3" t="n"/>
      <c r="AB117" s="3" t="n"/>
      <c r="AC117" s="3">
        <f>B117*0.035</f>
        <v/>
      </c>
      <c r="AD117" s="3">
        <f>B117*0.065</f>
        <v/>
      </c>
      <c r="AE117" s="3">
        <f>SUM(B117,F117,J117,N117,R117,V117,Z117,AA117,AB117,AC117,AD117)</f>
        <v/>
      </c>
      <c r="AF117" s="3">
        <f>B117*0.055</f>
        <v/>
      </c>
      <c r="AG117" s="3">
        <f>B117*0.035</f>
        <v/>
      </c>
      <c r="AH117" s="3">
        <f>B117*0.165</f>
        <v/>
      </c>
      <c r="AI117" s="3">
        <f>MAX(0,AE117-AF117-AH117)</f>
        <v/>
      </c>
      <c r="AJ117" s="3">
        <f>IF(AI117&lt;=490,0,IF(AI117&lt;=600,(AI117-490)*0.05,IF(AI117&lt;=730,5.5+(AI117-600)*0.10,IF(AI117&lt;=3896.67,18.5+(AI117-730)*0.175,IF(AI117&lt;=19896.67,572.67+(AI117-3896.67)*0.25,IF(AI117&lt;=50416.67,4572.67+(AI117-19896.67)*0.30,13728.67+(AI117-50416.67)*0.35))))))</f>
        <v/>
      </c>
      <c r="AK117" s="3" t="n"/>
      <c r="AL117" s="3" t="n"/>
      <c r="AM117" s="3" t="n"/>
      <c r="AN117" s="3" t="n"/>
      <c r="AO117" s="3" t="n"/>
      <c r="AP117" s="3">
        <f>SUM(AF117,AJ117,AK117,AL117,AM117,AN117,AO117,AG117,AH117)</f>
        <v/>
      </c>
      <c r="AQ117" s="3">
        <f>AE117-AP117</f>
        <v/>
      </c>
      <c r="AR117" s="3" t="n"/>
      <c r="AS117" s="3" t="n"/>
      <c r="AT117" s="3">
        <f>AR117-AS117</f>
        <v/>
      </c>
    </row>
    <row r="118">
      <c r="A118" s="2" t="n"/>
      <c r="B118" s="3" t="n"/>
      <c r="C118" s="4" t="n"/>
      <c r="D118" s="5" t="n"/>
      <c r="E118" s="3" t="n"/>
      <c r="F118" s="3">
        <f>IF(C118=0,0,IF(E118="",B118*D118/100,E118))</f>
        <v/>
      </c>
      <c r="G118" s="4" t="n"/>
      <c r="H118" s="5" t="n"/>
      <c r="I118" s="3" t="n"/>
      <c r="J118" s="3">
        <f>IF(G118=0,0,IF(I118="",B118*H118/100,I118))</f>
        <v/>
      </c>
      <c r="K118" s="4" t="n"/>
      <c r="L118" s="5" t="n"/>
      <c r="M118" s="3" t="n"/>
      <c r="N118" s="3">
        <f>IF(K118=0,0,IF(M118="",B118*L118/100,M118))</f>
        <v/>
      </c>
      <c r="O118" s="4" t="n"/>
      <c r="P118" s="5" t="n"/>
      <c r="Q118" s="3" t="n"/>
      <c r="R118" s="3">
        <f>IF(O118=0,0,IF(Q118="",B118*P118/100,Q118))</f>
        <v/>
      </c>
      <c r="S118" s="4" t="n"/>
      <c r="T118" s="5" t="n"/>
      <c r="U118" s="3" t="n"/>
      <c r="V118" s="3">
        <f>IF(S118=0,0,IF(U118="",B118*T118/100,U118))</f>
        <v/>
      </c>
      <c r="W118" s="4" t="n"/>
      <c r="X118" s="5" t="n"/>
      <c r="Y118" s="3" t="n"/>
      <c r="Z118" s="3">
        <f>IF(W118=0,0,IF(Y118="",B118*X118/100,Y118))</f>
        <v/>
      </c>
      <c r="AA118" s="3" t="n"/>
      <c r="AB118" s="3" t="n"/>
      <c r="AC118" s="3">
        <f>B118*0.035</f>
        <v/>
      </c>
      <c r="AD118" s="3">
        <f>B118*0.065</f>
        <v/>
      </c>
      <c r="AE118" s="3">
        <f>SUM(B118,F118,J118,N118,R118,V118,Z118,AA118,AB118,AC118,AD118)</f>
        <v/>
      </c>
      <c r="AF118" s="3">
        <f>B118*0.055</f>
        <v/>
      </c>
      <c r="AG118" s="3">
        <f>B118*0.035</f>
        <v/>
      </c>
      <c r="AH118" s="3">
        <f>B118*0.165</f>
        <v/>
      </c>
      <c r="AI118" s="3">
        <f>MAX(0,AE118-AF118-AH118)</f>
        <v/>
      </c>
      <c r="AJ118" s="3">
        <f>IF(AI118&lt;=490,0,IF(AI118&lt;=600,(AI118-490)*0.05,IF(AI118&lt;=730,5.5+(AI118-600)*0.10,IF(AI118&lt;=3896.67,18.5+(AI118-730)*0.175,IF(AI118&lt;=19896.67,572.67+(AI118-3896.67)*0.25,IF(AI118&lt;=50416.67,4572.67+(AI118-19896.67)*0.30,13728.67+(AI118-50416.67)*0.35))))))</f>
        <v/>
      </c>
      <c r="AK118" s="3" t="n"/>
      <c r="AL118" s="3" t="n"/>
      <c r="AM118" s="3" t="n"/>
      <c r="AN118" s="3" t="n"/>
      <c r="AO118" s="3" t="n"/>
      <c r="AP118" s="3">
        <f>SUM(AF118,AJ118,AK118,AL118,AM118,AN118,AO118,AG118,AH118)</f>
        <v/>
      </c>
      <c r="AQ118" s="3">
        <f>AE118-AP118</f>
        <v/>
      </c>
      <c r="AR118" s="3" t="n"/>
      <c r="AS118" s="3" t="n"/>
      <c r="AT118" s="3">
        <f>AR118-AS118</f>
        <v/>
      </c>
    </row>
    <row r="119">
      <c r="A119" s="2" t="n"/>
      <c r="B119" s="3" t="n"/>
      <c r="C119" s="4" t="n"/>
      <c r="D119" s="5" t="n"/>
      <c r="E119" s="3" t="n"/>
      <c r="F119" s="3">
        <f>IF(C119=0,0,IF(E119="",B119*D119/100,E119))</f>
        <v/>
      </c>
      <c r="G119" s="4" t="n"/>
      <c r="H119" s="5" t="n"/>
      <c r="I119" s="3" t="n"/>
      <c r="J119" s="3">
        <f>IF(G119=0,0,IF(I119="",B119*H119/100,I119))</f>
        <v/>
      </c>
      <c r="K119" s="4" t="n"/>
      <c r="L119" s="5" t="n"/>
      <c r="M119" s="3" t="n"/>
      <c r="N119" s="3">
        <f>IF(K119=0,0,IF(M119="",B119*L119/100,M119))</f>
        <v/>
      </c>
      <c r="O119" s="4" t="n"/>
      <c r="P119" s="5" t="n"/>
      <c r="Q119" s="3" t="n"/>
      <c r="R119" s="3">
        <f>IF(O119=0,0,IF(Q119="",B119*P119/100,Q119))</f>
        <v/>
      </c>
      <c r="S119" s="4" t="n"/>
      <c r="T119" s="5" t="n"/>
      <c r="U119" s="3" t="n"/>
      <c r="V119" s="3">
        <f>IF(S119=0,0,IF(U119="",B119*T119/100,U119))</f>
        <v/>
      </c>
      <c r="W119" s="4" t="n"/>
      <c r="X119" s="5" t="n"/>
      <c r="Y119" s="3" t="n"/>
      <c r="Z119" s="3">
        <f>IF(W119=0,0,IF(Y119="",B119*X119/100,Y119))</f>
        <v/>
      </c>
      <c r="AA119" s="3" t="n"/>
      <c r="AB119" s="3" t="n"/>
      <c r="AC119" s="3">
        <f>B119*0.035</f>
        <v/>
      </c>
      <c r="AD119" s="3">
        <f>B119*0.065</f>
        <v/>
      </c>
      <c r="AE119" s="3">
        <f>SUM(B119,F119,J119,N119,R119,V119,Z119,AA119,AB119,AC119,AD119)</f>
        <v/>
      </c>
      <c r="AF119" s="3">
        <f>B119*0.055</f>
        <v/>
      </c>
      <c r="AG119" s="3">
        <f>B119*0.035</f>
        <v/>
      </c>
      <c r="AH119" s="3">
        <f>B119*0.165</f>
        <v/>
      </c>
      <c r="AI119" s="3">
        <f>MAX(0,AE119-AF119-AH119)</f>
        <v/>
      </c>
      <c r="AJ119" s="3">
        <f>IF(AI119&lt;=490,0,IF(AI119&lt;=600,(AI119-490)*0.05,IF(AI119&lt;=730,5.5+(AI119-600)*0.10,IF(AI119&lt;=3896.67,18.5+(AI119-730)*0.175,IF(AI119&lt;=19896.67,572.67+(AI119-3896.67)*0.25,IF(AI119&lt;=50416.67,4572.67+(AI119-19896.67)*0.30,13728.67+(AI119-50416.67)*0.35))))))</f>
        <v/>
      </c>
      <c r="AK119" s="3" t="n"/>
      <c r="AL119" s="3" t="n"/>
      <c r="AM119" s="3" t="n"/>
      <c r="AN119" s="3" t="n"/>
      <c r="AO119" s="3" t="n"/>
      <c r="AP119" s="3">
        <f>SUM(AF119,AJ119,AK119,AL119,AM119,AN119,AO119,AG119,AH119)</f>
        <v/>
      </c>
      <c r="AQ119" s="3">
        <f>AE119-AP119</f>
        <v/>
      </c>
      <c r="AR119" s="3" t="n"/>
      <c r="AS119" s="3" t="n"/>
      <c r="AT119" s="3">
        <f>AR119-AS119</f>
        <v/>
      </c>
    </row>
    <row r="120">
      <c r="A120" s="2" t="n"/>
      <c r="B120" s="3" t="n"/>
      <c r="C120" s="4" t="n"/>
      <c r="D120" s="5" t="n"/>
      <c r="E120" s="3" t="n"/>
      <c r="F120" s="3">
        <f>IF(C120=0,0,IF(E120="",B120*D120/100,E120))</f>
        <v/>
      </c>
      <c r="G120" s="4" t="n"/>
      <c r="H120" s="5" t="n"/>
      <c r="I120" s="3" t="n"/>
      <c r="J120" s="3">
        <f>IF(G120=0,0,IF(I120="",B120*H120/100,I120))</f>
        <v/>
      </c>
      <c r="K120" s="4" t="n"/>
      <c r="L120" s="5" t="n"/>
      <c r="M120" s="3" t="n"/>
      <c r="N120" s="3">
        <f>IF(K120=0,0,IF(M120="",B120*L120/100,M120))</f>
        <v/>
      </c>
      <c r="O120" s="4" t="n"/>
      <c r="P120" s="5" t="n"/>
      <c r="Q120" s="3" t="n"/>
      <c r="R120" s="3">
        <f>IF(O120=0,0,IF(Q120="",B120*P120/100,Q120))</f>
        <v/>
      </c>
      <c r="S120" s="4" t="n"/>
      <c r="T120" s="5" t="n"/>
      <c r="U120" s="3" t="n"/>
      <c r="V120" s="3">
        <f>IF(S120=0,0,IF(U120="",B120*T120/100,U120))</f>
        <v/>
      </c>
      <c r="W120" s="4" t="n"/>
      <c r="X120" s="5" t="n"/>
      <c r="Y120" s="3" t="n"/>
      <c r="Z120" s="3">
        <f>IF(W120=0,0,IF(Y120="",B120*X120/100,Y120))</f>
        <v/>
      </c>
      <c r="AA120" s="3" t="n"/>
      <c r="AB120" s="3" t="n"/>
      <c r="AC120" s="3">
        <f>B120*0.035</f>
        <v/>
      </c>
      <c r="AD120" s="3">
        <f>B120*0.065</f>
        <v/>
      </c>
      <c r="AE120" s="3">
        <f>SUM(B120,F120,J120,N120,R120,V120,Z120,AA120,AB120,AC120,AD120)</f>
        <v/>
      </c>
      <c r="AF120" s="3">
        <f>B120*0.055</f>
        <v/>
      </c>
      <c r="AG120" s="3">
        <f>B120*0.035</f>
        <v/>
      </c>
      <c r="AH120" s="3">
        <f>B120*0.165</f>
        <v/>
      </c>
      <c r="AI120" s="3">
        <f>MAX(0,AE120-AF120-AH120)</f>
        <v/>
      </c>
      <c r="AJ120" s="3">
        <f>IF(AI120&lt;=490,0,IF(AI120&lt;=600,(AI120-490)*0.05,IF(AI120&lt;=730,5.5+(AI120-600)*0.10,IF(AI120&lt;=3896.67,18.5+(AI120-730)*0.175,IF(AI120&lt;=19896.67,572.67+(AI120-3896.67)*0.25,IF(AI120&lt;=50416.67,4572.67+(AI120-19896.67)*0.30,13728.67+(AI120-50416.67)*0.35))))))</f>
        <v/>
      </c>
      <c r="AK120" s="3" t="n"/>
      <c r="AL120" s="3" t="n"/>
      <c r="AM120" s="3" t="n"/>
      <c r="AN120" s="3" t="n"/>
      <c r="AO120" s="3" t="n"/>
      <c r="AP120" s="3">
        <f>SUM(AF120,AJ120,AK120,AL120,AM120,AN120,AO120,AG120,AH120)</f>
        <v/>
      </c>
      <c r="AQ120" s="3">
        <f>AE120-AP120</f>
        <v/>
      </c>
      <c r="AR120" s="3" t="n"/>
      <c r="AS120" s="3" t="n"/>
      <c r="AT120" s="3">
        <f>AR120-AS120</f>
        <v/>
      </c>
    </row>
    <row r="121">
      <c r="A121" s="2" t="n"/>
      <c r="B121" s="3" t="n"/>
      <c r="C121" s="4" t="n"/>
      <c r="D121" s="5" t="n"/>
      <c r="E121" s="3" t="n"/>
      <c r="F121" s="3">
        <f>IF(C121=0,0,IF(E121="",B121*D121/100,E121))</f>
        <v/>
      </c>
      <c r="G121" s="4" t="n"/>
      <c r="H121" s="5" t="n"/>
      <c r="I121" s="3" t="n"/>
      <c r="J121" s="3">
        <f>IF(G121=0,0,IF(I121="",B121*H121/100,I121))</f>
        <v/>
      </c>
      <c r="K121" s="4" t="n"/>
      <c r="L121" s="5" t="n"/>
      <c r="M121" s="3" t="n"/>
      <c r="N121" s="3">
        <f>IF(K121=0,0,IF(M121="",B121*L121/100,M121))</f>
        <v/>
      </c>
      <c r="O121" s="4" t="n"/>
      <c r="P121" s="5" t="n"/>
      <c r="Q121" s="3" t="n"/>
      <c r="R121" s="3">
        <f>IF(O121=0,0,IF(Q121="",B121*P121/100,Q121))</f>
        <v/>
      </c>
      <c r="S121" s="4" t="n"/>
      <c r="T121" s="5" t="n"/>
      <c r="U121" s="3" t="n"/>
      <c r="V121" s="3">
        <f>IF(S121=0,0,IF(U121="",B121*T121/100,U121))</f>
        <v/>
      </c>
      <c r="W121" s="4" t="n"/>
      <c r="X121" s="5" t="n"/>
      <c r="Y121" s="3" t="n"/>
      <c r="Z121" s="3">
        <f>IF(W121=0,0,IF(Y121="",B121*X121/100,Y121))</f>
        <v/>
      </c>
      <c r="AA121" s="3" t="n"/>
      <c r="AB121" s="3" t="n"/>
      <c r="AC121" s="3">
        <f>B121*0.035</f>
        <v/>
      </c>
      <c r="AD121" s="3">
        <f>B121*0.065</f>
        <v/>
      </c>
      <c r="AE121" s="3">
        <f>SUM(B121,F121,J121,N121,R121,V121,Z121,AA121,AB121,AC121,AD121)</f>
        <v/>
      </c>
      <c r="AF121" s="3">
        <f>B121*0.055</f>
        <v/>
      </c>
      <c r="AG121" s="3">
        <f>B121*0.035</f>
        <v/>
      </c>
      <c r="AH121" s="3">
        <f>B121*0.165</f>
        <v/>
      </c>
      <c r="AI121" s="3">
        <f>MAX(0,AE121-AF121-AH121)</f>
        <v/>
      </c>
      <c r="AJ121" s="3">
        <f>IF(AI121&lt;=490,0,IF(AI121&lt;=600,(AI121-490)*0.05,IF(AI121&lt;=730,5.5+(AI121-600)*0.10,IF(AI121&lt;=3896.67,18.5+(AI121-730)*0.175,IF(AI121&lt;=19896.67,572.67+(AI121-3896.67)*0.25,IF(AI121&lt;=50416.67,4572.67+(AI121-19896.67)*0.30,13728.67+(AI121-50416.67)*0.35))))))</f>
        <v/>
      </c>
      <c r="AK121" s="3" t="n"/>
      <c r="AL121" s="3" t="n"/>
      <c r="AM121" s="3" t="n"/>
      <c r="AN121" s="3" t="n"/>
      <c r="AO121" s="3" t="n"/>
      <c r="AP121" s="3">
        <f>SUM(AF121,AJ121,AK121,AL121,AM121,AN121,AO121,AG121,AH121)</f>
        <v/>
      </c>
      <c r="AQ121" s="3">
        <f>AE121-AP121</f>
        <v/>
      </c>
      <c r="AR121" s="3" t="n"/>
      <c r="AS121" s="3" t="n"/>
      <c r="AT121" s="3">
        <f>AR121-AS121</f>
        <v/>
      </c>
    </row>
    <row r="122">
      <c r="A122" s="2" t="n"/>
      <c r="B122" s="3" t="n"/>
      <c r="C122" s="4" t="n"/>
      <c r="D122" s="5" t="n"/>
      <c r="E122" s="3" t="n"/>
      <c r="F122" s="3">
        <f>IF(C122=0,0,IF(E122="",B122*D122/100,E122))</f>
        <v/>
      </c>
      <c r="G122" s="4" t="n"/>
      <c r="H122" s="5" t="n"/>
      <c r="I122" s="3" t="n"/>
      <c r="J122" s="3">
        <f>IF(G122=0,0,IF(I122="",B122*H122/100,I122))</f>
        <v/>
      </c>
      <c r="K122" s="4" t="n"/>
      <c r="L122" s="5" t="n"/>
      <c r="M122" s="3" t="n"/>
      <c r="N122" s="3">
        <f>IF(K122=0,0,IF(M122="",B122*L122/100,M122))</f>
        <v/>
      </c>
      <c r="O122" s="4" t="n"/>
      <c r="P122" s="5" t="n"/>
      <c r="Q122" s="3" t="n"/>
      <c r="R122" s="3">
        <f>IF(O122=0,0,IF(Q122="",B122*P122/100,Q122))</f>
        <v/>
      </c>
      <c r="S122" s="4" t="n"/>
      <c r="T122" s="5" t="n"/>
      <c r="U122" s="3" t="n"/>
      <c r="V122" s="3">
        <f>IF(S122=0,0,IF(U122="",B122*T122/100,U122))</f>
        <v/>
      </c>
      <c r="W122" s="4" t="n"/>
      <c r="X122" s="5" t="n"/>
      <c r="Y122" s="3" t="n"/>
      <c r="Z122" s="3">
        <f>IF(W122=0,0,IF(Y122="",B122*X122/100,Y122))</f>
        <v/>
      </c>
      <c r="AA122" s="3" t="n"/>
      <c r="AB122" s="3" t="n"/>
      <c r="AC122" s="3">
        <f>B122*0.035</f>
        <v/>
      </c>
      <c r="AD122" s="3">
        <f>B122*0.065</f>
        <v/>
      </c>
      <c r="AE122" s="3">
        <f>SUM(B122,F122,J122,N122,R122,V122,Z122,AA122,AB122,AC122,AD122)</f>
        <v/>
      </c>
      <c r="AF122" s="3">
        <f>B122*0.055</f>
        <v/>
      </c>
      <c r="AG122" s="3">
        <f>B122*0.035</f>
        <v/>
      </c>
      <c r="AH122" s="3">
        <f>B122*0.165</f>
        <v/>
      </c>
      <c r="AI122" s="3">
        <f>MAX(0,AE122-AF122-AH122)</f>
        <v/>
      </c>
      <c r="AJ122" s="3">
        <f>IF(AI122&lt;=490,0,IF(AI122&lt;=600,(AI122-490)*0.05,IF(AI122&lt;=730,5.5+(AI122-600)*0.10,IF(AI122&lt;=3896.67,18.5+(AI122-730)*0.175,IF(AI122&lt;=19896.67,572.67+(AI122-3896.67)*0.25,IF(AI122&lt;=50416.67,4572.67+(AI122-19896.67)*0.30,13728.67+(AI122-50416.67)*0.35))))))</f>
        <v/>
      </c>
      <c r="AK122" s="3" t="n"/>
      <c r="AL122" s="3" t="n"/>
      <c r="AM122" s="3" t="n"/>
      <c r="AN122" s="3" t="n"/>
      <c r="AO122" s="3" t="n"/>
      <c r="AP122" s="3">
        <f>SUM(AF122,AJ122,AK122,AL122,AM122,AN122,AO122,AG122,AH122)</f>
        <v/>
      </c>
      <c r="AQ122" s="3">
        <f>AE122-AP122</f>
        <v/>
      </c>
      <c r="AR122" s="3" t="n"/>
      <c r="AS122" s="3" t="n"/>
      <c r="AT122" s="3">
        <f>AR122-AS122</f>
        <v/>
      </c>
    </row>
    <row r="123">
      <c r="A123" s="2" t="n"/>
      <c r="B123" s="3" t="n"/>
      <c r="C123" s="4" t="n"/>
      <c r="D123" s="5" t="n"/>
      <c r="E123" s="3" t="n"/>
      <c r="F123" s="3">
        <f>IF(C123=0,0,IF(E123="",B123*D123/100,E123))</f>
        <v/>
      </c>
      <c r="G123" s="4" t="n"/>
      <c r="H123" s="5" t="n"/>
      <c r="I123" s="3" t="n"/>
      <c r="J123" s="3">
        <f>IF(G123=0,0,IF(I123="",B123*H123/100,I123))</f>
        <v/>
      </c>
      <c r="K123" s="4" t="n"/>
      <c r="L123" s="5" t="n"/>
      <c r="M123" s="3" t="n"/>
      <c r="N123" s="3">
        <f>IF(K123=0,0,IF(M123="",B123*L123/100,M123))</f>
        <v/>
      </c>
      <c r="O123" s="4" t="n"/>
      <c r="P123" s="5" t="n"/>
      <c r="Q123" s="3" t="n"/>
      <c r="R123" s="3">
        <f>IF(O123=0,0,IF(Q123="",B123*P123/100,Q123))</f>
        <v/>
      </c>
      <c r="S123" s="4" t="n"/>
      <c r="T123" s="5" t="n"/>
      <c r="U123" s="3" t="n"/>
      <c r="V123" s="3">
        <f>IF(S123=0,0,IF(U123="",B123*T123/100,U123))</f>
        <v/>
      </c>
      <c r="W123" s="4" t="n"/>
      <c r="X123" s="5" t="n"/>
      <c r="Y123" s="3" t="n"/>
      <c r="Z123" s="3">
        <f>IF(W123=0,0,IF(Y123="",B123*X123/100,Y123))</f>
        <v/>
      </c>
      <c r="AA123" s="3" t="n"/>
      <c r="AB123" s="3" t="n"/>
      <c r="AC123" s="3">
        <f>B123*0.035</f>
        <v/>
      </c>
      <c r="AD123" s="3">
        <f>B123*0.065</f>
        <v/>
      </c>
      <c r="AE123" s="3">
        <f>SUM(B123,F123,J123,N123,R123,V123,Z123,AA123,AB123,AC123,AD123)</f>
        <v/>
      </c>
      <c r="AF123" s="3">
        <f>B123*0.055</f>
        <v/>
      </c>
      <c r="AG123" s="3">
        <f>B123*0.035</f>
        <v/>
      </c>
      <c r="AH123" s="3">
        <f>B123*0.165</f>
        <v/>
      </c>
      <c r="AI123" s="3">
        <f>MAX(0,AE123-AF123-AH123)</f>
        <v/>
      </c>
      <c r="AJ123" s="3">
        <f>IF(AI123&lt;=490,0,IF(AI123&lt;=600,(AI123-490)*0.05,IF(AI123&lt;=730,5.5+(AI123-600)*0.10,IF(AI123&lt;=3896.67,18.5+(AI123-730)*0.175,IF(AI123&lt;=19896.67,572.67+(AI123-3896.67)*0.25,IF(AI123&lt;=50416.67,4572.67+(AI123-19896.67)*0.30,13728.67+(AI123-50416.67)*0.35))))))</f>
        <v/>
      </c>
      <c r="AK123" s="3" t="n"/>
      <c r="AL123" s="3" t="n"/>
      <c r="AM123" s="3" t="n"/>
      <c r="AN123" s="3" t="n"/>
      <c r="AO123" s="3" t="n"/>
      <c r="AP123" s="3">
        <f>SUM(AF123,AJ123,AK123,AL123,AM123,AN123,AO123,AG123,AH123)</f>
        <v/>
      </c>
      <c r="AQ123" s="3">
        <f>AE123-AP123</f>
        <v/>
      </c>
      <c r="AR123" s="3" t="n"/>
      <c r="AS123" s="3" t="n"/>
      <c r="AT123" s="3">
        <f>AR123-AS123</f>
        <v/>
      </c>
    </row>
    <row r="124">
      <c r="A124" s="2" t="n"/>
      <c r="B124" s="3" t="n"/>
      <c r="C124" s="4" t="n"/>
      <c r="D124" s="5" t="n"/>
      <c r="E124" s="3" t="n"/>
      <c r="F124" s="3">
        <f>IF(C124=0,0,IF(E124="",B124*D124/100,E124))</f>
        <v/>
      </c>
      <c r="G124" s="4" t="n"/>
      <c r="H124" s="5" t="n"/>
      <c r="I124" s="3" t="n"/>
      <c r="J124" s="3">
        <f>IF(G124=0,0,IF(I124="",B124*H124/100,I124))</f>
        <v/>
      </c>
      <c r="K124" s="4" t="n"/>
      <c r="L124" s="5" t="n"/>
      <c r="M124" s="3" t="n"/>
      <c r="N124" s="3">
        <f>IF(K124=0,0,IF(M124="",B124*L124/100,M124))</f>
        <v/>
      </c>
      <c r="O124" s="4" t="n"/>
      <c r="P124" s="5" t="n"/>
      <c r="Q124" s="3" t="n"/>
      <c r="R124" s="3">
        <f>IF(O124=0,0,IF(Q124="",B124*P124/100,Q124))</f>
        <v/>
      </c>
      <c r="S124" s="4" t="n"/>
      <c r="T124" s="5" t="n"/>
      <c r="U124" s="3" t="n"/>
      <c r="V124" s="3">
        <f>IF(S124=0,0,IF(U124="",B124*T124/100,U124))</f>
        <v/>
      </c>
      <c r="W124" s="4" t="n"/>
      <c r="X124" s="5" t="n"/>
      <c r="Y124" s="3" t="n"/>
      <c r="Z124" s="3">
        <f>IF(W124=0,0,IF(Y124="",B124*X124/100,Y124))</f>
        <v/>
      </c>
      <c r="AA124" s="3" t="n"/>
      <c r="AB124" s="3" t="n"/>
      <c r="AC124" s="3">
        <f>B124*0.035</f>
        <v/>
      </c>
      <c r="AD124" s="3">
        <f>B124*0.065</f>
        <v/>
      </c>
      <c r="AE124" s="3">
        <f>SUM(B124,F124,J124,N124,R124,V124,Z124,AA124,AB124,AC124,AD124)</f>
        <v/>
      </c>
      <c r="AF124" s="3">
        <f>B124*0.055</f>
        <v/>
      </c>
      <c r="AG124" s="3">
        <f>B124*0.035</f>
        <v/>
      </c>
      <c r="AH124" s="3">
        <f>B124*0.165</f>
        <v/>
      </c>
      <c r="AI124" s="3">
        <f>MAX(0,AE124-AF124-AH124)</f>
        <v/>
      </c>
      <c r="AJ124" s="3">
        <f>IF(AI124&lt;=490,0,IF(AI124&lt;=600,(AI124-490)*0.05,IF(AI124&lt;=730,5.5+(AI124-600)*0.10,IF(AI124&lt;=3896.67,18.5+(AI124-730)*0.175,IF(AI124&lt;=19896.67,572.67+(AI124-3896.67)*0.25,IF(AI124&lt;=50416.67,4572.67+(AI124-19896.67)*0.30,13728.67+(AI124-50416.67)*0.35))))))</f>
        <v/>
      </c>
      <c r="AK124" s="3" t="n"/>
      <c r="AL124" s="3" t="n"/>
      <c r="AM124" s="3" t="n"/>
      <c r="AN124" s="3" t="n"/>
      <c r="AO124" s="3" t="n"/>
      <c r="AP124" s="3">
        <f>SUM(AF124,AJ124,AK124,AL124,AM124,AN124,AO124,AG124,AH124)</f>
        <v/>
      </c>
      <c r="AQ124" s="3">
        <f>AE124-AP124</f>
        <v/>
      </c>
      <c r="AR124" s="3" t="n"/>
      <c r="AS124" s="3" t="n"/>
      <c r="AT124" s="3">
        <f>AR124-AS124</f>
        <v/>
      </c>
    </row>
    <row r="125">
      <c r="A125" s="2" t="n"/>
      <c r="B125" s="3" t="n"/>
      <c r="C125" s="4" t="n"/>
      <c r="D125" s="5" t="n"/>
      <c r="E125" s="3" t="n"/>
      <c r="F125" s="3">
        <f>IF(C125=0,0,IF(E125="",B125*D125/100,E125))</f>
        <v/>
      </c>
      <c r="G125" s="4" t="n"/>
      <c r="H125" s="5" t="n"/>
      <c r="I125" s="3" t="n"/>
      <c r="J125" s="3">
        <f>IF(G125=0,0,IF(I125="",B125*H125/100,I125))</f>
        <v/>
      </c>
      <c r="K125" s="4" t="n"/>
      <c r="L125" s="5" t="n"/>
      <c r="M125" s="3" t="n"/>
      <c r="N125" s="3">
        <f>IF(K125=0,0,IF(M125="",B125*L125/100,M125))</f>
        <v/>
      </c>
      <c r="O125" s="4" t="n"/>
      <c r="P125" s="5" t="n"/>
      <c r="Q125" s="3" t="n"/>
      <c r="R125" s="3">
        <f>IF(O125=0,0,IF(Q125="",B125*P125/100,Q125))</f>
        <v/>
      </c>
      <c r="S125" s="4" t="n"/>
      <c r="T125" s="5" t="n"/>
      <c r="U125" s="3" t="n"/>
      <c r="V125" s="3">
        <f>IF(S125=0,0,IF(U125="",B125*T125/100,U125))</f>
        <v/>
      </c>
      <c r="W125" s="4" t="n"/>
      <c r="X125" s="5" t="n"/>
      <c r="Y125" s="3" t="n"/>
      <c r="Z125" s="3">
        <f>IF(W125=0,0,IF(Y125="",B125*X125/100,Y125))</f>
        <v/>
      </c>
      <c r="AA125" s="3" t="n"/>
      <c r="AB125" s="3" t="n"/>
      <c r="AC125" s="3">
        <f>B125*0.035</f>
        <v/>
      </c>
      <c r="AD125" s="3">
        <f>B125*0.065</f>
        <v/>
      </c>
      <c r="AE125" s="3">
        <f>SUM(B125,F125,J125,N125,R125,V125,Z125,AA125,AB125,AC125,AD125)</f>
        <v/>
      </c>
      <c r="AF125" s="3">
        <f>B125*0.055</f>
        <v/>
      </c>
      <c r="AG125" s="3">
        <f>B125*0.035</f>
        <v/>
      </c>
      <c r="AH125" s="3">
        <f>B125*0.165</f>
        <v/>
      </c>
      <c r="AI125" s="3">
        <f>MAX(0,AE125-AF125-AH125)</f>
        <v/>
      </c>
      <c r="AJ125" s="3">
        <f>IF(AI125&lt;=490,0,IF(AI125&lt;=600,(AI125-490)*0.05,IF(AI125&lt;=730,5.5+(AI125-600)*0.10,IF(AI125&lt;=3896.67,18.5+(AI125-730)*0.175,IF(AI125&lt;=19896.67,572.67+(AI125-3896.67)*0.25,IF(AI125&lt;=50416.67,4572.67+(AI125-19896.67)*0.30,13728.67+(AI125-50416.67)*0.35))))))</f>
        <v/>
      </c>
      <c r="AK125" s="3" t="n"/>
      <c r="AL125" s="3" t="n"/>
      <c r="AM125" s="3" t="n"/>
      <c r="AN125" s="3" t="n"/>
      <c r="AO125" s="3" t="n"/>
      <c r="AP125" s="3">
        <f>SUM(AF125,AJ125,AK125,AL125,AM125,AN125,AO125,AG125,AH125)</f>
        <v/>
      </c>
      <c r="AQ125" s="3">
        <f>AE125-AP125</f>
        <v/>
      </c>
      <c r="AR125" s="3" t="n"/>
      <c r="AS125" s="3" t="n"/>
      <c r="AT125" s="3">
        <f>AR125-AS125</f>
        <v/>
      </c>
    </row>
    <row r="126">
      <c r="A126" s="2" t="n"/>
      <c r="B126" s="3" t="n"/>
      <c r="C126" s="4" t="n"/>
      <c r="D126" s="5" t="n"/>
      <c r="E126" s="3" t="n"/>
      <c r="F126" s="3">
        <f>IF(C126=0,0,IF(E126="",B126*D126/100,E126))</f>
        <v/>
      </c>
      <c r="G126" s="4" t="n"/>
      <c r="H126" s="5" t="n"/>
      <c r="I126" s="3" t="n"/>
      <c r="J126" s="3">
        <f>IF(G126=0,0,IF(I126="",B126*H126/100,I126))</f>
        <v/>
      </c>
      <c r="K126" s="4" t="n"/>
      <c r="L126" s="5" t="n"/>
      <c r="M126" s="3" t="n"/>
      <c r="N126" s="3">
        <f>IF(K126=0,0,IF(M126="",B126*L126/100,M126))</f>
        <v/>
      </c>
      <c r="O126" s="4" t="n"/>
      <c r="P126" s="5" t="n"/>
      <c r="Q126" s="3" t="n"/>
      <c r="R126" s="3">
        <f>IF(O126=0,0,IF(Q126="",B126*P126/100,Q126))</f>
        <v/>
      </c>
      <c r="S126" s="4" t="n"/>
      <c r="T126" s="5" t="n"/>
      <c r="U126" s="3" t="n"/>
      <c r="V126" s="3">
        <f>IF(S126=0,0,IF(U126="",B126*T126/100,U126))</f>
        <v/>
      </c>
      <c r="W126" s="4" t="n"/>
      <c r="X126" s="5" t="n"/>
      <c r="Y126" s="3" t="n"/>
      <c r="Z126" s="3">
        <f>IF(W126=0,0,IF(Y126="",B126*X126/100,Y126))</f>
        <v/>
      </c>
      <c r="AA126" s="3" t="n"/>
      <c r="AB126" s="3" t="n"/>
      <c r="AC126" s="3">
        <f>B126*0.035</f>
        <v/>
      </c>
      <c r="AD126" s="3">
        <f>B126*0.065</f>
        <v/>
      </c>
      <c r="AE126" s="3">
        <f>SUM(B126,F126,J126,N126,R126,V126,Z126,AA126,AB126,AC126,AD126)</f>
        <v/>
      </c>
      <c r="AF126" s="3">
        <f>B126*0.055</f>
        <v/>
      </c>
      <c r="AG126" s="3">
        <f>B126*0.035</f>
        <v/>
      </c>
      <c r="AH126" s="3">
        <f>B126*0.165</f>
        <v/>
      </c>
      <c r="AI126" s="3">
        <f>MAX(0,AE126-AF126-AH126)</f>
        <v/>
      </c>
      <c r="AJ126" s="3">
        <f>IF(AI126&lt;=490,0,IF(AI126&lt;=600,(AI126-490)*0.05,IF(AI126&lt;=730,5.5+(AI126-600)*0.10,IF(AI126&lt;=3896.67,18.5+(AI126-730)*0.175,IF(AI126&lt;=19896.67,572.67+(AI126-3896.67)*0.25,IF(AI126&lt;=50416.67,4572.67+(AI126-19896.67)*0.30,13728.67+(AI126-50416.67)*0.35))))))</f>
        <v/>
      </c>
      <c r="AK126" s="3" t="n"/>
      <c r="AL126" s="3" t="n"/>
      <c r="AM126" s="3" t="n"/>
      <c r="AN126" s="3" t="n"/>
      <c r="AO126" s="3" t="n"/>
      <c r="AP126" s="3">
        <f>SUM(AF126,AJ126,AK126,AL126,AM126,AN126,AO126,AG126,AH126)</f>
        <v/>
      </c>
      <c r="AQ126" s="3">
        <f>AE126-AP126</f>
        <v/>
      </c>
      <c r="AR126" s="3" t="n"/>
      <c r="AS126" s="3" t="n"/>
      <c r="AT126" s="3">
        <f>AR126-AS126</f>
        <v/>
      </c>
    </row>
    <row r="127">
      <c r="A127" s="2" t="n"/>
      <c r="B127" s="3" t="n"/>
      <c r="C127" s="4" t="n"/>
      <c r="D127" s="5" t="n"/>
      <c r="E127" s="3" t="n"/>
      <c r="F127" s="3">
        <f>IF(C127=0,0,IF(E127="",B127*D127/100,E127))</f>
        <v/>
      </c>
      <c r="G127" s="4" t="n"/>
      <c r="H127" s="5" t="n"/>
      <c r="I127" s="3" t="n"/>
      <c r="J127" s="3">
        <f>IF(G127=0,0,IF(I127="",B127*H127/100,I127))</f>
        <v/>
      </c>
      <c r="K127" s="4" t="n"/>
      <c r="L127" s="5" t="n"/>
      <c r="M127" s="3" t="n"/>
      <c r="N127" s="3">
        <f>IF(K127=0,0,IF(M127="",B127*L127/100,M127))</f>
        <v/>
      </c>
      <c r="O127" s="4" t="n"/>
      <c r="P127" s="5" t="n"/>
      <c r="Q127" s="3" t="n"/>
      <c r="R127" s="3">
        <f>IF(O127=0,0,IF(Q127="",B127*P127/100,Q127))</f>
        <v/>
      </c>
      <c r="S127" s="4" t="n"/>
      <c r="T127" s="5" t="n"/>
      <c r="U127" s="3" t="n"/>
      <c r="V127" s="3">
        <f>IF(S127=0,0,IF(U127="",B127*T127/100,U127))</f>
        <v/>
      </c>
      <c r="W127" s="4" t="n"/>
      <c r="X127" s="5" t="n"/>
      <c r="Y127" s="3" t="n"/>
      <c r="Z127" s="3">
        <f>IF(W127=0,0,IF(Y127="",B127*X127/100,Y127))</f>
        <v/>
      </c>
      <c r="AA127" s="3" t="n"/>
      <c r="AB127" s="3" t="n"/>
      <c r="AC127" s="3">
        <f>B127*0.035</f>
        <v/>
      </c>
      <c r="AD127" s="3">
        <f>B127*0.065</f>
        <v/>
      </c>
      <c r="AE127" s="3">
        <f>SUM(B127,F127,J127,N127,R127,V127,Z127,AA127,AB127,AC127,AD127)</f>
        <v/>
      </c>
      <c r="AF127" s="3">
        <f>B127*0.055</f>
        <v/>
      </c>
      <c r="AG127" s="3">
        <f>B127*0.035</f>
        <v/>
      </c>
      <c r="AH127" s="3">
        <f>B127*0.165</f>
        <v/>
      </c>
      <c r="AI127" s="3">
        <f>MAX(0,AE127-AF127-AH127)</f>
        <v/>
      </c>
      <c r="AJ127" s="3">
        <f>IF(AI127&lt;=490,0,IF(AI127&lt;=600,(AI127-490)*0.05,IF(AI127&lt;=730,5.5+(AI127-600)*0.10,IF(AI127&lt;=3896.67,18.5+(AI127-730)*0.175,IF(AI127&lt;=19896.67,572.67+(AI127-3896.67)*0.25,IF(AI127&lt;=50416.67,4572.67+(AI127-19896.67)*0.30,13728.67+(AI127-50416.67)*0.35))))))</f>
        <v/>
      </c>
      <c r="AK127" s="3" t="n"/>
      <c r="AL127" s="3" t="n"/>
      <c r="AM127" s="3" t="n"/>
      <c r="AN127" s="3" t="n"/>
      <c r="AO127" s="3" t="n"/>
      <c r="AP127" s="3">
        <f>SUM(AF127,AJ127,AK127,AL127,AM127,AN127,AO127,AG127,AH127)</f>
        <v/>
      </c>
      <c r="AQ127" s="3">
        <f>AE127-AP127</f>
        <v/>
      </c>
      <c r="AR127" s="3" t="n"/>
      <c r="AS127" s="3" t="n"/>
      <c r="AT127" s="3">
        <f>AR127-AS127</f>
        <v/>
      </c>
    </row>
    <row r="128">
      <c r="A128" s="2" t="n"/>
      <c r="B128" s="3" t="n"/>
      <c r="C128" s="4" t="n"/>
      <c r="D128" s="5" t="n"/>
      <c r="E128" s="3" t="n"/>
      <c r="F128" s="3">
        <f>IF(C128=0,0,IF(E128="",B128*D128/100,E128))</f>
        <v/>
      </c>
      <c r="G128" s="4" t="n"/>
      <c r="H128" s="5" t="n"/>
      <c r="I128" s="3" t="n"/>
      <c r="J128" s="3">
        <f>IF(G128=0,0,IF(I128="",B128*H128/100,I128))</f>
        <v/>
      </c>
      <c r="K128" s="4" t="n"/>
      <c r="L128" s="5" t="n"/>
      <c r="M128" s="3" t="n"/>
      <c r="N128" s="3">
        <f>IF(K128=0,0,IF(M128="",B128*L128/100,M128))</f>
        <v/>
      </c>
      <c r="O128" s="4" t="n"/>
      <c r="P128" s="5" t="n"/>
      <c r="Q128" s="3" t="n"/>
      <c r="R128" s="3">
        <f>IF(O128=0,0,IF(Q128="",B128*P128/100,Q128))</f>
        <v/>
      </c>
      <c r="S128" s="4" t="n"/>
      <c r="T128" s="5" t="n"/>
      <c r="U128" s="3" t="n"/>
      <c r="V128" s="3">
        <f>IF(S128=0,0,IF(U128="",B128*T128/100,U128))</f>
        <v/>
      </c>
      <c r="W128" s="4" t="n"/>
      <c r="X128" s="5" t="n"/>
      <c r="Y128" s="3" t="n"/>
      <c r="Z128" s="3">
        <f>IF(W128=0,0,IF(Y128="",B128*X128/100,Y128))</f>
        <v/>
      </c>
      <c r="AA128" s="3" t="n"/>
      <c r="AB128" s="3" t="n"/>
      <c r="AC128" s="3">
        <f>B128*0.035</f>
        <v/>
      </c>
      <c r="AD128" s="3">
        <f>B128*0.065</f>
        <v/>
      </c>
      <c r="AE128" s="3">
        <f>SUM(B128,F128,J128,N128,R128,V128,Z128,AA128,AB128,AC128,AD128)</f>
        <v/>
      </c>
      <c r="AF128" s="3">
        <f>B128*0.055</f>
        <v/>
      </c>
      <c r="AG128" s="3">
        <f>B128*0.035</f>
        <v/>
      </c>
      <c r="AH128" s="3">
        <f>B128*0.165</f>
        <v/>
      </c>
      <c r="AI128" s="3">
        <f>MAX(0,AE128-AF128-AH128)</f>
        <v/>
      </c>
      <c r="AJ128" s="3">
        <f>IF(AI128&lt;=490,0,IF(AI128&lt;=600,(AI128-490)*0.05,IF(AI128&lt;=730,5.5+(AI128-600)*0.10,IF(AI128&lt;=3896.67,18.5+(AI128-730)*0.175,IF(AI128&lt;=19896.67,572.67+(AI128-3896.67)*0.25,IF(AI128&lt;=50416.67,4572.67+(AI128-19896.67)*0.30,13728.67+(AI128-50416.67)*0.35))))))</f>
        <v/>
      </c>
      <c r="AK128" s="3" t="n"/>
      <c r="AL128" s="3" t="n"/>
      <c r="AM128" s="3" t="n"/>
      <c r="AN128" s="3" t="n"/>
      <c r="AO128" s="3" t="n"/>
      <c r="AP128" s="3">
        <f>SUM(AF128,AJ128,AK128,AL128,AM128,AN128,AO128,AG128,AH128)</f>
        <v/>
      </c>
      <c r="AQ128" s="3">
        <f>AE128-AP128</f>
        <v/>
      </c>
      <c r="AR128" s="3" t="n"/>
      <c r="AS128" s="3" t="n"/>
      <c r="AT128" s="3">
        <f>AR128-AS128</f>
        <v/>
      </c>
    </row>
    <row r="129">
      <c r="A129" s="2" t="n"/>
      <c r="B129" s="3" t="n"/>
      <c r="C129" s="4" t="n"/>
      <c r="D129" s="5" t="n"/>
      <c r="E129" s="3" t="n"/>
      <c r="F129" s="3">
        <f>IF(C129=0,0,IF(E129="",B129*D129/100,E129))</f>
        <v/>
      </c>
      <c r="G129" s="4" t="n"/>
      <c r="H129" s="5" t="n"/>
      <c r="I129" s="3" t="n"/>
      <c r="J129" s="3">
        <f>IF(G129=0,0,IF(I129="",B129*H129/100,I129))</f>
        <v/>
      </c>
      <c r="K129" s="4" t="n"/>
      <c r="L129" s="5" t="n"/>
      <c r="M129" s="3" t="n"/>
      <c r="N129" s="3">
        <f>IF(K129=0,0,IF(M129="",B129*L129/100,M129))</f>
        <v/>
      </c>
      <c r="O129" s="4" t="n"/>
      <c r="P129" s="5" t="n"/>
      <c r="Q129" s="3" t="n"/>
      <c r="R129" s="3">
        <f>IF(O129=0,0,IF(Q129="",B129*P129/100,Q129))</f>
        <v/>
      </c>
      <c r="S129" s="4" t="n"/>
      <c r="T129" s="5" t="n"/>
      <c r="U129" s="3" t="n"/>
      <c r="V129" s="3">
        <f>IF(S129=0,0,IF(U129="",B129*T129/100,U129))</f>
        <v/>
      </c>
      <c r="W129" s="4" t="n"/>
      <c r="X129" s="5" t="n"/>
      <c r="Y129" s="3" t="n"/>
      <c r="Z129" s="3">
        <f>IF(W129=0,0,IF(Y129="",B129*X129/100,Y129))</f>
        <v/>
      </c>
      <c r="AA129" s="3" t="n"/>
      <c r="AB129" s="3" t="n"/>
      <c r="AC129" s="3">
        <f>B129*0.035</f>
        <v/>
      </c>
      <c r="AD129" s="3">
        <f>B129*0.065</f>
        <v/>
      </c>
      <c r="AE129" s="3">
        <f>SUM(B129,F129,J129,N129,R129,V129,Z129,AA129,AB129,AC129,AD129)</f>
        <v/>
      </c>
      <c r="AF129" s="3">
        <f>B129*0.055</f>
        <v/>
      </c>
      <c r="AG129" s="3">
        <f>B129*0.035</f>
        <v/>
      </c>
      <c r="AH129" s="3">
        <f>B129*0.165</f>
        <v/>
      </c>
      <c r="AI129" s="3">
        <f>MAX(0,AE129-AF129-AH129)</f>
        <v/>
      </c>
      <c r="AJ129" s="3">
        <f>IF(AI129&lt;=490,0,IF(AI129&lt;=600,(AI129-490)*0.05,IF(AI129&lt;=730,5.5+(AI129-600)*0.10,IF(AI129&lt;=3896.67,18.5+(AI129-730)*0.175,IF(AI129&lt;=19896.67,572.67+(AI129-3896.67)*0.25,IF(AI129&lt;=50416.67,4572.67+(AI129-19896.67)*0.30,13728.67+(AI129-50416.67)*0.35))))))</f>
        <v/>
      </c>
      <c r="AK129" s="3" t="n"/>
      <c r="AL129" s="3" t="n"/>
      <c r="AM129" s="3" t="n"/>
      <c r="AN129" s="3" t="n"/>
      <c r="AO129" s="3" t="n"/>
      <c r="AP129" s="3">
        <f>SUM(AF129,AJ129,AK129,AL129,AM129,AN129,AO129,AG129,AH129)</f>
        <v/>
      </c>
      <c r="AQ129" s="3">
        <f>AE129-AP129</f>
        <v/>
      </c>
      <c r="AR129" s="3" t="n"/>
      <c r="AS129" s="3" t="n"/>
      <c r="AT129" s="3">
        <f>AR129-AS129</f>
        <v/>
      </c>
    </row>
    <row r="130">
      <c r="A130" s="2" t="n"/>
      <c r="B130" s="3" t="n"/>
      <c r="C130" s="4" t="n"/>
      <c r="D130" s="5" t="n"/>
      <c r="E130" s="3" t="n"/>
      <c r="F130" s="3">
        <f>IF(C130=0,0,IF(E130="",B130*D130/100,E130))</f>
        <v/>
      </c>
      <c r="G130" s="4" t="n"/>
      <c r="H130" s="5" t="n"/>
      <c r="I130" s="3" t="n"/>
      <c r="J130" s="3">
        <f>IF(G130=0,0,IF(I130="",B130*H130/100,I130))</f>
        <v/>
      </c>
      <c r="K130" s="4" t="n"/>
      <c r="L130" s="5" t="n"/>
      <c r="M130" s="3" t="n"/>
      <c r="N130" s="3">
        <f>IF(K130=0,0,IF(M130="",B130*L130/100,M130))</f>
        <v/>
      </c>
      <c r="O130" s="4" t="n"/>
      <c r="P130" s="5" t="n"/>
      <c r="Q130" s="3" t="n"/>
      <c r="R130" s="3">
        <f>IF(O130=0,0,IF(Q130="",B130*P130/100,Q130))</f>
        <v/>
      </c>
      <c r="S130" s="4" t="n"/>
      <c r="T130" s="5" t="n"/>
      <c r="U130" s="3" t="n"/>
      <c r="V130" s="3">
        <f>IF(S130=0,0,IF(U130="",B130*T130/100,U130))</f>
        <v/>
      </c>
      <c r="W130" s="4" t="n"/>
      <c r="X130" s="5" t="n"/>
      <c r="Y130" s="3" t="n"/>
      <c r="Z130" s="3">
        <f>IF(W130=0,0,IF(Y130="",B130*X130/100,Y130))</f>
        <v/>
      </c>
      <c r="AA130" s="3" t="n"/>
      <c r="AB130" s="3" t="n"/>
      <c r="AC130" s="3">
        <f>B130*0.035</f>
        <v/>
      </c>
      <c r="AD130" s="3">
        <f>B130*0.065</f>
        <v/>
      </c>
      <c r="AE130" s="3">
        <f>SUM(B130,F130,J130,N130,R130,V130,Z130,AA130,AB130,AC130,AD130)</f>
        <v/>
      </c>
      <c r="AF130" s="3">
        <f>B130*0.055</f>
        <v/>
      </c>
      <c r="AG130" s="3">
        <f>B130*0.035</f>
        <v/>
      </c>
      <c r="AH130" s="3">
        <f>B130*0.165</f>
        <v/>
      </c>
      <c r="AI130" s="3">
        <f>MAX(0,AE130-AF130-AH130)</f>
        <v/>
      </c>
      <c r="AJ130" s="3">
        <f>IF(AI130&lt;=490,0,IF(AI130&lt;=600,(AI130-490)*0.05,IF(AI130&lt;=730,5.5+(AI130-600)*0.10,IF(AI130&lt;=3896.67,18.5+(AI130-730)*0.175,IF(AI130&lt;=19896.67,572.67+(AI130-3896.67)*0.25,IF(AI130&lt;=50416.67,4572.67+(AI130-19896.67)*0.30,13728.67+(AI130-50416.67)*0.35))))))</f>
        <v/>
      </c>
      <c r="AK130" s="3" t="n"/>
      <c r="AL130" s="3" t="n"/>
      <c r="AM130" s="3" t="n"/>
      <c r="AN130" s="3" t="n"/>
      <c r="AO130" s="3" t="n"/>
      <c r="AP130" s="3">
        <f>SUM(AF130,AJ130,AK130,AL130,AM130,AN130,AO130,AG130,AH130)</f>
        <v/>
      </c>
      <c r="AQ130" s="3">
        <f>AE130-AP130</f>
        <v/>
      </c>
      <c r="AR130" s="3" t="n"/>
      <c r="AS130" s="3" t="n"/>
      <c r="AT130" s="3">
        <f>AR130-AS130</f>
        <v/>
      </c>
    </row>
    <row r="131">
      <c r="A131" s="2" t="n"/>
      <c r="B131" s="3" t="n"/>
      <c r="C131" s="4" t="n"/>
      <c r="D131" s="5" t="n"/>
      <c r="E131" s="3" t="n"/>
      <c r="F131" s="3">
        <f>IF(C131=0,0,IF(E131="",B131*D131/100,E131))</f>
        <v/>
      </c>
      <c r="G131" s="4" t="n"/>
      <c r="H131" s="5" t="n"/>
      <c r="I131" s="3" t="n"/>
      <c r="J131" s="3">
        <f>IF(G131=0,0,IF(I131="",B131*H131/100,I131))</f>
        <v/>
      </c>
      <c r="K131" s="4" t="n"/>
      <c r="L131" s="5" t="n"/>
      <c r="M131" s="3" t="n"/>
      <c r="N131" s="3">
        <f>IF(K131=0,0,IF(M131="",B131*L131/100,M131))</f>
        <v/>
      </c>
      <c r="O131" s="4" t="n"/>
      <c r="P131" s="5" t="n"/>
      <c r="Q131" s="3" t="n"/>
      <c r="R131" s="3">
        <f>IF(O131=0,0,IF(Q131="",B131*P131/100,Q131))</f>
        <v/>
      </c>
      <c r="S131" s="4" t="n"/>
      <c r="T131" s="5" t="n"/>
      <c r="U131" s="3" t="n"/>
      <c r="V131" s="3">
        <f>IF(S131=0,0,IF(U131="",B131*T131/100,U131))</f>
        <v/>
      </c>
      <c r="W131" s="4" t="n"/>
      <c r="X131" s="5" t="n"/>
      <c r="Y131" s="3" t="n"/>
      <c r="Z131" s="3">
        <f>IF(W131=0,0,IF(Y131="",B131*X131/100,Y131))</f>
        <v/>
      </c>
      <c r="AA131" s="3" t="n"/>
      <c r="AB131" s="3" t="n"/>
      <c r="AC131" s="3">
        <f>B131*0.035</f>
        <v/>
      </c>
      <c r="AD131" s="3">
        <f>B131*0.065</f>
        <v/>
      </c>
      <c r="AE131" s="3">
        <f>SUM(B131,F131,J131,N131,R131,V131,Z131,AA131,AB131,AC131,AD131)</f>
        <v/>
      </c>
      <c r="AF131" s="3">
        <f>B131*0.055</f>
        <v/>
      </c>
      <c r="AG131" s="3">
        <f>B131*0.035</f>
        <v/>
      </c>
      <c r="AH131" s="3">
        <f>B131*0.165</f>
        <v/>
      </c>
      <c r="AI131" s="3">
        <f>MAX(0,AE131-AF131-AH131)</f>
        <v/>
      </c>
      <c r="AJ131" s="3">
        <f>IF(AI131&lt;=490,0,IF(AI131&lt;=600,(AI131-490)*0.05,IF(AI131&lt;=730,5.5+(AI131-600)*0.10,IF(AI131&lt;=3896.67,18.5+(AI131-730)*0.175,IF(AI131&lt;=19896.67,572.67+(AI131-3896.67)*0.25,IF(AI131&lt;=50416.67,4572.67+(AI131-19896.67)*0.30,13728.67+(AI131-50416.67)*0.35))))))</f>
        <v/>
      </c>
      <c r="AK131" s="3" t="n"/>
      <c r="AL131" s="3" t="n"/>
      <c r="AM131" s="3" t="n"/>
      <c r="AN131" s="3" t="n"/>
      <c r="AO131" s="3" t="n"/>
      <c r="AP131" s="3">
        <f>SUM(AF131,AJ131,AK131,AL131,AM131,AN131,AO131,AG131,AH131)</f>
        <v/>
      </c>
      <c r="AQ131" s="3">
        <f>AE131-AP131</f>
        <v/>
      </c>
      <c r="AR131" s="3" t="n"/>
      <c r="AS131" s="3" t="n"/>
      <c r="AT131" s="3">
        <f>AR131-AS131</f>
        <v/>
      </c>
    </row>
    <row r="132">
      <c r="A132" s="2" t="n"/>
      <c r="B132" s="3" t="n"/>
      <c r="C132" s="4" t="n"/>
      <c r="D132" s="5" t="n"/>
      <c r="E132" s="3" t="n"/>
      <c r="F132" s="3">
        <f>IF(C132=0,0,IF(E132="",B132*D132/100,E132))</f>
        <v/>
      </c>
      <c r="G132" s="4" t="n"/>
      <c r="H132" s="5" t="n"/>
      <c r="I132" s="3" t="n"/>
      <c r="J132" s="3">
        <f>IF(G132=0,0,IF(I132="",B132*H132/100,I132))</f>
        <v/>
      </c>
      <c r="K132" s="4" t="n"/>
      <c r="L132" s="5" t="n"/>
      <c r="M132" s="3" t="n"/>
      <c r="N132" s="3">
        <f>IF(K132=0,0,IF(M132="",B132*L132/100,M132))</f>
        <v/>
      </c>
      <c r="O132" s="4" t="n"/>
      <c r="P132" s="5" t="n"/>
      <c r="Q132" s="3" t="n"/>
      <c r="R132" s="3">
        <f>IF(O132=0,0,IF(Q132="",B132*P132/100,Q132))</f>
        <v/>
      </c>
      <c r="S132" s="4" t="n"/>
      <c r="T132" s="5" t="n"/>
      <c r="U132" s="3" t="n"/>
      <c r="V132" s="3">
        <f>IF(S132=0,0,IF(U132="",B132*T132/100,U132))</f>
        <v/>
      </c>
      <c r="W132" s="4" t="n"/>
      <c r="X132" s="5" t="n"/>
      <c r="Y132" s="3" t="n"/>
      <c r="Z132" s="3">
        <f>IF(W132=0,0,IF(Y132="",B132*X132/100,Y132))</f>
        <v/>
      </c>
      <c r="AA132" s="3" t="n"/>
      <c r="AB132" s="3" t="n"/>
      <c r="AC132" s="3">
        <f>B132*0.035</f>
        <v/>
      </c>
      <c r="AD132" s="3">
        <f>B132*0.065</f>
        <v/>
      </c>
      <c r="AE132" s="3">
        <f>SUM(B132,F132,J132,N132,R132,V132,Z132,AA132,AB132,AC132,AD132)</f>
        <v/>
      </c>
      <c r="AF132" s="3">
        <f>B132*0.055</f>
        <v/>
      </c>
      <c r="AG132" s="3">
        <f>B132*0.035</f>
        <v/>
      </c>
      <c r="AH132" s="3">
        <f>B132*0.165</f>
        <v/>
      </c>
      <c r="AI132" s="3">
        <f>MAX(0,AE132-AF132-AH132)</f>
        <v/>
      </c>
      <c r="AJ132" s="3">
        <f>IF(AI132&lt;=490,0,IF(AI132&lt;=600,(AI132-490)*0.05,IF(AI132&lt;=730,5.5+(AI132-600)*0.10,IF(AI132&lt;=3896.67,18.5+(AI132-730)*0.175,IF(AI132&lt;=19896.67,572.67+(AI132-3896.67)*0.25,IF(AI132&lt;=50416.67,4572.67+(AI132-19896.67)*0.30,13728.67+(AI132-50416.67)*0.35))))))</f>
        <v/>
      </c>
      <c r="AK132" s="3" t="n"/>
      <c r="AL132" s="3" t="n"/>
      <c r="AM132" s="3" t="n"/>
      <c r="AN132" s="3" t="n"/>
      <c r="AO132" s="3" t="n"/>
      <c r="AP132" s="3">
        <f>SUM(AF132,AJ132,AK132,AL132,AM132,AN132,AO132,AG132,AH132)</f>
        <v/>
      </c>
      <c r="AQ132" s="3">
        <f>AE132-AP132</f>
        <v/>
      </c>
      <c r="AR132" s="3" t="n"/>
      <c r="AS132" s="3" t="n"/>
      <c r="AT132" s="3">
        <f>AR132-AS132</f>
        <v/>
      </c>
    </row>
    <row r="133">
      <c r="A133" s="2" t="n"/>
      <c r="B133" s="3" t="n"/>
      <c r="C133" s="4" t="n"/>
      <c r="D133" s="5" t="n"/>
      <c r="E133" s="3" t="n"/>
      <c r="F133" s="3">
        <f>IF(C133=0,0,IF(E133="",B133*D133/100,E133))</f>
        <v/>
      </c>
      <c r="G133" s="4" t="n"/>
      <c r="H133" s="5" t="n"/>
      <c r="I133" s="3" t="n"/>
      <c r="J133" s="3">
        <f>IF(G133=0,0,IF(I133="",B133*H133/100,I133))</f>
        <v/>
      </c>
      <c r="K133" s="4" t="n"/>
      <c r="L133" s="5" t="n"/>
      <c r="M133" s="3" t="n"/>
      <c r="N133" s="3">
        <f>IF(K133=0,0,IF(M133="",B133*L133/100,M133))</f>
        <v/>
      </c>
      <c r="O133" s="4" t="n"/>
      <c r="P133" s="5" t="n"/>
      <c r="Q133" s="3" t="n"/>
      <c r="R133" s="3">
        <f>IF(O133=0,0,IF(Q133="",B133*P133/100,Q133))</f>
        <v/>
      </c>
      <c r="S133" s="4" t="n"/>
      <c r="T133" s="5" t="n"/>
      <c r="U133" s="3" t="n"/>
      <c r="V133" s="3">
        <f>IF(S133=0,0,IF(U133="",B133*T133/100,U133))</f>
        <v/>
      </c>
      <c r="W133" s="4" t="n"/>
      <c r="X133" s="5" t="n"/>
      <c r="Y133" s="3" t="n"/>
      <c r="Z133" s="3">
        <f>IF(W133=0,0,IF(Y133="",B133*X133/100,Y133))</f>
        <v/>
      </c>
      <c r="AA133" s="3" t="n"/>
      <c r="AB133" s="3" t="n"/>
      <c r="AC133" s="3">
        <f>B133*0.035</f>
        <v/>
      </c>
      <c r="AD133" s="3">
        <f>B133*0.065</f>
        <v/>
      </c>
      <c r="AE133" s="3">
        <f>SUM(B133,F133,J133,N133,R133,V133,Z133,AA133,AB133,AC133,AD133)</f>
        <v/>
      </c>
      <c r="AF133" s="3">
        <f>B133*0.055</f>
        <v/>
      </c>
      <c r="AG133" s="3">
        <f>B133*0.035</f>
        <v/>
      </c>
      <c r="AH133" s="3">
        <f>B133*0.165</f>
        <v/>
      </c>
      <c r="AI133" s="3">
        <f>MAX(0,AE133-AF133-AH133)</f>
        <v/>
      </c>
      <c r="AJ133" s="3">
        <f>IF(AI133&lt;=490,0,IF(AI133&lt;=600,(AI133-490)*0.05,IF(AI133&lt;=730,5.5+(AI133-600)*0.10,IF(AI133&lt;=3896.67,18.5+(AI133-730)*0.175,IF(AI133&lt;=19896.67,572.67+(AI133-3896.67)*0.25,IF(AI133&lt;=50416.67,4572.67+(AI133-19896.67)*0.30,13728.67+(AI133-50416.67)*0.35))))))</f>
        <v/>
      </c>
      <c r="AK133" s="3" t="n"/>
      <c r="AL133" s="3" t="n"/>
      <c r="AM133" s="3" t="n"/>
      <c r="AN133" s="3" t="n"/>
      <c r="AO133" s="3" t="n"/>
      <c r="AP133" s="3">
        <f>SUM(AF133,AJ133,AK133,AL133,AM133,AN133,AO133,AG133,AH133)</f>
        <v/>
      </c>
      <c r="AQ133" s="3">
        <f>AE133-AP133</f>
        <v/>
      </c>
      <c r="AR133" s="3" t="n"/>
      <c r="AS133" s="3" t="n"/>
      <c r="AT133" s="3">
        <f>AR133-AS133</f>
        <v/>
      </c>
    </row>
    <row r="134">
      <c r="A134" s="2" t="n"/>
      <c r="B134" s="3" t="n"/>
      <c r="C134" s="4" t="n"/>
      <c r="D134" s="5" t="n"/>
      <c r="E134" s="3" t="n"/>
      <c r="F134" s="3">
        <f>IF(C134=0,0,IF(E134="",B134*D134/100,E134))</f>
        <v/>
      </c>
      <c r="G134" s="4" t="n"/>
      <c r="H134" s="5" t="n"/>
      <c r="I134" s="3" t="n"/>
      <c r="J134" s="3">
        <f>IF(G134=0,0,IF(I134="",B134*H134/100,I134))</f>
        <v/>
      </c>
      <c r="K134" s="4" t="n"/>
      <c r="L134" s="5" t="n"/>
      <c r="M134" s="3" t="n"/>
      <c r="N134" s="3">
        <f>IF(K134=0,0,IF(M134="",B134*L134/100,M134))</f>
        <v/>
      </c>
      <c r="O134" s="4" t="n"/>
      <c r="P134" s="5" t="n"/>
      <c r="Q134" s="3" t="n"/>
      <c r="R134" s="3">
        <f>IF(O134=0,0,IF(Q134="",B134*P134/100,Q134))</f>
        <v/>
      </c>
      <c r="S134" s="4" t="n"/>
      <c r="T134" s="5" t="n"/>
      <c r="U134" s="3" t="n"/>
      <c r="V134" s="3">
        <f>IF(S134=0,0,IF(U134="",B134*T134/100,U134))</f>
        <v/>
      </c>
      <c r="W134" s="4" t="n"/>
      <c r="X134" s="5" t="n"/>
      <c r="Y134" s="3" t="n"/>
      <c r="Z134" s="3">
        <f>IF(W134=0,0,IF(Y134="",B134*X134/100,Y134))</f>
        <v/>
      </c>
      <c r="AA134" s="3" t="n"/>
      <c r="AB134" s="3" t="n"/>
      <c r="AC134" s="3">
        <f>B134*0.035</f>
        <v/>
      </c>
      <c r="AD134" s="3">
        <f>B134*0.065</f>
        <v/>
      </c>
      <c r="AE134" s="3">
        <f>SUM(B134,F134,J134,N134,R134,V134,Z134,AA134,AB134,AC134,AD134)</f>
        <v/>
      </c>
      <c r="AF134" s="3">
        <f>B134*0.055</f>
        <v/>
      </c>
      <c r="AG134" s="3">
        <f>B134*0.035</f>
        <v/>
      </c>
      <c r="AH134" s="3">
        <f>B134*0.165</f>
        <v/>
      </c>
      <c r="AI134" s="3">
        <f>MAX(0,AE134-AF134-AH134)</f>
        <v/>
      </c>
      <c r="AJ134" s="3">
        <f>IF(AI134&lt;=490,0,IF(AI134&lt;=600,(AI134-490)*0.05,IF(AI134&lt;=730,5.5+(AI134-600)*0.10,IF(AI134&lt;=3896.67,18.5+(AI134-730)*0.175,IF(AI134&lt;=19896.67,572.67+(AI134-3896.67)*0.25,IF(AI134&lt;=50416.67,4572.67+(AI134-19896.67)*0.30,13728.67+(AI134-50416.67)*0.35))))))</f>
        <v/>
      </c>
      <c r="AK134" s="3" t="n"/>
      <c r="AL134" s="3" t="n"/>
      <c r="AM134" s="3" t="n"/>
      <c r="AN134" s="3" t="n"/>
      <c r="AO134" s="3" t="n"/>
      <c r="AP134" s="3">
        <f>SUM(AF134,AJ134,AK134,AL134,AM134,AN134,AO134,AG134,AH134)</f>
        <v/>
      </c>
      <c r="AQ134" s="3">
        <f>AE134-AP134</f>
        <v/>
      </c>
      <c r="AR134" s="3" t="n"/>
      <c r="AS134" s="3" t="n"/>
      <c r="AT134" s="3">
        <f>AR134-AS134</f>
        <v/>
      </c>
    </row>
    <row r="135">
      <c r="A135" s="2" t="n"/>
      <c r="B135" s="3" t="n"/>
      <c r="C135" s="4" t="n"/>
      <c r="D135" s="5" t="n"/>
      <c r="E135" s="3" t="n"/>
      <c r="F135" s="3">
        <f>IF(C135=0,0,IF(E135="",B135*D135/100,E135))</f>
        <v/>
      </c>
      <c r="G135" s="4" t="n"/>
      <c r="H135" s="5" t="n"/>
      <c r="I135" s="3" t="n"/>
      <c r="J135" s="3">
        <f>IF(G135=0,0,IF(I135="",B135*H135/100,I135))</f>
        <v/>
      </c>
      <c r="K135" s="4" t="n"/>
      <c r="L135" s="5" t="n"/>
      <c r="M135" s="3" t="n"/>
      <c r="N135" s="3">
        <f>IF(K135=0,0,IF(M135="",B135*L135/100,M135))</f>
        <v/>
      </c>
      <c r="O135" s="4" t="n"/>
      <c r="P135" s="5" t="n"/>
      <c r="Q135" s="3" t="n"/>
      <c r="R135" s="3">
        <f>IF(O135=0,0,IF(Q135="",B135*P135/100,Q135))</f>
        <v/>
      </c>
      <c r="S135" s="4" t="n"/>
      <c r="T135" s="5" t="n"/>
      <c r="U135" s="3" t="n"/>
      <c r="V135" s="3">
        <f>IF(S135=0,0,IF(U135="",B135*T135/100,U135))</f>
        <v/>
      </c>
      <c r="W135" s="4" t="n"/>
      <c r="X135" s="5" t="n"/>
      <c r="Y135" s="3" t="n"/>
      <c r="Z135" s="3">
        <f>IF(W135=0,0,IF(Y135="",B135*X135/100,Y135))</f>
        <v/>
      </c>
      <c r="AA135" s="3" t="n"/>
      <c r="AB135" s="3" t="n"/>
      <c r="AC135" s="3">
        <f>B135*0.035</f>
        <v/>
      </c>
      <c r="AD135" s="3">
        <f>B135*0.065</f>
        <v/>
      </c>
      <c r="AE135" s="3">
        <f>SUM(B135,F135,J135,N135,R135,V135,Z135,AA135,AB135,AC135,AD135)</f>
        <v/>
      </c>
      <c r="AF135" s="3">
        <f>B135*0.055</f>
        <v/>
      </c>
      <c r="AG135" s="3">
        <f>B135*0.035</f>
        <v/>
      </c>
      <c r="AH135" s="3">
        <f>B135*0.165</f>
        <v/>
      </c>
      <c r="AI135" s="3">
        <f>MAX(0,AE135-AF135-AH135)</f>
        <v/>
      </c>
      <c r="AJ135" s="3">
        <f>IF(AI135&lt;=490,0,IF(AI135&lt;=600,(AI135-490)*0.05,IF(AI135&lt;=730,5.5+(AI135-600)*0.10,IF(AI135&lt;=3896.67,18.5+(AI135-730)*0.175,IF(AI135&lt;=19896.67,572.67+(AI135-3896.67)*0.25,IF(AI135&lt;=50416.67,4572.67+(AI135-19896.67)*0.30,13728.67+(AI135-50416.67)*0.35))))))</f>
        <v/>
      </c>
      <c r="AK135" s="3" t="n"/>
      <c r="AL135" s="3" t="n"/>
      <c r="AM135" s="3" t="n"/>
      <c r="AN135" s="3" t="n"/>
      <c r="AO135" s="3" t="n"/>
      <c r="AP135" s="3">
        <f>SUM(AF135,AJ135,AK135,AL135,AM135,AN135,AO135,AG135,AH135)</f>
        <v/>
      </c>
      <c r="AQ135" s="3">
        <f>AE135-AP135</f>
        <v/>
      </c>
      <c r="AR135" s="3" t="n"/>
      <c r="AS135" s="3" t="n"/>
      <c r="AT135" s="3">
        <f>AR135-AS135</f>
        <v/>
      </c>
    </row>
    <row r="136">
      <c r="A136" s="2" t="n"/>
      <c r="B136" s="3" t="n"/>
      <c r="C136" s="4" t="n"/>
      <c r="D136" s="5" t="n"/>
      <c r="E136" s="3" t="n"/>
      <c r="F136" s="3">
        <f>IF(C136=0,0,IF(E136="",B136*D136/100,E136))</f>
        <v/>
      </c>
      <c r="G136" s="4" t="n"/>
      <c r="H136" s="5" t="n"/>
      <c r="I136" s="3" t="n"/>
      <c r="J136" s="3">
        <f>IF(G136=0,0,IF(I136="",B136*H136/100,I136))</f>
        <v/>
      </c>
      <c r="K136" s="4" t="n"/>
      <c r="L136" s="5" t="n"/>
      <c r="M136" s="3" t="n"/>
      <c r="N136" s="3">
        <f>IF(K136=0,0,IF(M136="",B136*L136/100,M136))</f>
        <v/>
      </c>
      <c r="O136" s="4" t="n"/>
      <c r="P136" s="5" t="n"/>
      <c r="Q136" s="3" t="n"/>
      <c r="R136" s="3">
        <f>IF(O136=0,0,IF(Q136="",B136*P136/100,Q136))</f>
        <v/>
      </c>
      <c r="S136" s="4" t="n"/>
      <c r="T136" s="5" t="n"/>
      <c r="U136" s="3" t="n"/>
      <c r="V136" s="3">
        <f>IF(S136=0,0,IF(U136="",B136*T136/100,U136))</f>
        <v/>
      </c>
      <c r="W136" s="4" t="n"/>
      <c r="X136" s="5" t="n"/>
      <c r="Y136" s="3" t="n"/>
      <c r="Z136" s="3">
        <f>IF(W136=0,0,IF(Y136="",B136*X136/100,Y136))</f>
        <v/>
      </c>
      <c r="AA136" s="3" t="n"/>
      <c r="AB136" s="3" t="n"/>
      <c r="AC136" s="3">
        <f>B136*0.035</f>
        <v/>
      </c>
      <c r="AD136" s="3">
        <f>B136*0.065</f>
        <v/>
      </c>
      <c r="AE136" s="3">
        <f>SUM(B136,F136,J136,N136,R136,V136,Z136,AA136,AB136,AC136,AD136)</f>
        <v/>
      </c>
      <c r="AF136" s="3">
        <f>B136*0.055</f>
        <v/>
      </c>
      <c r="AG136" s="3">
        <f>B136*0.035</f>
        <v/>
      </c>
      <c r="AH136" s="3">
        <f>B136*0.165</f>
        <v/>
      </c>
      <c r="AI136" s="3">
        <f>MAX(0,AE136-AF136-AH136)</f>
        <v/>
      </c>
      <c r="AJ136" s="3">
        <f>IF(AI136&lt;=490,0,IF(AI136&lt;=600,(AI136-490)*0.05,IF(AI136&lt;=730,5.5+(AI136-600)*0.10,IF(AI136&lt;=3896.67,18.5+(AI136-730)*0.175,IF(AI136&lt;=19896.67,572.67+(AI136-3896.67)*0.25,IF(AI136&lt;=50416.67,4572.67+(AI136-19896.67)*0.30,13728.67+(AI136-50416.67)*0.35))))))</f>
        <v/>
      </c>
      <c r="AK136" s="3" t="n"/>
      <c r="AL136" s="3" t="n"/>
      <c r="AM136" s="3" t="n"/>
      <c r="AN136" s="3" t="n"/>
      <c r="AO136" s="3" t="n"/>
      <c r="AP136" s="3">
        <f>SUM(AF136,AJ136,AK136,AL136,AM136,AN136,AO136,AG136,AH136)</f>
        <v/>
      </c>
      <c r="AQ136" s="3">
        <f>AE136-AP136</f>
        <v/>
      </c>
      <c r="AR136" s="3" t="n"/>
      <c r="AS136" s="3" t="n"/>
      <c r="AT136" s="3">
        <f>AR136-AS136</f>
        <v/>
      </c>
    </row>
    <row r="137">
      <c r="A137" s="2" t="n"/>
      <c r="B137" s="3" t="n"/>
      <c r="C137" s="4" t="n"/>
      <c r="D137" s="5" t="n"/>
      <c r="E137" s="3" t="n"/>
      <c r="F137" s="3">
        <f>IF(C137=0,0,IF(E137="",B137*D137/100,E137))</f>
        <v/>
      </c>
      <c r="G137" s="4" t="n"/>
      <c r="H137" s="5" t="n"/>
      <c r="I137" s="3" t="n"/>
      <c r="J137" s="3">
        <f>IF(G137=0,0,IF(I137="",B137*H137/100,I137))</f>
        <v/>
      </c>
      <c r="K137" s="4" t="n"/>
      <c r="L137" s="5" t="n"/>
      <c r="M137" s="3" t="n"/>
      <c r="N137" s="3">
        <f>IF(K137=0,0,IF(M137="",B137*L137/100,M137))</f>
        <v/>
      </c>
      <c r="O137" s="4" t="n"/>
      <c r="P137" s="5" t="n"/>
      <c r="Q137" s="3" t="n"/>
      <c r="R137" s="3">
        <f>IF(O137=0,0,IF(Q137="",B137*P137/100,Q137))</f>
        <v/>
      </c>
      <c r="S137" s="4" t="n"/>
      <c r="T137" s="5" t="n"/>
      <c r="U137" s="3" t="n"/>
      <c r="V137" s="3">
        <f>IF(S137=0,0,IF(U137="",B137*T137/100,U137))</f>
        <v/>
      </c>
      <c r="W137" s="4" t="n"/>
      <c r="X137" s="5" t="n"/>
      <c r="Y137" s="3" t="n"/>
      <c r="Z137" s="3">
        <f>IF(W137=0,0,IF(Y137="",B137*X137/100,Y137))</f>
        <v/>
      </c>
      <c r="AA137" s="3" t="n"/>
      <c r="AB137" s="3" t="n"/>
      <c r="AC137" s="3">
        <f>B137*0.035</f>
        <v/>
      </c>
      <c r="AD137" s="3">
        <f>B137*0.065</f>
        <v/>
      </c>
      <c r="AE137" s="3">
        <f>SUM(B137,F137,J137,N137,R137,V137,Z137,AA137,AB137,AC137,AD137)</f>
        <v/>
      </c>
      <c r="AF137" s="3">
        <f>B137*0.055</f>
        <v/>
      </c>
      <c r="AG137" s="3">
        <f>B137*0.035</f>
        <v/>
      </c>
      <c r="AH137" s="3">
        <f>B137*0.165</f>
        <v/>
      </c>
      <c r="AI137" s="3">
        <f>MAX(0,AE137-AF137-AH137)</f>
        <v/>
      </c>
      <c r="AJ137" s="3">
        <f>IF(AI137&lt;=490,0,IF(AI137&lt;=600,(AI137-490)*0.05,IF(AI137&lt;=730,5.5+(AI137-600)*0.10,IF(AI137&lt;=3896.67,18.5+(AI137-730)*0.175,IF(AI137&lt;=19896.67,572.67+(AI137-3896.67)*0.25,IF(AI137&lt;=50416.67,4572.67+(AI137-19896.67)*0.30,13728.67+(AI137-50416.67)*0.35))))))</f>
        <v/>
      </c>
      <c r="AK137" s="3" t="n"/>
      <c r="AL137" s="3" t="n"/>
      <c r="AM137" s="3" t="n"/>
      <c r="AN137" s="3" t="n"/>
      <c r="AO137" s="3" t="n"/>
      <c r="AP137" s="3">
        <f>SUM(AF137,AJ137,AK137,AL137,AM137,AN137,AO137,AG137,AH137)</f>
        <v/>
      </c>
      <c r="AQ137" s="3">
        <f>AE137-AP137</f>
        <v/>
      </c>
      <c r="AR137" s="3" t="n"/>
      <c r="AS137" s="3" t="n"/>
      <c r="AT137" s="3">
        <f>AR137-AS137</f>
        <v/>
      </c>
    </row>
    <row r="138">
      <c r="A138" s="2" t="n"/>
      <c r="B138" s="3" t="n"/>
      <c r="C138" s="4" t="n"/>
      <c r="D138" s="5" t="n"/>
      <c r="E138" s="3" t="n"/>
      <c r="F138" s="3">
        <f>IF(C138=0,0,IF(E138="",B138*D138/100,E138))</f>
        <v/>
      </c>
      <c r="G138" s="4" t="n"/>
      <c r="H138" s="5" t="n"/>
      <c r="I138" s="3" t="n"/>
      <c r="J138" s="3">
        <f>IF(G138=0,0,IF(I138="",B138*H138/100,I138))</f>
        <v/>
      </c>
      <c r="K138" s="4" t="n"/>
      <c r="L138" s="5" t="n"/>
      <c r="M138" s="3" t="n"/>
      <c r="N138" s="3">
        <f>IF(K138=0,0,IF(M138="",B138*L138/100,M138))</f>
        <v/>
      </c>
      <c r="O138" s="4" t="n"/>
      <c r="P138" s="5" t="n"/>
      <c r="Q138" s="3" t="n"/>
      <c r="R138" s="3">
        <f>IF(O138=0,0,IF(Q138="",B138*P138/100,Q138))</f>
        <v/>
      </c>
      <c r="S138" s="4" t="n"/>
      <c r="T138" s="5" t="n"/>
      <c r="U138" s="3" t="n"/>
      <c r="V138" s="3">
        <f>IF(S138=0,0,IF(U138="",B138*T138/100,U138))</f>
        <v/>
      </c>
      <c r="W138" s="4" t="n"/>
      <c r="X138" s="5" t="n"/>
      <c r="Y138" s="3" t="n"/>
      <c r="Z138" s="3">
        <f>IF(W138=0,0,IF(Y138="",B138*X138/100,Y138))</f>
        <v/>
      </c>
      <c r="AA138" s="3" t="n"/>
      <c r="AB138" s="3" t="n"/>
      <c r="AC138" s="3">
        <f>B138*0.035</f>
        <v/>
      </c>
      <c r="AD138" s="3">
        <f>B138*0.065</f>
        <v/>
      </c>
      <c r="AE138" s="3">
        <f>SUM(B138,F138,J138,N138,R138,V138,Z138,AA138,AB138,AC138,AD138)</f>
        <v/>
      </c>
      <c r="AF138" s="3">
        <f>B138*0.055</f>
        <v/>
      </c>
      <c r="AG138" s="3">
        <f>B138*0.035</f>
        <v/>
      </c>
      <c r="AH138" s="3">
        <f>B138*0.165</f>
        <v/>
      </c>
      <c r="AI138" s="3">
        <f>MAX(0,AE138-AF138-AH138)</f>
        <v/>
      </c>
      <c r="AJ138" s="3">
        <f>IF(AI138&lt;=490,0,IF(AI138&lt;=600,(AI138-490)*0.05,IF(AI138&lt;=730,5.5+(AI138-600)*0.10,IF(AI138&lt;=3896.67,18.5+(AI138-730)*0.175,IF(AI138&lt;=19896.67,572.67+(AI138-3896.67)*0.25,IF(AI138&lt;=50416.67,4572.67+(AI138-19896.67)*0.30,13728.67+(AI138-50416.67)*0.35))))))</f>
        <v/>
      </c>
      <c r="AK138" s="3" t="n"/>
      <c r="AL138" s="3" t="n"/>
      <c r="AM138" s="3" t="n"/>
      <c r="AN138" s="3" t="n"/>
      <c r="AO138" s="3" t="n"/>
      <c r="AP138" s="3">
        <f>SUM(AF138,AJ138,AK138,AL138,AM138,AN138,AO138,AG138,AH138)</f>
        <v/>
      </c>
      <c r="AQ138" s="3">
        <f>AE138-AP138</f>
        <v/>
      </c>
      <c r="AR138" s="3" t="n"/>
      <c r="AS138" s="3" t="n"/>
      <c r="AT138" s="3">
        <f>AR138-AS138</f>
        <v/>
      </c>
    </row>
    <row r="139">
      <c r="A139" s="2" t="n"/>
      <c r="B139" s="3" t="n"/>
      <c r="C139" s="4" t="n"/>
      <c r="D139" s="5" t="n"/>
      <c r="E139" s="3" t="n"/>
      <c r="F139" s="3">
        <f>IF(C139=0,0,IF(E139="",B139*D139/100,E139))</f>
        <v/>
      </c>
      <c r="G139" s="4" t="n"/>
      <c r="H139" s="5" t="n"/>
      <c r="I139" s="3" t="n"/>
      <c r="J139" s="3">
        <f>IF(G139=0,0,IF(I139="",B139*H139/100,I139))</f>
        <v/>
      </c>
      <c r="K139" s="4" t="n"/>
      <c r="L139" s="5" t="n"/>
      <c r="M139" s="3" t="n"/>
      <c r="N139" s="3">
        <f>IF(K139=0,0,IF(M139="",B139*L139/100,M139))</f>
        <v/>
      </c>
      <c r="O139" s="4" t="n"/>
      <c r="P139" s="5" t="n"/>
      <c r="Q139" s="3" t="n"/>
      <c r="R139" s="3">
        <f>IF(O139=0,0,IF(Q139="",B139*P139/100,Q139))</f>
        <v/>
      </c>
      <c r="S139" s="4" t="n"/>
      <c r="T139" s="5" t="n"/>
      <c r="U139" s="3" t="n"/>
      <c r="V139" s="3">
        <f>IF(S139=0,0,IF(U139="",B139*T139/100,U139))</f>
        <v/>
      </c>
      <c r="W139" s="4" t="n"/>
      <c r="X139" s="5" t="n"/>
      <c r="Y139" s="3" t="n"/>
      <c r="Z139" s="3">
        <f>IF(W139=0,0,IF(Y139="",B139*X139/100,Y139))</f>
        <v/>
      </c>
      <c r="AA139" s="3" t="n"/>
      <c r="AB139" s="3" t="n"/>
      <c r="AC139" s="3">
        <f>B139*0.035</f>
        <v/>
      </c>
      <c r="AD139" s="3">
        <f>B139*0.065</f>
        <v/>
      </c>
      <c r="AE139" s="3">
        <f>SUM(B139,F139,J139,N139,R139,V139,Z139,AA139,AB139,AC139,AD139)</f>
        <v/>
      </c>
      <c r="AF139" s="3">
        <f>B139*0.055</f>
        <v/>
      </c>
      <c r="AG139" s="3">
        <f>B139*0.035</f>
        <v/>
      </c>
      <c r="AH139" s="3">
        <f>B139*0.165</f>
        <v/>
      </c>
      <c r="AI139" s="3">
        <f>MAX(0,AE139-AF139-AH139)</f>
        <v/>
      </c>
      <c r="AJ139" s="3">
        <f>IF(AI139&lt;=490,0,IF(AI139&lt;=600,(AI139-490)*0.05,IF(AI139&lt;=730,5.5+(AI139-600)*0.10,IF(AI139&lt;=3896.67,18.5+(AI139-730)*0.175,IF(AI139&lt;=19896.67,572.67+(AI139-3896.67)*0.25,IF(AI139&lt;=50416.67,4572.67+(AI139-19896.67)*0.30,13728.67+(AI139-50416.67)*0.35))))))</f>
        <v/>
      </c>
      <c r="AK139" s="3" t="n"/>
      <c r="AL139" s="3" t="n"/>
      <c r="AM139" s="3" t="n"/>
      <c r="AN139" s="3" t="n"/>
      <c r="AO139" s="3" t="n"/>
      <c r="AP139" s="3">
        <f>SUM(AF139,AJ139,AK139,AL139,AM139,AN139,AO139,AG139,AH139)</f>
        <v/>
      </c>
      <c r="AQ139" s="3">
        <f>AE139-AP139</f>
        <v/>
      </c>
      <c r="AR139" s="3" t="n"/>
      <c r="AS139" s="3" t="n"/>
      <c r="AT139" s="3">
        <f>AR139-AS139</f>
        <v/>
      </c>
    </row>
    <row r="140">
      <c r="A140" s="2" t="n"/>
      <c r="B140" s="3" t="n"/>
      <c r="C140" s="4" t="n"/>
      <c r="D140" s="5" t="n"/>
      <c r="E140" s="3" t="n"/>
      <c r="F140" s="3">
        <f>IF(C140=0,0,IF(E140="",B140*D140/100,E140))</f>
        <v/>
      </c>
      <c r="G140" s="4" t="n"/>
      <c r="H140" s="5" t="n"/>
      <c r="I140" s="3" t="n"/>
      <c r="J140" s="3">
        <f>IF(G140=0,0,IF(I140="",B140*H140/100,I140))</f>
        <v/>
      </c>
      <c r="K140" s="4" t="n"/>
      <c r="L140" s="5" t="n"/>
      <c r="M140" s="3" t="n"/>
      <c r="N140" s="3">
        <f>IF(K140=0,0,IF(M140="",B140*L140/100,M140))</f>
        <v/>
      </c>
      <c r="O140" s="4" t="n"/>
      <c r="P140" s="5" t="n"/>
      <c r="Q140" s="3" t="n"/>
      <c r="R140" s="3">
        <f>IF(O140=0,0,IF(Q140="",B140*P140/100,Q140))</f>
        <v/>
      </c>
      <c r="S140" s="4" t="n"/>
      <c r="T140" s="5" t="n"/>
      <c r="U140" s="3" t="n"/>
      <c r="V140" s="3">
        <f>IF(S140=0,0,IF(U140="",B140*T140/100,U140))</f>
        <v/>
      </c>
      <c r="W140" s="4" t="n"/>
      <c r="X140" s="5" t="n"/>
      <c r="Y140" s="3" t="n"/>
      <c r="Z140" s="3">
        <f>IF(W140=0,0,IF(Y140="",B140*X140/100,Y140))</f>
        <v/>
      </c>
      <c r="AA140" s="3" t="n"/>
      <c r="AB140" s="3" t="n"/>
      <c r="AC140" s="3">
        <f>B140*0.035</f>
        <v/>
      </c>
      <c r="AD140" s="3">
        <f>B140*0.065</f>
        <v/>
      </c>
      <c r="AE140" s="3">
        <f>SUM(B140,F140,J140,N140,R140,V140,Z140,AA140,AB140,AC140,AD140)</f>
        <v/>
      </c>
      <c r="AF140" s="3">
        <f>B140*0.055</f>
        <v/>
      </c>
      <c r="AG140" s="3">
        <f>B140*0.035</f>
        <v/>
      </c>
      <c r="AH140" s="3">
        <f>B140*0.165</f>
        <v/>
      </c>
      <c r="AI140" s="3">
        <f>MAX(0,AE140-AF140-AH140)</f>
        <v/>
      </c>
      <c r="AJ140" s="3">
        <f>IF(AI140&lt;=490,0,IF(AI140&lt;=600,(AI140-490)*0.05,IF(AI140&lt;=730,5.5+(AI140-600)*0.10,IF(AI140&lt;=3896.67,18.5+(AI140-730)*0.175,IF(AI140&lt;=19896.67,572.67+(AI140-3896.67)*0.25,IF(AI140&lt;=50416.67,4572.67+(AI140-19896.67)*0.30,13728.67+(AI140-50416.67)*0.35))))))</f>
        <v/>
      </c>
      <c r="AK140" s="3" t="n"/>
      <c r="AL140" s="3" t="n"/>
      <c r="AM140" s="3" t="n"/>
      <c r="AN140" s="3" t="n"/>
      <c r="AO140" s="3" t="n"/>
      <c r="AP140" s="3">
        <f>SUM(AF140,AJ140,AK140,AL140,AM140,AN140,AO140,AG140,AH140)</f>
        <v/>
      </c>
      <c r="AQ140" s="3">
        <f>AE140-AP140</f>
        <v/>
      </c>
      <c r="AR140" s="3" t="n"/>
      <c r="AS140" s="3" t="n"/>
      <c r="AT140" s="3">
        <f>AR140-AS140</f>
        <v/>
      </c>
    </row>
    <row r="141">
      <c r="A141" s="2" t="n"/>
      <c r="B141" s="3" t="n"/>
      <c r="C141" s="4" t="n"/>
      <c r="D141" s="5" t="n"/>
      <c r="E141" s="3" t="n"/>
      <c r="F141" s="3">
        <f>IF(C141=0,0,IF(E141="",B141*D141/100,E141))</f>
        <v/>
      </c>
      <c r="G141" s="4" t="n"/>
      <c r="H141" s="5" t="n"/>
      <c r="I141" s="3" t="n"/>
      <c r="J141" s="3">
        <f>IF(G141=0,0,IF(I141="",B141*H141/100,I141))</f>
        <v/>
      </c>
      <c r="K141" s="4" t="n"/>
      <c r="L141" s="5" t="n"/>
      <c r="M141" s="3" t="n"/>
      <c r="N141" s="3">
        <f>IF(K141=0,0,IF(M141="",B141*L141/100,M141))</f>
        <v/>
      </c>
      <c r="O141" s="4" t="n"/>
      <c r="P141" s="5" t="n"/>
      <c r="Q141" s="3" t="n"/>
      <c r="R141" s="3">
        <f>IF(O141=0,0,IF(Q141="",B141*P141/100,Q141))</f>
        <v/>
      </c>
      <c r="S141" s="4" t="n"/>
      <c r="T141" s="5" t="n"/>
      <c r="U141" s="3" t="n"/>
      <c r="V141" s="3">
        <f>IF(S141=0,0,IF(U141="",B141*T141/100,U141))</f>
        <v/>
      </c>
      <c r="W141" s="4" t="n"/>
      <c r="X141" s="5" t="n"/>
      <c r="Y141" s="3" t="n"/>
      <c r="Z141" s="3">
        <f>IF(W141=0,0,IF(Y141="",B141*X141/100,Y141))</f>
        <v/>
      </c>
      <c r="AA141" s="3" t="n"/>
      <c r="AB141" s="3" t="n"/>
      <c r="AC141" s="3">
        <f>B141*0.035</f>
        <v/>
      </c>
      <c r="AD141" s="3">
        <f>B141*0.065</f>
        <v/>
      </c>
      <c r="AE141" s="3">
        <f>SUM(B141,F141,J141,N141,R141,V141,Z141,AA141,AB141,AC141,AD141)</f>
        <v/>
      </c>
      <c r="AF141" s="3">
        <f>B141*0.055</f>
        <v/>
      </c>
      <c r="AG141" s="3">
        <f>B141*0.035</f>
        <v/>
      </c>
      <c r="AH141" s="3">
        <f>B141*0.165</f>
        <v/>
      </c>
      <c r="AI141" s="3">
        <f>MAX(0,AE141-AF141-AH141)</f>
        <v/>
      </c>
      <c r="AJ141" s="3">
        <f>IF(AI141&lt;=490,0,IF(AI141&lt;=600,(AI141-490)*0.05,IF(AI141&lt;=730,5.5+(AI141-600)*0.10,IF(AI141&lt;=3896.67,18.5+(AI141-730)*0.175,IF(AI141&lt;=19896.67,572.67+(AI141-3896.67)*0.25,IF(AI141&lt;=50416.67,4572.67+(AI141-19896.67)*0.30,13728.67+(AI141-50416.67)*0.35))))))</f>
        <v/>
      </c>
      <c r="AK141" s="3" t="n"/>
      <c r="AL141" s="3" t="n"/>
      <c r="AM141" s="3" t="n"/>
      <c r="AN141" s="3" t="n"/>
      <c r="AO141" s="3" t="n"/>
      <c r="AP141" s="3">
        <f>SUM(AF141,AJ141,AK141,AL141,AM141,AN141,AO141,AG141,AH141)</f>
        <v/>
      </c>
      <c r="AQ141" s="3">
        <f>AE141-AP141</f>
        <v/>
      </c>
      <c r="AR141" s="3" t="n"/>
      <c r="AS141" s="3" t="n"/>
      <c r="AT141" s="3">
        <f>AR141-AS141</f>
        <v/>
      </c>
    </row>
    <row r="142">
      <c r="A142" s="2" t="n"/>
      <c r="B142" s="3" t="n"/>
      <c r="C142" s="4" t="n"/>
      <c r="D142" s="5" t="n"/>
      <c r="E142" s="3" t="n"/>
      <c r="F142" s="3">
        <f>IF(C142=0,0,IF(E142="",B142*D142/100,E142))</f>
        <v/>
      </c>
      <c r="G142" s="4" t="n"/>
      <c r="H142" s="5" t="n"/>
      <c r="I142" s="3" t="n"/>
      <c r="J142" s="3">
        <f>IF(G142=0,0,IF(I142="",B142*H142/100,I142))</f>
        <v/>
      </c>
      <c r="K142" s="4" t="n"/>
      <c r="L142" s="5" t="n"/>
      <c r="M142" s="3" t="n"/>
      <c r="N142" s="3">
        <f>IF(K142=0,0,IF(M142="",B142*L142/100,M142))</f>
        <v/>
      </c>
      <c r="O142" s="4" t="n"/>
      <c r="P142" s="5" t="n"/>
      <c r="Q142" s="3" t="n"/>
      <c r="R142" s="3">
        <f>IF(O142=0,0,IF(Q142="",B142*P142/100,Q142))</f>
        <v/>
      </c>
      <c r="S142" s="4" t="n"/>
      <c r="T142" s="5" t="n"/>
      <c r="U142" s="3" t="n"/>
      <c r="V142" s="3">
        <f>IF(S142=0,0,IF(U142="",B142*T142/100,U142))</f>
        <v/>
      </c>
      <c r="W142" s="4" t="n"/>
      <c r="X142" s="5" t="n"/>
      <c r="Y142" s="3" t="n"/>
      <c r="Z142" s="3">
        <f>IF(W142=0,0,IF(Y142="",B142*X142/100,Y142))</f>
        <v/>
      </c>
      <c r="AA142" s="3" t="n"/>
      <c r="AB142" s="3" t="n"/>
      <c r="AC142" s="3">
        <f>B142*0.035</f>
        <v/>
      </c>
      <c r="AD142" s="3">
        <f>B142*0.065</f>
        <v/>
      </c>
      <c r="AE142" s="3">
        <f>SUM(B142,F142,J142,N142,R142,V142,Z142,AA142,AB142,AC142,AD142)</f>
        <v/>
      </c>
      <c r="AF142" s="3">
        <f>B142*0.055</f>
        <v/>
      </c>
      <c r="AG142" s="3">
        <f>B142*0.035</f>
        <v/>
      </c>
      <c r="AH142" s="3">
        <f>B142*0.165</f>
        <v/>
      </c>
      <c r="AI142" s="3">
        <f>MAX(0,AE142-AF142-AH142)</f>
        <v/>
      </c>
      <c r="AJ142" s="3">
        <f>IF(AI142&lt;=490,0,IF(AI142&lt;=600,(AI142-490)*0.05,IF(AI142&lt;=730,5.5+(AI142-600)*0.10,IF(AI142&lt;=3896.67,18.5+(AI142-730)*0.175,IF(AI142&lt;=19896.67,572.67+(AI142-3896.67)*0.25,IF(AI142&lt;=50416.67,4572.67+(AI142-19896.67)*0.30,13728.67+(AI142-50416.67)*0.35))))))</f>
        <v/>
      </c>
      <c r="AK142" s="3" t="n"/>
      <c r="AL142" s="3" t="n"/>
      <c r="AM142" s="3" t="n"/>
      <c r="AN142" s="3" t="n"/>
      <c r="AO142" s="3" t="n"/>
      <c r="AP142" s="3">
        <f>SUM(AF142,AJ142,AK142,AL142,AM142,AN142,AO142,AG142,AH142)</f>
        <v/>
      </c>
      <c r="AQ142" s="3">
        <f>AE142-AP142</f>
        <v/>
      </c>
      <c r="AR142" s="3" t="n"/>
      <c r="AS142" s="3" t="n"/>
      <c r="AT142" s="3">
        <f>AR142-AS142</f>
        <v/>
      </c>
    </row>
    <row r="143">
      <c r="A143" s="2" t="n"/>
      <c r="B143" s="3" t="n"/>
      <c r="C143" s="4" t="n"/>
      <c r="D143" s="5" t="n"/>
      <c r="E143" s="3" t="n"/>
      <c r="F143" s="3">
        <f>IF(C143=0,0,IF(E143="",B143*D143/100,E143))</f>
        <v/>
      </c>
      <c r="G143" s="4" t="n"/>
      <c r="H143" s="5" t="n"/>
      <c r="I143" s="3" t="n"/>
      <c r="J143" s="3">
        <f>IF(G143=0,0,IF(I143="",B143*H143/100,I143))</f>
        <v/>
      </c>
      <c r="K143" s="4" t="n"/>
      <c r="L143" s="5" t="n"/>
      <c r="M143" s="3" t="n"/>
      <c r="N143" s="3">
        <f>IF(K143=0,0,IF(M143="",B143*L143/100,M143))</f>
        <v/>
      </c>
      <c r="O143" s="4" t="n"/>
      <c r="P143" s="5" t="n"/>
      <c r="Q143" s="3" t="n"/>
      <c r="R143" s="3">
        <f>IF(O143=0,0,IF(Q143="",B143*P143/100,Q143))</f>
        <v/>
      </c>
      <c r="S143" s="4" t="n"/>
      <c r="T143" s="5" t="n"/>
      <c r="U143" s="3" t="n"/>
      <c r="V143" s="3">
        <f>IF(S143=0,0,IF(U143="",B143*T143/100,U143))</f>
        <v/>
      </c>
      <c r="W143" s="4" t="n"/>
      <c r="X143" s="5" t="n"/>
      <c r="Y143" s="3" t="n"/>
      <c r="Z143" s="3">
        <f>IF(W143=0,0,IF(Y143="",B143*X143/100,Y143))</f>
        <v/>
      </c>
      <c r="AA143" s="3" t="n"/>
      <c r="AB143" s="3" t="n"/>
      <c r="AC143" s="3">
        <f>B143*0.035</f>
        <v/>
      </c>
      <c r="AD143" s="3">
        <f>B143*0.065</f>
        <v/>
      </c>
      <c r="AE143" s="3">
        <f>SUM(B143,F143,J143,N143,R143,V143,Z143,AA143,AB143,AC143,AD143)</f>
        <v/>
      </c>
      <c r="AF143" s="3">
        <f>B143*0.055</f>
        <v/>
      </c>
      <c r="AG143" s="3">
        <f>B143*0.035</f>
        <v/>
      </c>
      <c r="AH143" s="3">
        <f>B143*0.165</f>
        <v/>
      </c>
      <c r="AI143" s="3">
        <f>MAX(0,AE143-AF143-AH143)</f>
        <v/>
      </c>
      <c r="AJ143" s="3">
        <f>IF(AI143&lt;=490,0,IF(AI143&lt;=600,(AI143-490)*0.05,IF(AI143&lt;=730,5.5+(AI143-600)*0.10,IF(AI143&lt;=3896.67,18.5+(AI143-730)*0.175,IF(AI143&lt;=19896.67,572.67+(AI143-3896.67)*0.25,IF(AI143&lt;=50416.67,4572.67+(AI143-19896.67)*0.30,13728.67+(AI143-50416.67)*0.35))))))</f>
        <v/>
      </c>
      <c r="AK143" s="3" t="n"/>
      <c r="AL143" s="3" t="n"/>
      <c r="AM143" s="3" t="n"/>
      <c r="AN143" s="3" t="n"/>
      <c r="AO143" s="3" t="n"/>
      <c r="AP143" s="3">
        <f>SUM(AF143,AJ143,AK143,AL143,AM143,AN143,AO143,AG143,AH143)</f>
        <v/>
      </c>
      <c r="AQ143" s="3">
        <f>AE143-AP143</f>
        <v/>
      </c>
      <c r="AR143" s="3" t="n"/>
      <c r="AS143" s="3" t="n"/>
      <c r="AT143" s="3">
        <f>AR143-AS143</f>
        <v/>
      </c>
    </row>
    <row r="144">
      <c r="A144" s="2" t="n"/>
      <c r="B144" s="3" t="n"/>
      <c r="C144" s="4" t="n"/>
      <c r="D144" s="5" t="n"/>
      <c r="E144" s="3" t="n"/>
      <c r="F144" s="3">
        <f>IF(C144=0,0,IF(E144="",B144*D144/100,E144))</f>
        <v/>
      </c>
      <c r="G144" s="4" t="n"/>
      <c r="H144" s="5" t="n"/>
      <c r="I144" s="3" t="n"/>
      <c r="J144" s="3">
        <f>IF(G144=0,0,IF(I144="",B144*H144/100,I144))</f>
        <v/>
      </c>
      <c r="K144" s="4" t="n"/>
      <c r="L144" s="5" t="n"/>
      <c r="M144" s="3" t="n"/>
      <c r="N144" s="3">
        <f>IF(K144=0,0,IF(M144="",B144*L144/100,M144))</f>
        <v/>
      </c>
      <c r="O144" s="4" t="n"/>
      <c r="P144" s="5" t="n"/>
      <c r="Q144" s="3" t="n"/>
      <c r="R144" s="3">
        <f>IF(O144=0,0,IF(Q144="",B144*P144/100,Q144))</f>
        <v/>
      </c>
      <c r="S144" s="4" t="n"/>
      <c r="T144" s="5" t="n"/>
      <c r="U144" s="3" t="n"/>
      <c r="V144" s="3">
        <f>IF(S144=0,0,IF(U144="",B144*T144/100,U144))</f>
        <v/>
      </c>
      <c r="W144" s="4" t="n"/>
      <c r="X144" s="5" t="n"/>
      <c r="Y144" s="3" t="n"/>
      <c r="Z144" s="3">
        <f>IF(W144=0,0,IF(Y144="",B144*X144/100,Y144))</f>
        <v/>
      </c>
      <c r="AA144" s="3" t="n"/>
      <c r="AB144" s="3" t="n"/>
      <c r="AC144" s="3">
        <f>B144*0.035</f>
        <v/>
      </c>
      <c r="AD144" s="3">
        <f>B144*0.065</f>
        <v/>
      </c>
      <c r="AE144" s="3">
        <f>SUM(B144,F144,J144,N144,R144,V144,Z144,AA144,AB144,AC144,AD144)</f>
        <v/>
      </c>
      <c r="AF144" s="3">
        <f>B144*0.055</f>
        <v/>
      </c>
      <c r="AG144" s="3">
        <f>B144*0.035</f>
        <v/>
      </c>
      <c r="AH144" s="3">
        <f>B144*0.165</f>
        <v/>
      </c>
      <c r="AI144" s="3">
        <f>MAX(0,AE144-AF144-AH144)</f>
        <v/>
      </c>
      <c r="AJ144" s="3">
        <f>IF(AI144&lt;=490,0,IF(AI144&lt;=600,(AI144-490)*0.05,IF(AI144&lt;=730,5.5+(AI144-600)*0.10,IF(AI144&lt;=3896.67,18.5+(AI144-730)*0.175,IF(AI144&lt;=19896.67,572.67+(AI144-3896.67)*0.25,IF(AI144&lt;=50416.67,4572.67+(AI144-19896.67)*0.30,13728.67+(AI144-50416.67)*0.35))))))</f>
        <v/>
      </c>
      <c r="AK144" s="3" t="n"/>
      <c r="AL144" s="3" t="n"/>
      <c r="AM144" s="3" t="n"/>
      <c r="AN144" s="3" t="n"/>
      <c r="AO144" s="3" t="n"/>
      <c r="AP144" s="3">
        <f>SUM(AF144,AJ144,AK144,AL144,AM144,AN144,AO144,AG144,AH144)</f>
        <v/>
      </c>
      <c r="AQ144" s="3">
        <f>AE144-AP144</f>
        <v/>
      </c>
      <c r="AR144" s="3" t="n"/>
      <c r="AS144" s="3" t="n"/>
      <c r="AT144" s="3">
        <f>AR144-AS144</f>
        <v/>
      </c>
    </row>
    <row r="145">
      <c r="A145" s="2" t="n"/>
      <c r="B145" s="3" t="n"/>
      <c r="C145" s="4" t="n"/>
      <c r="D145" s="5" t="n"/>
      <c r="E145" s="3" t="n"/>
      <c r="F145" s="3">
        <f>IF(C145=0,0,IF(E145="",B145*D145/100,E145))</f>
        <v/>
      </c>
      <c r="G145" s="4" t="n"/>
      <c r="H145" s="5" t="n"/>
      <c r="I145" s="3" t="n"/>
      <c r="J145" s="3">
        <f>IF(G145=0,0,IF(I145="",B145*H145/100,I145))</f>
        <v/>
      </c>
      <c r="K145" s="4" t="n"/>
      <c r="L145" s="5" t="n"/>
      <c r="M145" s="3" t="n"/>
      <c r="N145" s="3">
        <f>IF(K145=0,0,IF(M145="",B145*L145/100,M145))</f>
        <v/>
      </c>
      <c r="O145" s="4" t="n"/>
      <c r="P145" s="5" t="n"/>
      <c r="Q145" s="3" t="n"/>
      <c r="R145" s="3">
        <f>IF(O145=0,0,IF(Q145="",B145*P145/100,Q145))</f>
        <v/>
      </c>
      <c r="S145" s="4" t="n"/>
      <c r="T145" s="5" t="n"/>
      <c r="U145" s="3" t="n"/>
      <c r="V145" s="3">
        <f>IF(S145=0,0,IF(U145="",B145*T145/100,U145))</f>
        <v/>
      </c>
      <c r="W145" s="4" t="n"/>
      <c r="X145" s="5" t="n"/>
      <c r="Y145" s="3" t="n"/>
      <c r="Z145" s="3">
        <f>IF(W145=0,0,IF(Y145="",B145*X145/100,Y145))</f>
        <v/>
      </c>
      <c r="AA145" s="3" t="n"/>
      <c r="AB145" s="3" t="n"/>
      <c r="AC145" s="3">
        <f>B145*0.035</f>
        <v/>
      </c>
      <c r="AD145" s="3">
        <f>B145*0.065</f>
        <v/>
      </c>
      <c r="AE145" s="3">
        <f>SUM(B145,F145,J145,N145,R145,V145,Z145,AA145,AB145,AC145,AD145)</f>
        <v/>
      </c>
      <c r="AF145" s="3">
        <f>B145*0.055</f>
        <v/>
      </c>
      <c r="AG145" s="3">
        <f>B145*0.035</f>
        <v/>
      </c>
      <c r="AH145" s="3">
        <f>B145*0.165</f>
        <v/>
      </c>
      <c r="AI145" s="3">
        <f>MAX(0,AE145-AF145-AH145)</f>
        <v/>
      </c>
      <c r="AJ145" s="3">
        <f>IF(AI145&lt;=490,0,IF(AI145&lt;=600,(AI145-490)*0.05,IF(AI145&lt;=730,5.5+(AI145-600)*0.10,IF(AI145&lt;=3896.67,18.5+(AI145-730)*0.175,IF(AI145&lt;=19896.67,572.67+(AI145-3896.67)*0.25,IF(AI145&lt;=50416.67,4572.67+(AI145-19896.67)*0.30,13728.67+(AI145-50416.67)*0.35))))))</f>
        <v/>
      </c>
      <c r="AK145" s="3" t="n"/>
      <c r="AL145" s="3" t="n"/>
      <c r="AM145" s="3" t="n"/>
      <c r="AN145" s="3" t="n"/>
      <c r="AO145" s="3" t="n"/>
      <c r="AP145" s="3">
        <f>SUM(AF145,AJ145,AK145,AL145,AM145,AN145,AO145,AG145,AH145)</f>
        <v/>
      </c>
      <c r="AQ145" s="3">
        <f>AE145-AP145</f>
        <v/>
      </c>
      <c r="AR145" s="3" t="n"/>
      <c r="AS145" s="3" t="n"/>
      <c r="AT145" s="3">
        <f>AR145-AS145</f>
        <v/>
      </c>
    </row>
    <row r="146">
      <c r="A146" s="2" t="n"/>
      <c r="B146" s="3" t="n"/>
      <c r="C146" s="4" t="n"/>
      <c r="D146" s="5" t="n"/>
      <c r="E146" s="3" t="n"/>
      <c r="F146" s="3">
        <f>IF(C146=0,0,IF(E146="",B146*D146/100,E146))</f>
        <v/>
      </c>
      <c r="G146" s="4" t="n"/>
      <c r="H146" s="5" t="n"/>
      <c r="I146" s="3" t="n"/>
      <c r="J146" s="3">
        <f>IF(G146=0,0,IF(I146="",B146*H146/100,I146))</f>
        <v/>
      </c>
      <c r="K146" s="4" t="n"/>
      <c r="L146" s="5" t="n"/>
      <c r="M146" s="3" t="n"/>
      <c r="N146" s="3">
        <f>IF(K146=0,0,IF(M146="",B146*L146/100,M146))</f>
        <v/>
      </c>
      <c r="O146" s="4" t="n"/>
      <c r="P146" s="5" t="n"/>
      <c r="Q146" s="3" t="n"/>
      <c r="R146" s="3">
        <f>IF(O146=0,0,IF(Q146="",B146*P146/100,Q146))</f>
        <v/>
      </c>
      <c r="S146" s="4" t="n"/>
      <c r="T146" s="5" t="n"/>
      <c r="U146" s="3" t="n"/>
      <c r="V146" s="3">
        <f>IF(S146=0,0,IF(U146="",B146*T146/100,U146))</f>
        <v/>
      </c>
      <c r="W146" s="4" t="n"/>
      <c r="X146" s="5" t="n"/>
      <c r="Y146" s="3" t="n"/>
      <c r="Z146" s="3">
        <f>IF(W146=0,0,IF(Y146="",B146*X146/100,Y146))</f>
        <v/>
      </c>
      <c r="AA146" s="3" t="n"/>
      <c r="AB146" s="3" t="n"/>
      <c r="AC146" s="3">
        <f>B146*0.035</f>
        <v/>
      </c>
      <c r="AD146" s="3">
        <f>B146*0.065</f>
        <v/>
      </c>
      <c r="AE146" s="3">
        <f>SUM(B146,F146,J146,N146,R146,V146,Z146,AA146,AB146,AC146,AD146)</f>
        <v/>
      </c>
      <c r="AF146" s="3">
        <f>B146*0.055</f>
        <v/>
      </c>
      <c r="AG146" s="3">
        <f>B146*0.035</f>
        <v/>
      </c>
      <c r="AH146" s="3">
        <f>B146*0.165</f>
        <v/>
      </c>
      <c r="AI146" s="3">
        <f>MAX(0,AE146-AF146-AH146)</f>
        <v/>
      </c>
      <c r="AJ146" s="3">
        <f>IF(AI146&lt;=490,0,IF(AI146&lt;=600,(AI146-490)*0.05,IF(AI146&lt;=730,5.5+(AI146-600)*0.10,IF(AI146&lt;=3896.67,18.5+(AI146-730)*0.175,IF(AI146&lt;=19896.67,572.67+(AI146-3896.67)*0.25,IF(AI146&lt;=50416.67,4572.67+(AI146-19896.67)*0.30,13728.67+(AI146-50416.67)*0.35))))))</f>
        <v/>
      </c>
      <c r="AK146" s="3" t="n"/>
      <c r="AL146" s="3" t="n"/>
      <c r="AM146" s="3" t="n"/>
      <c r="AN146" s="3" t="n"/>
      <c r="AO146" s="3" t="n"/>
      <c r="AP146" s="3">
        <f>SUM(AF146,AJ146,AK146,AL146,AM146,AN146,AO146,AG146,AH146)</f>
        <v/>
      </c>
      <c r="AQ146" s="3">
        <f>AE146-AP146</f>
        <v/>
      </c>
      <c r="AR146" s="3" t="n"/>
      <c r="AS146" s="3" t="n"/>
      <c r="AT146" s="3">
        <f>AR146-AS146</f>
        <v/>
      </c>
    </row>
    <row r="147">
      <c r="A147" s="2" t="n"/>
      <c r="B147" s="3" t="n"/>
      <c r="C147" s="4" t="n"/>
      <c r="D147" s="5" t="n"/>
      <c r="E147" s="3" t="n"/>
      <c r="F147" s="3">
        <f>IF(C147=0,0,IF(E147="",B147*D147/100,E147))</f>
        <v/>
      </c>
      <c r="G147" s="4" t="n"/>
      <c r="H147" s="5" t="n"/>
      <c r="I147" s="3" t="n"/>
      <c r="J147" s="3">
        <f>IF(G147=0,0,IF(I147="",B147*H147/100,I147))</f>
        <v/>
      </c>
      <c r="K147" s="4" t="n"/>
      <c r="L147" s="5" t="n"/>
      <c r="M147" s="3" t="n"/>
      <c r="N147" s="3">
        <f>IF(K147=0,0,IF(M147="",B147*L147/100,M147))</f>
        <v/>
      </c>
      <c r="O147" s="4" t="n"/>
      <c r="P147" s="5" t="n"/>
      <c r="Q147" s="3" t="n"/>
      <c r="R147" s="3">
        <f>IF(O147=0,0,IF(Q147="",B147*P147/100,Q147))</f>
        <v/>
      </c>
      <c r="S147" s="4" t="n"/>
      <c r="T147" s="5" t="n"/>
      <c r="U147" s="3" t="n"/>
      <c r="V147" s="3">
        <f>IF(S147=0,0,IF(U147="",B147*T147/100,U147))</f>
        <v/>
      </c>
      <c r="W147" s="4" t="n"/>
      <c r="X147" s="5" t="n"/>
      <c r="Y147" s="3" t="n"/>
      <c r="Z147" s="3">
        <f>IF(W147=0,0,IF(Y147="",B147*X147/100,Y147))</f>
        <v/>
      </c>
      <c r="AA147" s="3" t="n"/>
      <c r="AB147" s="3" t="n"/>
      <c r="AC147" s="3">
        <f>B147*0.035</f>
        <v/>
      </c>
      <c r="AD147" s="3">
        <f>B147*0.065</f>
        <v/>
      </c>
      <c r="AE147" s="3">
        <f>SUM(B147,F147,J147,N147,R147,V147,Z147,AA147,AB147,AC147,AD147)</f>
        <v/>
      </c>
      <c r="AF147" s="3">
        <f>B147*0.055</f>
        <v/>
      </c>
      <c r="AG147" s="3">
        <f>B147*0.035</f>
        <v/>
      </c>
      <c r="AH147" s="3">
        <f>B147*0.165</f>
        <v/>
      </c>
      <c r="AI147" s="3">
        <f>MAX(0,AE147-AF147-AH147)</f>
        <v/>
      </c>
      <c r="AJ147" s="3">
        <f>IF(AI147&lt;=490,0,IF(AI147&lt;=600,(AI147-490)*0.05,IF(AI147&lt;=730,5.5+(AI147-600)*0.10,IF(AI147&lt;=3896.67,18.5+(AI147-730)*0.175,IF(AI147&lt;=19896.67,572.67+(AI147-3896.67)*0.25,IF(AI147&lt;=50416.67,4572.67+(AI147-19896.67)*0.30,13728.67+(AI147-50416.67)*0.35))))))</f>
        <v/>
      </c>
      <c r="AK147" s="3" t="n"/>
      <c r="AL147" s="3" t="n"/>
      <c r="AM147" s="3" t="n"/>
      <c r="AN147" s="3" t="n"/>
      <c r="AO147" s="3" t="n"/>
      <c r="AP147" s="3">
        <f>SUM(AF147,AJ147,AK147,AL147,AM147,AN147,AO147,AG147,AH147)</f>
        <v/>
      </c>
      <c r="AQ147" s="3">
        <f>AE147-AP147</f>
        <v/>
      </c>
      <c r="AR147" s="3" t="n"/>
      <c r="AS147" s="3" t="n"/>
      <c r="AT147" s="3">
        <f>AR147-AS147</f>
        <v/>
      </c>
    </row>
    <row r="148">
      <c r="A148" s="2" t="n"/>
      <c r="B148" s="3" t="n"/>
      <c r="C148" s="4" t="n"/>
      <c r="D148" s="5" t="n"/>
      <c r="E148" s="3" t="n"/>
      <c r="F148" s="3">
        <f>IF(C148=0,0,IF(E148="",B148*D148/100,E148))</f>
        <v/>
      </c>
      <c r="G148" s="4" t="n"/>
      <c r="H148" s="5" t="n"/>
      <c r="I148" s="3" t="n"/>
      <c r="J148" s="3">
        <f>IF(G148=0,0,IF(I148="",B148*H148/100,I148))</f>
        <v/>
      </c>
      <c r="K148" s="4" t="n"/>
      <c r="L148" s="5" t="n"/>
      <c r="M148" s="3" t="n"/>
      <c r="N148" s="3">
        <f>IF(K148=0,0,IF(M148="",B148*L148/100,M148))</f>
        <v/>
      </c>
      <c r="O148" s="4" t="n"/>
      <c r="P148" s="5" t="n"/>
      <c r="Q148" s="3" t="n"/>
      <c r="R148" s="3">
        <f>IF(O148=0,0,IF(Q148="",B148*P148/100,Q148))</f>
        <v/>
      </c>
      <c r="S148" s="4" t="n"/>
      <c r="T148" s="5" t="n"/>
      <c r="U148" s="3" t="n"/>
      <c r="V148" s="3">
        <f>IF(S148=0,0,IF(U148="",B148*T148/100,U148))</f>
        <v/>
      </c>
      <c r="W148" s="4" t="n"/>
      <c r="X148" s="5" t="n"/>
      <c r="Y148" s="3" t="n"/>
      <c r="Z148" s="3">
        <f>IF(W148=0,0,IF(Y148="",B148*X148/100,Y148))</f>
        <v/>
      </c>
      <c r="AA148" s="3" t="n"/>
      <c r="AB148" s="3" t="n"/>
      <c r="AC148" s="3">
        <f>B148*0.035</f>
        <v/>
      </c>
      <c r="AD148" s="3">
        <f>B148*0.065</f>
        <v/>
      </c>
      <c r="AE148" s="3">
        <f>SUM(B148,F148,J148,N148,R148,V148,Z148,AA148,AB148,AC148,AD148)</f>
        <v/>
      </c>
      <c r="AF148" s="3">
        <f>B148*0.055</f>
        <v/>
      </c>
      <c r="AG148" s="3">
        <f>B148*0.035</f>
        <v/>
      </c>
      <c r="AH148" s="3">
        <f>B148*0.165</f>
        <v/>
      </c>
      <c r="AI148" s="3">
        <f>MAX(0,AE148-AF148-AH148)</f>
        <v/>
      </c>
      <c r="AJ148" s="3">
        <f>IF(AI148&lt;=490,0,IF(AI148&lt;=600,(AI148-490)*0.05,IF(AI148&lt;=730,5.5+(AI148-600)*0.10,IF(AI148&lt;=3896.67,18.5+(AI148-730)*0.175,IF(AI148&lt;=19896.67,572.67+(AI148-3896.67)*0.25,IF(AI148&lt;=50416.67,4572.67+(AI148-19896.67)*0.30,13728.67+(AI148-50416.67)*0.35))))))</f>
        <v/>
      </c>
      <c r="AK148" s="3" t="n"/>
      <c r="AL148" s="3" t="n"/>
      <c r="AM148" s="3" t="n"/>
      <c r="AN148" s="3" t="n"/>
      <c r="AO148" s="3" t="n"/>
      <c r="AP148" s="3">
        <f>SUM(AF148,AJ148,AK148,AL148,AM148,AN148,AO148,AG148,AH148)</f>
        <v/>
      </c>
      <c r="AQ148" s="3">
        <f>AE148-AP148</f>
        <v/>
      </c>
      <c r="AR148" s="3" t="n"/>
      <c r="AS148" s="3" t="n"/>
      <c r="AT148" s="3">
        <f>AR148-AS148</f>
        <v/>
      </c>
    </row>
    <row r="149">
      <c r="A149" s="2" t="n"/>
      <c r="B149" s="3" t="n"/>
      <c r="C149" s="4" t="n"/>
      <c r="D149" s="5" t="n"/>
      <c r="E149" s="3" t="n"/>
      <c r="F149" s="3">
        <f>IF(C149=0,0,IF(E149="",B149*D149/100,E149))</f>
        <v/>
      </c>
      <c r="G149" s="4" t="n"/>
      <c r="H149" s="5" t="n"/>
      <c r="I149" s="3" t="n"/>
      <c r="J149" s="3">
        <f>IF(G149=0,0,IF(I149="",B149*H149/100,I149))</f>
        <v/>
      </c>
      <c r="K149" s="4" t="n"/>
      <c r="L149" s="5" t="n"/>
      <c r="M149" s="3" t="n"/>
      <c r="N149" s="3">
        <f>IF(K149=0,0,IF(M149="",B149*L149/100,M149))</f>
        <v/>
      </c>
      <c r="O149" s="4" t="n"/>
      <c r="P149" s="5" t="n"/>
      <c r="Q149" s="3" t="n"/>
      <c r="R149" s="3">
        <f>IF(O149=0,0,IF(Q149="",B149*P149/100,Q149))</f>
        <v/>
      </c>
      <c r="S149" s="4" t="n"/>
      <c r="T149" s="5" t="n"/>
      <c r="U149" s="3" t="n"/>
      <c r="V149" s="3">
        <f>IF(S149=0,0,IF(U149="",B149*T149/100,U149))</f>
        <v/>
      </c>
      <c r="W149" s="4" t="n"/>
      <c r="X149" s="5" t="n"/>
      <c r="Y149" s="3" t="n"/>
      <c r="Z149" s="3">
        <f>IF(W149=0,0,IF(Y149="",B149*X149/100,Y149))</f>
        <v/>
      </c>
      <c r="AA149" s="3" t="n"/>
      <c r="AB149" s="3" t="n"/>
      <c r="AC149" s="3">
        <f>B149*0.035</f>
        <v/>
      </c>
      <c r="AD149" s="3">
        <f>B149*0.065</f>
        <v/>
      </c>
      <c r="AE149" s="3">
        <f>SUM(B149,F149,J149,N149,R149,V149,Z149,AA149,AB149,AC149,AD149)</f>
        <v/>
      </c>
      <c r="AF149" s="3">
        <f>B149*0.055</f>
        <v/>
      </c>
      <c r="AG149" s="3">
        <f>B149*0.035</f>
        <v/>
      </c>
      <c r="AH149" s="3">
        <f>B149*0.165</f>
        <v/>
      </c>
      <c r="AI149" s="3">
        <f>MAX(0,AE149-AF149-AH149)</f>
        <v/>
      </c>
      <c r="AJ149" s="3">
        <f>IF(AI149&lt;=490,0,IF(AI149&lt;=600,(AI149-490)*0.05,IF(AI149&lt;=730,5.5+(AI149-600)*0.10,IF(AI149&lt;=3896.67,18.5+(AI149-730)*0.175,IF(AI149&lt;=19896.67,572.67+(AI149-3896.67)*0.25,IF(AI149&lt;=50416.67,4572.67+(AI149-19896.67)*0.30,13728.67+(AI149-50416.67)*0.35))))))</f>
        <v/>
      </c>
      <c r="AK149" s="3" t="n"/>
      <c r="AL149" s="3" t="n"/>
      <c r="AM149" s="3" t="n"/>
      <c r="AN149" s="3" t="n"/>
      <c r="AO149" s="3" t="n"/>
      <c r="AP149" s="3">
        <f>SUM(AF149,AJ149,AK149,AL149,AM149,AN149,AO149,AG149,AH149)</f>
        <v/>
      </c>
      <c r="AQ149" s="3">
        <f>AE149-AP149</f>
        <v/>
      </c>
      <c r="AR149" s="3" t="n"/>
      <c r="AS149" s="3" t="n"/>
      <c r="AT149" s="3">
        <f>AR149-AS149</f>
        <v/>
      </c>
    </row>
    <row r="150">
      <c r="A150" s="2" t="n"/>
      <c r="B150" s="3" t="n"/>
      <c r="C150" s="4" t="n"/>
      <c r="D150" s="5" t="n"/>
      <c r="E150" s="3" t="n"/>
      <c r="F150" s="3">
        <f>IF(C150=0,0,IF(E150="",B150*D150/100,E150))</f>
        <v/>
      </c>
      <c r="G150" s="4" t="n"/>
      <c r="H150" s="5" t="n"/>
      <c r="I150" s="3" t="n"/>
      <c r="J150" s="3">
        <f>IF(G150=0,0,IF(I150="",B150*H150/100,I150))</f>
        <v/>
      </c>
      <c r="K150" s="4" t="n"/>
      <c r="L150" s="5" t="n"/>
      <c r="M150" s="3" t="n"/>
      <c r="N150" s="3">
        <f>IF(K150=0,0,IF(M150="",B150*L150/100,M150))</f>
        <v/>
      </c>
      <c r="O150" s="4" t="n"/>
      <c r="P150" s="5" t="n"/>
      <c r="Q150" s="3" t="n"/>
      <c r="R150" s="3">
        <f>IF(O150=0,0,IF(Q150="",B150*P150/100,Q150))</f>
        <v/>
      </c>
      <c r="S150" s="4" t="n"/>
      <c r="T150" s="5" t="n"/>
      <c r="U150" s="3" t="n"/>
      <c r="V150" s="3">
        <f>IF(S150=0,0,IF(U150="",B150*T150/100,U150))</f>
        <v/>
      </c>
      <c r="W150" s="4" t="n"/>
      <c r="X150" s="5" t="n"/>
      <c r="Y150" s="3" t="n"/>
      <c r="Z150" s="3">
        <f>IF(W150=0,0,IF(Y150="",B150*X150/100,Y150))</f>
        <v/>
      </c>
      <c r="AA150" s="3" t="n"/>
      <c r="AB150" s="3" t="n"/>
      <c r="AC150" s="3">
        <f>B150*0.035</f>
        <v/>
      </c>
      <c r="AD150" s="3">
        <f>B150*0.065</f>
        <v/>
      </c>
      <c r="AE150" s="3">
        <f>SUM(B150,F150,J150,N150,R150,V150,Z150,AA150,AB150,AC150,AD150)</f>
        <v/>
      </c>
      <c r="AF150" s="3">
        <f>B150*0.055</f>
        <v/>
      </c>
      <c r="AG150" s="3">
        <f>B150*0.035</f>
        <v/>
      </c>
      <c r="AH150" s="3">
        <f>B150*0.165</f>
        <v/>
      </c>
      <c r="AI150" s="3">
        <f>MAX(0,AE150-AF150-AH150)</f>
        <v/>
      </c>
      <c r="AJ150" s="3">
        <f>IF(AI150&lt;=490,0,IF(AI150&lt;=600,(AI150-490)*0.05,IF(AI150&lt;=730,5.5+(AI150-600)*0.10,IF(AI150&lt;=3896.67,18.5+(AI150-730)*0.175,IF(AI150&lt;=19896.67,572.67+(AI150-3896.67)*0.25,IF(AI150&lt;=50416.67,4572.67+(AI150-19896.67)*0.30,13728.67+(AI150-50416.67)*0.35))))))</f>
        <v/>
      </c>
      <c r="AK150" s="3" t="n"/>
      <c r="AL150" s="3" t="n"/>
      <c r="AM150" s="3" t="n"/>
      <c r="AN150" s="3" t="n"/>
      <c r="AO150" s="3" t="n"/>
      <c r="AP150" s="3">
        <f>SUM(AF150,AJ150,AK150,AL150,AM150,AN150,AO150,AG150,AH150)</f>
        <v/>
      </c>
      <c r="AQ150" s="3">
        <f>AE150-AP150</f>
        <v/>
      </c>
      <c r="AR150" s="3" t="n"/>
      <c r="AS150" s="3" t="n"/>
      <c r="AT150" s="3">
        <f>AR150-AS150</f>
        <v/>
      </c>
    </row>
    <row r="151">
      <c r="A151" s="2" t="n"/>
      <c r="B151" s="3" t="n"/>
      <c r="C151" s="4" t="n"/>
      <c r="D151" s="5" t="n"/>
      <c r="E151" s="3" t="n"/>
      <c r="F151" s="3">
        <f>IF(C151=0,0,IF(E151="",B151*D151/100,E151))</f>
        <v/>
      </c>
      <c r="G151" s="4" t="n"/>
      <c r="H151" s="5" t="n"/>
      <c r="I151" s="3" t="n"/>
      <c r="J151" s="3">
        <f>IF(G151=0,0,IF(I151="",B151*H151/100,I151))</f>
        <v/>
      </c>
      <c r="K151" s="4" t="n"/>
      <c r="L151" s="5" t="n"/>
      <c r="M151" s="3" t="n"/>
      <c r="N151" s="3">
        <f>IF(K151=0,0,IF(M151="",B151*L151/100,M151))</f>
        <v/>
      </c>
      <c r="O151" s="4" t="n"/>
      <c r="P151" s="5" t="n"/>
      <c r="Q151" s="3" t="n"/>
      <c r="R151" s="3">
        <f>IF(O151=0,0,IF(Q151="",B151*P151/100,Q151))</f>
        <v/>
      </c>
      <c r="S151" s="4" t="n"/>
      <c r="T151" s="5" t="n"/>
      <c r="U151" s="3" t="n"/>
      <c r="V151" s="3">
        <f>IF(S151=0,0,IF(U151="",B151*T151/100,U151))</f>
        <v/>
      </c>
      <c r="W151" s="4" t="n"/>
      <c r="X151" s="5" t="n"/>
      <c r="Y151" s="3" t="n"/>
      <c r="Z151" s="3">
        <f>IF(W151=0,0,IF(Y151="",B151*X151/100,Y151))</f>
        <v/>
      </c>
      <c r="AA151" s="3" t="n"/>
      <c r="AB151" s="3" t="n"/>
      <c r="AC151" s="3">
        <f>B151*0.035</f>
        <v/>
      </c>
      <c r="AD151" s="3">
        <f>B151*0.065</f>
        <v/>
      </c>
      <c r="AE151" s="3">
        <f>SUM(B151,F151,J151,N151,R151,V151,Z151,AA151,AB151,AC151,AD151)</f>
        <v/>
      </c>
      <c r="AF151" s="3">
        <f>B151*0.055</f>
        <v/>
      </c>
      <c r="AG151" s="3">
        <f>B151*0.035</f>
        <v/>
      </c>
      <c r="AH151" s="3">
        <f>B151*0.165</f>
        <v/>
      </c>
      <c r="AI151" s="3">
        <f>MAX(0,AE151-AF151-AH151)</f>
        <v/>
      </c>
      <c r="AJ151" s="3">
        <f>IF(AI151&lt;=490,0,IF(AI151&lt;=600,(AI151-490)*0.05,IF(AI151&lt;=730,5.5+(AI151-600)*0.10,IF(AI151&lt;=3896.67,18.5+(AI151-730)*0.175,IF(AI151&lt;=19896.67,572.67+(AI151-3896.67)*0.25,IF(AI151&lt;=50416.67,4572.67+(AI151-19896.67)*0.30,13728.67+(AI151-50416.67)*0.35))))))</f>
        <v/>
      </c>
      <c r="AK151" s="3" t="n"/>
      <c r="AL151" s="3" t="n"/>
      <c r="AM151" s="3" t="n"/>
      <c r="AN151" s="3" t="n"/>
      <c r="AO151" s="3" t="n"/>
      <c r="AP151" s="3">
        <f>SUM(AF151,AJ151,AK151,AL151,AM151,AN151,AO151,AG151,AH151)</f>
        <v/>
      </c>
      <c r="AQ151" s="3">
        <f>AE151-AP151</f>
        <v/>
      </c>
      <c r="AR151" s="3" t="n"/>
      <c r="AS151" s="3" t="n"/>
      <c r="AT151" s="3">
        <f>AR151-AS151</f>
        <v/>
      </c>
    </row>
    <row r="152">
      <c r="A152" s="2" t="n"/>
      <c r="B152" s="3" t="n"/>
      <c r="C152" s="4" t="n"/>
      <c r="D152" s="5" t="n"/>
      <c r="E152" s="3" t="n"/>
      <c r="F152" s="3">
        <f>IF(C152=0,0,IF(E152="",B152*D152/100,E152))</f>
        <v/>
      </c>
      <c r="G152" s="4" t="n"/>
      <c r="H152" s="5" t="n"/>
      <c r="I152" s="3" t="n"/>
      <c r="J152" s="3">
        <f>IF(G152=0,0,IF(I152="",B152*H152/100,I152))</f>
        <v/>
      </c>
      <c r="K152" s="4" t="n"/>
      <c r="L152" s="5" t="n"/>
      <c r="M152" s="3" t="n"/>
      <c r="N152" s="3">
        <f>IF(K152=0,0,IF(M152="",B152*L152/100,M152))</f>
        <v/>
      </c>
      <c r="O152" s="4" t="n"/>
      <c r="P152" s="5" t="n"/>
      <c r="Q152" s="3" t="n"/>
      <c r="R152" s="3">
        <f>IF(O152=0,0,IF(Q152="",B152*P152/100,Q152))</f>
        <v/>
      </c>
      <c r="S152" s="4" t="n"/>
      <c r="T152" s="5" t="n"/>
      <c r="U152" s="3" t="n"/>
      <c r="V152" s="3">
        <f>IF(S152=0,0,IF(U152="",B152*T152/100,U152))</f>
        <v/>
      </c>
      <c r="W152" s="4" t="n"/>
      <c r="X152" s="5" t="n"/>
      <c r="Y152" s="3" t="n"/>
      <c r="Z152" s="3">
        <f>IF(W152=0,0,IF(Y152="",B152*X152/100,Y152))</f>
        <v/>
      </c>
      <c r="AA152" s="3" t="n"/>
      <c r="AB152" s="3" t="n"/>
      <c r="AC152" s="3">
        <f>B152*0.035</f>
        <v/>
      </c>
      <c r="AD152" s="3">
        <f>B152*0.065</f>
        <v/>
      </c>
      <c r="AE152" s="3">
        <f>SUM(B152,F152,J152,N152,R152,V152,Z152,AA152,AB152,AC152,AD152)</f>
        <v/>
      </c>
      <c r="AF152" s="3">
        <f>B152*0.055</f>
        <v/>
      </c>
      <c r="AG152" s="3">
        <f>B152*0.035</f>
        <v/>
      </c>
      <c r="AH152" s="3">
        <f>B152*0.165</f>
        <v/>
      </c>
      <c r="AI152" s="3">
        <f>MAX(0,AE152-AF152-AH152)</f>
        <v/>
      </c>
      <c r="AJ152" s="3">
        <f>IF(AI152&lt;=490,0,IF(AI152&lt;=600,(AI152-490)*0.05,IF(AI152&lt;=730,5.5+(AI152-600)*0.10,IF(AI152&lt;=3896.67,18.5+(AI152-730)*0.175,IF(AI152&lt;=19896.67,572.67+(AI152-3896.67)*0.25,IF(AI152&lt;=50416.67,4572.67+(AI152-19896.67)*0.30,13728.67+(AI152-50416.67)*0.35))))))</f>
        <v/>
      </c>
      <c r="AK152" s="3" t="n"/>
      <c r="AL152" s="3" t="n"/>
      <c r="AM152" s="3" t="n"/>
      <c r="AN152" s="3" t="n"/>
      <c r="AO152" s="3" t="n"/>
      <c r="AP152" s="3">
        <f>SUM(AF152,AJ152,AK152,AL152,AM152,AN152,AO152,AG152,AH152)</f>
        <v/>
      </c>
      <c r="AQ152" s="3">
        <f>AE152-AP152</f>
        <v/>
      </c>
      <c r="AR152" s="3" t="n"/>
      <c r="AS152" s="3" t="n"/>
      <c r="AT152" s="3">
        <f>AR152-AS152</f>
        <v/>
      </c>
    </row>
    <row r="153">
      <c r="A153" s="2" t="n"/>
      <c r="B153" s="3" t="n"/>
      <c r="C153" s="4" t="n"/>
      <c r="D153" s="5" t="n"/>
      <c r="E153" s="3" t="n"/>
      <c r="F153" s="3">
        <f>IF(C153=0,0,IF(E153="",B153*D153/100,E153))</f>
        <v/>
      </c>
      <c r="G153" s="4" t="n"/>
      <c r="H153" s="5" t="n"/>
      <c r="I153" s="3" t="n"/>
      <c r="J153" s="3">
        <f>IF(G153=0,0,IF(I153="",B153*H153/100,I153))</f>
        <v/>
      </c>
      <c r="K153" s="4" t="n"/>
      <c r="L153" s="5" t="n"/>
      <c r="M153" s="3" t="n"/>
      <c r="N153" s="3">
        <f>IF(K153=0,0,IF(M153="",B153*L153/100,M153))</f>
        <v/>
      </c>
      <c r="O153" s="4" t="n"/>
      <c r="P153" s="5" t="n"/>
      <c r="Q153" s="3" t="n"/>
      <c r="R153" s="3">
        <f>IF(O153=0,0,IF(Q153="",B153*P153/100,Q153))</f>
        <v/>
      </c>
      <c r="S153" s="4" t="n"/>
      <c r="T153" s="5" t="n"/>
      <c r="U153" s="3" t="n"/>
      <c r="V153" s="3">
        <f>IF(S153=0,0,IF(U153="",B153*T153/100,U153))</f>
        <v/>
      </c>
      <c r="W153" s="4" t="n"/>
      <c r="X153" s="5" t="n"/>
      <c r="Y153" s="3" t="n"/>
      <c r="Z153" s="3">
        <f>IF(W153=0,0,IF(Y153="",B153*X153/100,Y153))</f>
        <v/>
      </c>
      <c r="AA153" s="3" t="n"/>
      <c r="AB153" s="3" t="n"/>
      <c r="AC153" s="3">
        <f>B153*0.035</f>
        <v/>
      </c>
      <c r="AD153" s="3">
        <f>B153*0.065</f>
        <v/>
      </c>
      <c r="AE153" s="3">
        <f>SUM(B153,F153,J153,N153,R153,V153,Z153,AA153,AB153,AC153,AD153)</f>
        <v/>
      </c>
      <c r="AF153" s="3">
        <f>B153*0.055</f>
        <v/>
      </c>
      <c r="AG153" s="3">
        <f>B153*0.035</f>
        <v/>
      </c>
      <c r="AH153" s="3">
        <f>B153*0.165</f>
        <v/>
      </c>
      <c r="AI153" s="3">
        <f>MAX(0,AE153-AF153-AH153)</f>
        <v/>
      </c>
      <c r="AJ153" s="3">
        <f>IF(AI153&lt;=490,0,IF(AI153&lt;=600,(AI153-490)*0.05,IF(AI153&lt;=730,5.5+(AI153-600)*0.10,IF(AI153&lt;=3896.67,18.5+(AI153-730)*0.175,IF(AI153&lt;=19896.67,572.67+(AI153-3896.67)*0.25,IF(AI153&lt;=50416.67,4572.67+(AI153-19896.67)*0.30,13728.67+(AI153-50416.67)*0.35))))))</f>
        <v/>
      </c>
      <c r="AK153" s="3" t="n"/>
      <c r="AL153" s="3" t="n"/>
      <c r="AM153" s="3" t="n"/>
      <c r="AN153" s="3" t="n"/>
      <c r="AO153" s="3" t="n"/>
      <c r="AP153" s="3">
        <f>SUM(AF153,AJ153,AK153,AL153,AM153,AN153,AO153,AG153,AH153)</f>
        <v/>
      </c>
      <c r="AQ153" s="3">
        <f>AE153-AP153</f>
        <v/>
      </c>
      <c r="AR153" s="3" t="n"/>
      <c r="AS153" s="3" t="n"/>
      <c r="AT153" s="3">
        <f>AR153-AS153</f>
        <v/>
      </c>
    </row>
    <row r="154">
      <c r="A154" s="2" t="n"/>
      <c r="B154" s="3" t="n"/>
      <c r="C154" s="4" t="n"/>
      <c r="D154" s="5" t="n"/>
      <c r="E154" s="3" t="n"/>
      <c r="F154" s="3">
        <f>IF(C154=0,0,IF(E154="",B154*D154/100,E154))</f>
        <v/>
      </c>
      <c r="G154" s="4" t="n"/>
      <c r="H154" s="5" t="n"/>
      <c r="I154" s="3" t="n"/>
      <c r="J154" s="3">
        <f>IF(G154=0,0,IF(I154="",B154*H154/100,I154))</f>
        <v/>
      </c>
      <c r="K154" s="4" t="n"/>
      <c r="L154" s="5" t="n"/>
      <c r="M154" s="3" t="n"/>
      <c r="N154" s="3">
        <f>IF(K154=0,0,IF(M154="",B154*L154/100,M154))</f>
        <v/>
      </c>
      <c r="O154" s="4" t="n"/>
      <c r="P154" s="5" t="n"/>
      <c r="Q154" s="3" t="n"/>
      <c r="R154" s="3">
        <f>IF(O154=0,0,IF(Q154="",B154*P154/100,Q154))</f>
        <v/>
      </c>
      <c r="S154" s="4" t="n"/>
      <c r="T154" s="5" t="n"/>
      <c r="U154" s="3" t="n"/>
      <c r="V154" s="3">
        <f>IF(S154=0,0,IF(U154="",B154*T154/100,U154))</f>
        <v/>
      </c>
      <c r="W154" s="4" t="n"/>
      <c r="X154" s="5" t="n"/>
      <c r="Y154" s="3" t="n"/>
      <c r="Z154" s="3">
        <f>IF(W154=0,0,IF(Y154="",B154*X154/100,Y154))</f>
        <v/>
      </c>
      <c r="AA154" s="3" t="n"/>
      <c r="AB154" s="3" t="n"/>
      <c r="AC154" s="3">
        <f>B154*0.035</f>
        <v/>
      </c>
      <c r="AD154" s="3">
        <f>B154*0.065</f>
        <v/>
      </c>
      <c r="AE154" s="3">
        <f>SUM(B154,F154,J154,N154,R154,V154,Z154,AA154,AB154,AC154,AD154)</f>
        <v/>
      </c>
      <c r="AF154" s="3">
        <f>B154*0.055</f>
        <v/>
      </c>
      <c r="AG154" s="3">
        <f>B154*0.035</f>
        <v/>
      </c>
      <c r="AH154" s="3">
        <f>B154*0.165</f>
        <v/>
      </c>
      <c r="AI154" s="3">
        <f>MAX(0,AE154-AF154-AH154)</f>
        <v/>
      </c>
      <c r="AJ154" s="3">
        <f>IF(AI154&lt;=490,0,IF(AI154&lt;=600,(AI154-490)*0.05,IF(AI154&lt;=730,5.5+(AI154-600)*0.10,IF(AI154&lt;=3896.67,18.5+(AI154-730)*0.175,IF(AI154&lt;=19896.67,572.67+(AI154-3896.67)*0.25,IF(AI154&lt;=50416.67,4572.67+(AI154-19896.67)*0.30,13728.67+(AI154-50416.67)*0.35))))))</f>
        <v/>
      </c>
      <c r="AK154" s="3" t="n"/>
      <c r="AL154" s="3" t="n"/>
      <c r="AM154" s="3" t="n"/>
      <c r="AN154" s="3" t="n"/>
      <c r="AO154" s="3" t="n"/>
      <c r="AP154" s="3">
        <f>SUM(AF154,AJ154,AK154,AL154,AM154,AN154,AO154,AG154,AH154)</f>
        <v/>
      </c>
      <c r="AQ154" s="3">
        <f>AE154-AP154</f>
        <v/>
      </c>
      <c r="AR154" s="3" t="n"/>
      <c r="AS154" s="3" t="n"/>
      <c r="AT154" s="3">
        <f>AR154-AS154</f>
        <v/>
      </c>
    </row>
    <row r="155">
      <c r="A155" s="2" t="n"/>
      <c r="B155" s="3" t="n"/>
      <c r="C155" s="4" t="n"/>
      <c r="D155" s="5" t="n"/>
      <c r="E155" s="3" t="n"/>
      <c r="F155" s="3">
        <f>IF(C155=0,0,IF(E155="",B155*D155/100,E155))</f>
        <v/>
      </c>
      <c r="G155" s="4" t="n"/>
      <c r="H155" s="5" t="n"/>
      <c r="I155" s="3" t="n"/>
      <c r="J155" s="3">
        <f>IF(G155=0,0,IF(I155="",B155*H155/100,I155))</f>
        <v/>
      </c>
      <c r="K155" s="4" t="n"/>
      <c r="L155" s="5" t="n"/>
      <c r="M155" s="3" t="n"/>
      <c r="N155" s="3">
        <f>IF(K155=0,0,IF(M155="",B155*L155/100,M155))</f>
        <v/>
      </c>
      <c r="O155" s="4" t="n"/>
      <c r="P155" s="5" t="n"/>
      <c r="Q155" s="3" t="n"/>
      <c r="R155" s="3">
        <f>IF(O155=0,0,IF(Q155="",B155*P155/100,Q155))</f>
        <v/>
      </c>
      <c r="S155" s="4" t="n"/>
      <c r="T155" s="5" t="n"/>
      <c r="U155" s="3" t="n"/>
      <c r="V155" s="3">
        <f>IF(S155=0,0,IF(U155="",B155*T155/100,U155))</f>
        <v/>
      </c>
      <c r="W155" s="4" t="n"/>
      <c r="X155" s="5" t="n"/>
      <c r="Y155" s="3" t="n"/>
      <c r="Z155" s="3">
        <f>IF(W155=0,0,IF(Y155="",B155*X155/100,Y155))</f>
        <v/>
      </c>
      <c r="AA155" s="3" t="n"/>
      <c r="AB155" s="3" t="n"/>
      <c r="AC155" s="3">
        <f>B155*0.035</f>
        <v/>
      </c>
      <c r="AD155" s="3">
        <f>B155*0.065</f>
        <v/>
      </c>
      <c r="AE155" s="3">
        <f>SUM(B155,F155,J155,N155,R155,V155,Z155,AA155,AB155,AC155,AD155)</f>
        <v/>
      </c>
      <c r="AF155" s="3">
        <f>B155*0.055</f>
        <v/>
      </c>
      <c r="AG155" s="3">
        <f>B155*0.035</f>
        <v/>
      </c>
      <c r="AH155" s="3">
        <f>B155*0.165</f>
        <v/>
      </c>
      <c r="AI155" s="3">
        <f>MAX(0,AE155-AF155-AH155)</f>
        <v/>
      </c>
      <c r="AJ155" s="3">
        <f>IF(AI155&lt;=490,0,IF(AI155&lt;=600,(AI155-490)*0.05,IF(AI155&lt;=730,5.5+(AI155-600)*0.10,IF(AI155&lt;=3896.67,18.5+(AI155-730)*0.175,IF(AI155&lt;=19896.67,572.67+(AI155-3896.67)*0.25,IF(AI155&lt;=50416.67,4572.67+(AI155-19896.67)*0.30,13728.67+(AI155-50416.67)*0.35))))))</f>
        <v/>
      </c>
      <c r="AK155" s="3" t="n"/>
      <c r="AL155" s="3" t="n"/>
      <c r="AM155" s="3" t="n"/>
      <c r="AN155" s="3" t="n"/>
      <c r="AO155" s="3" t="n"/>
      <c r="AP155" s="3">
        <f>SUM(AF155,AJ155,AK155,AL155,AM155,AN155,AO155,AG155,AH155)</f>
        <v/>
      </c>
      <c r="AQ155" s="3">
        <f>AE155-AP155</f>
        <v/>
      </c>
      <c r="AR155" s="3" t="n"/>
      <c r="AS155" s="3" t="n"/>
      <c r="AT155" s="3">
        <f>AR155-AS155</f>
        <v/>
      </c>
    </row>
    <row r="156">
      <c r="A156" s="2" t="n"/>
      <c r="B156" s="3" t="n"/>
      <c r="C156" s="4" t="n"/>
      <c r="D156" s="5" t="n"/>
      <c r="E156" s="3" t="n"/>
      <c r="F156" s="3">
        <f>IF(C156=0,0,IF(E156="",B156*D156/100,E156))</f>
        <v/>
      </c>
      <c r="G156" s="4" t="n"/>
      <c r="H156" s="5" t="n"/>
      <c r="I156" s="3" t="n"/>
      <c r="J156" s="3">
        <f>IF(G156=0,0,IF(I156="",B156*H156/100,I156))</f>
        <v/>
      </c>
      <c r="K156" s="4" t="n"/>
      <c r="L156" s="5" t="n"/>
      <c r="M156" s="3" t="n"/>
      <c r="N156" s="3">
        <f>IF(K156=0,0,IF(M156="",B156*L156/100,M156))</f>
        <v/>
      </c>
      <c r="O156" s="4" t="n"/>
      <c r="P156" s="5" t="n"/>
      <c r="Q156" s="3" t="n"/>
      <c r="R156" s="3">
        <f>IF(O156=0,0,IF(Q156="",B156*P156/100,Q156))</f>
        <v/>
      </c>
      <c r="S156" s="4" t="n"/>
      <c r="T156" s="5" t="n"/>
      <c r="U156" s="3" t="n"/>
      <c r="V156" s="3">
        <f>IF(S156=0,0,IF(U156="",B156*T156/100,U156))</f>
        <v/>
      </c>
      <c r="W156" s="4" t="n"/>
      <c r="X156" s="5" t="n"/>
      <c r="Y156" s="3" t="n"/>
      <c r="Z156" s="3">
        <f>IF(W156=0,0,IF(Y156="",B156*X156/100,Y156))</f>
        <v/>
      </c>
      <c r="AA156" s="3" t="n"/>
      <c r="AB156" s="3" t="n"/>
      <c r="AC156" s="3">
        <f>B156*0.035</f>
        <v/>
      </c>
      <c r="AD156" s="3">
        <f>B156*0.065</f>
        <v/>
      </c>
      <c r="AE156" s="3">
        <f>SUM(B156,F156,J156,N156,R156,V156,Z156,AA156,AB156,AC156,AD156)</f>
        <v/>
      </c>
      <c r="AF156" s="3">
        <f>B156*0.055</f>
        <v/>
      </c>
      <c r="AG156" s="3">
        <f>B156*0.035</f>
        <v/>
      </c>
      <c r="AH156" s="3">
        <f>B156*0.165</f>
        <v/>
      </c>
      <c r="AI156" s="3">
        <f>MAX(0,AE156-AF156-AH156)</f>
        <v/>
      </c>
      <c r="AJ156" s="3">
        <f>IF(AI156&lt;=490,0,IF(AI156&lt;=600,(AI156-490)*0.05,IF(AI156&lt;=730,5.5+(AI156-600)*0.10,IF(AI156&lt;=3896.67,18.5+(AI156-730)*0.175,IF(AI156&lt;=19896.67,572.67+(AI156-3896.67)*0.25,IF(AI156&lt;=50416.67,4572.67+(AI156-19896.67)*0.30,13728.67+(AI156-50416.67)*0.35))))))</f>
        <v/>
      </c>
      <c r="AK156" s="3" t="n"/>
      <c r="AL156" s="3" t="n"/>
      <c r="AM156" s="3" t="n"/>
      <c r="AN156" s="3" t="n"/>
      <c r="AO156" s="3" t="n"/>
      <c r="AP156" s="3">
        <f>SUM(AF156,AJ156,AK156,AL156,AM156,AN156,AO156,AG156,AH156)</f>
        <v/>
      </c>
      <c r="AQ156" s="3">
        <f>AE156-AP156</f>
        <v/>
      </c>
      <c r="AR156" s="3" t="n"/>
      <c r="AS156" s="3" t="n"/>
      <c r="AT156" s="3">
        <f>AR156-AS156</f>
        <v/>
      </c>
    </row>
    <row r="157">
      <c r="A157" s="2" t="n"/>
      <c r="B157" s="3" t="n"/>
      <c r="C157" s="4" t="n"/>
      <c r="D157" s="5" t="n"/>
      <c r="E157" s="3" t="n"/>
      <c r="F157" s="3">
        <f>IF(C157=0,0,IF(E157="",B157*D157/100,E157))</f>
        <v/>
      </c>
      <c r="G157" s="4" t="n"/>
      <c r="H157" s="5" t="n"/>
      <c r="I157" s="3" t="n"/>
      <c r="J157" s="3">
        <f>IF(G157=0,0,IF(I157="",B157*H157/100,I157))</f>
        <v/>
      </c>
      <c r="K157" s="4" t="n"/>
      <c r="L157" s="5" t="n"/>
      <c r="M157" s="3" t="n"/>
      <c r="N157" s="3">
        <f>IF(K157=0,0,IF(M157="",B157*L157/100,M157))</f>
        <v/>
      </c>
      <c r="O157" s="4" t="n"/>
      <c r="P157" s="5" t="n"/>
      <c r="Q157" s="3" t="n"/>
      <c r="R157" s="3">
        <f>IF(O157=0,0,IF(Q157="",B157*P157/100,Q157))</f>
        <v/>
      </c>
      <c r="S157" s="4" t="n"/>
      <c r="T157" s="5" t="n"/>
      <c r="U157" s="3" t="n"/>
      <c r="V157" s="3">
        <f>IF(S157=0,0,IF(U157="",B157*T157/100,U157))</f>
        <v/>
      </c>
      <c r="W157" s="4" t="n"/>
      <c r="X157" s="5" t="n"/>
      <c r="Y157" s="3" t="n"/>
      <c r="Z157" s="3">
        <f>IF(W157=0,0,IF(Y157="",B157*X157/100,Y157))</f>
        <v/>
      </c>
      <c r="AA157" s="3" t="n"/>
      <c r="AB157" s="3" t="n"/>
      <c r="AC157" s="3">
        <f>B157*0.035</f>
        <v/>
      </c>
      <c r="AD157" s="3">
        <f>B157*0.065</f>
        <v/>
      </c>
      <c r="AE157" s="3">
        <f>SUM(B157,F157,J157,N157,R157,V157,Z157,AA157,AB157,AC157,AD157)</f>
        <v/>
      </c>
      <c r="AF157" s="3">
        <f>B157*0.055</f>
        <v/>
      </c>
      <c r="AG157" s="3">
        <f>B157*0.035</f>
        <v/>
      </c>
      <c r="AH157" s="3">
        <f>B157*0.165</f>
        <v/>
      </c>
      <c r="AI157" s="3">
        <f>MAX(0,AE157-AF157-AH157)</f>
        <v/>
      </c>
      <c r="AJ157" s="3">
        <f>IF(AI157&lt;=490,0,IF(AI157&lt;=600,(AI157-490)*0.05,IF(AI157&lt;=730,5.5+(AI157-600)*0.10,IF(AI157&lt;=3896.67,18.5+(AI157-730)*0.175,IF(AI157&lt;=19896.67,572.67+(AI157-3896.67)*0.25,IF(AI157&lt;=50416.67,4572.67+(AI157-19896.67)*0.30,13728.67+(AI157-50416.67)*0.35))))))</f>
        <v/>
      </c>
      <c r="AK157" s="3" t="n"/>
      <c r="AL157" s="3" t="n"/>
      <c r="AM157" s="3" t="n"/>
      <c r="AN157" s="3" t="n"/>
      <c r="AO157" s="3" t="n"/>
      <c r="AP157" s="3">
        <f>SUM(AF157,AJ157,AK157,AL157,AM157,AN157,AO157,AG157,AH157)</f>
        <v/>
      </c>
      <c r="AQ157" s="3">
        <f>AE157-AP157</f>
        <v/>
      </c>
      <c r="AR157" s="3" t="n"/>
      <c r="AS157" s="3" t="n"/>
      <c r="AT157" s="3">
        <f>AR157-AS157</f>
        <v/>
      </c>
    </row>
    <row r="158">
      <c r="A158" s="2" t="n"/>
      <c r="B158" s="3" t="n"/>
      <c r="C158" s="4" t="n"/>
      <c r="D158" s="5" t="n"/>
      <c r="E158" s="3" t="n"/>
      <c r="F158" s="3">
        <f>IF(C158=0,0,IF(E158="",B158*D158/100,E158))</f>
        <v/>
      </c>
      <c r="G158" s="4" t="n"/>
      <c r="H158" s="5" t="n"/>
      <c r="I158" s="3" t="n"/>
      <c r="J158" s="3">
        <f>IF(G158=0,0,IF(I158="",B158*H158/100,I158))</f>
        <v/>
      </c>
      <c r="K158" s="4" t="n"/>
      <c r="L158" s="5" t="n"/>
      <c r="M158" s="3" t="n"/>
      <c r="N158" s="3">
        <f>IF(K158=0,0,IF(M158="",B158*L158/100,M158))</f>
        <v/>
      </c>
      <c r="O158" s="4" t="n"/>
      <c r="P158" s="5" t="n"/>
      <c r="Q158" s="3" t="n"/>
      <c r="R158" s="3">
        <f>IF(O158=0,0,IF(Q158="",B158*P158/100,Q158))</f>
        <v/>
      </c>
      <c r="S158" s="4" t="n"/>
      <c r="T158" s="5" t="n"/>
      <c r="U158" s="3" t="n"/>
      <c r="V158" s="3">
        <f>IF(S158=0,0,IF(U158="",B158*T158/100,U158))</f>
        <v/>
      </c>
      <c r="W158" s="4" t="n"/>
      <c r="X158" s="5" t="n"/>
      <c r="Y158" s="3" t="n"/>
      <c r="Z158" s="3">
        <f>IF(W158=0,0,IF(Y158="",B158*X158/100,Y158))</f>
        <v/>
      </c>
      <c r="AA158" s="3" t="n"/>
      <c r="AB158" s="3" t="n"/>
      <c r="AC158" s="3">
        <f>B158*0.035</f>
        <v/>
      </c>
      <c r="AD158" s="3">
        <f>B158*0.065</f>
        <v/>
      </c>
      <c r="AE158" s="3">
        <f>SUM(B158,F158,J158,N158,R158,V158,Z158,AA158,AB158,AC158,AD158)</f>
        <v/>
      </c>
      <c r="AF158" s="3">
        <f>B158*0.055</f>
        <v/>
      </c>
      <c r="AG158" s="3">
        <f>B158*0.035</f>
        <v/>
      </c>
      <c r="AH158" s="3">
        <f>B158*0.165</f>
        <v/>
      </c>
      <c r="AI158" s="3">
        <f>MAX(0,AE158-AF158-AH158)</f>
        <v/>
      </c>
      <c r="AJ158" s="3">
        <f>IF(AI158&lt;=490,0,IF(AI158&lt;=600,(AI158-490)*0.05,IF(AI158&lt;=730,5.5+(AI158-600)*0.10,IF(AI158&lt;=3896.67,18.5+(AI158-730)*0.175,IF(AI158&lt;=19896.67,572.67+(AI158-3896.67)*0.25,IF(AI158&lt;=50416.67,4572.67+(AI158-19896.67)*0.30,13728.67+(AI158-50416.67)*0.35))))))</f>
        <v/>
      </c>
      <c r="AK158" s="3" t="n"/>
      <c r="AL158" s="3" t="n"/>
      <c r="AM158" s="3" t="n"/>
      <c r="AN158" s="3" t="n"/>
      <c r="AO158" s="3" t="n"/>
      <c r="AP158" s="3">
        <f>SUM(AF158,AJ158,AK158,AL158,AM158,AN158,AO158,AG158,AH158)</f>
        <v/>
      </c>
      <c r="AQ158" s="3">
        <f>AE158-AP158</f>
        <v/>
      </c>
      <c r="AR158" s="3" t="n"/>
      <c r="AS158" s="3" t="n"/>
      <c r="AT158" s="3">
        <f>AR158-AS158</f>
        <v/>
      </c>
    </row>
    <row r="159">
      <c r="A159" s="2" t="n"/>
      <c r="B159" s="3" t="n"/>
      <c r="C159" s="4" t="n"/>
      <c r="D159" s="5" t="n"/>
      <c r="E159" s="3" t="n"/>
      <c r="F159" s="3">
        <f>IF(C159=0,0,IF(E159="",B159*D159/100,E159))</f>
        <v/>
      </c>
      <c r="G159" s="4" t="n"/>
      <c r="H159" s="5" t="n"/>
      <c r="I159" s="3" t="n"/>
      <c r="J159" s="3">
        <f>IF(G159=0,0,IF(I159="",B159*H159/100,I159))</f>
        <v/>
      </c>
      <c r="K159" s="4" t="n"/>
      <c r="L159" s="5" t="n"/>
      <c r="M159" s="3" t="n"/>
      <c r="N159" s="3">
        <f>IF(K159=0,0,IF(M159="",B159*L159/100,M159))</f>
        <v/>
      </c>
      <c r="O159" s="4" t="n"/>
      <c r="P159" s="5" t="n"/>
      <c r="Q159" s="3" t="n"/>
      <c r="R159" s="3">
        <f>IF(O159=0,0,IF(Q159="",B159*P159/100,Q159))</f>
        <v/>
      </c>
      <c r="S159" s="4" t="n"/>
      <c r="T159" s="5" t="n"/>
      <c r="U159" s="3" t="n"/>
      <c r="V159" s="3">
        <f>IF(S159=0,0,IF(U159="",B159*T159/100,U159))</f>
        <v/>
      </c>
      <c r="W159" s="4" t="n"/>
      <c r="X159" s="5" t="n"/>
      <c r="Y159" s="3" t="n"/>
      <c r="Z159" s="3">
        <f>IF(W159=0,0,IF(Y159="",B159*X159/100,Y159))</f>
        <v/>
      </c>
      <c r="AA159" s="3" t="n"/>
      <c r="AB159" s="3" t="n"/>
      <c r="AC159" s="3">
        <f>B159*0.035</f>
        <v/>
      </c>
      <c r="AD159" s="3">
        <f>B159*0.065</f>
        <v/>
      </c>
      <c r="AE159" s="3">
        <f>SUM(B159,F159,J159,N159,R159,V159,Z159,AA159,AB159,AC159,AD159)</f>
        <v/>
      </c>
      <c r="AF159" s="3">
        <f>B159*0.055</f>
        <v/>
      </c>
      <c r="AG159" s="3">
        <f>B159*0.035</f>
        <v/>
      </c>
      <c r="AH159" s="3">
        <f>B159*0.165</f>
        <v/>
      </c>
      <c r="AI159" s="3">
        <f>MAX(0,AE159-AF159-AH159)</f>
        <v/>
      </c>
      <c r="AJ159" s="3">
        <f>IF(AI159&lt;=490,0,IF(AI159&lt;=600,(AI159-490)*0.05,IF(AI159&lt;=730,5.5+(AI159-600)*0.10,IF(AI159&lt;=3896.67,18.5+(AI159-730)*0.175,IF(AI159&lt;=19896.67,572.67+(AI159-3896.67)*0.25,IF(AI159&lt;=50416.67,4572.67+(AI159-19896.67)*0.30,13728.67+(AI159-50416.67)*0.35))))))</f>
        <v/>
      </c>
      <c r="AK159" s="3" t="n"/>
      <c r="AL159" s="3" t="n"/>
      <c r="AM159" s="3" t="n"/>
      <c r="AN159" s="3" t="n"/>
      <c r="AO159" s="3" t="n"/>
      <c r="AP159" s="3">
        <f>SUM(AF159,AJ159,AK159,AL159,AM159,AN159,AO159,AG159,AH159)</f>
        <v/>
      </c>
      <c r="AQ159" s="3">
        <f>AE159-AP159</f>
        <v/>
      </c>
      <c r="AR159" s="3" t="n"/>
      <c r="AS159" s="3" t="n"/>
      <c r="AT159" s="3">
        <f>AR159-AS159</f>
        <v/>
      </c>
    </row>
    <row r="160">
      <c r="A160" s="2" t="n"/>
      <c r="B160" s="3" t="n"/>
      <c r="C160" s="4" t="n"/>
      <c r="D160" s="5" t="n"/>
      <c r="E160" s="3" t="n"/>
      <c r="F160" s="3">
        <f>IF(C160=0,0,IF(E160="",B160*D160/100,E160))</f>
        <v/>
      </c>
      <c r="G160" s="4" t="n"/>
      <c r="H160" s="5" t="n"/>
      <c r="I160" s="3" t="n"/>
      <c r="J160" s="3">
        <f>IF(G160=0,0,IF(I160="",B160*H160/100,I160))</f>
        <v/>
      </c>
      <c r="K160" s="4" t="n"/>
      <c r="L160" s="5" t="n"/>
      <c r="M160" s="3" t="n"/>
      <c r="N160" s="3">
        <f>IF(K160=0,0,IF(M160="",B160*L160/100,M160))</f>
        <v/>
      </c>
      <c r="O160" s="4" t="n"/>
      <c r="P160" s="5" t="n"/>
      <c r="Q160" s="3" t="n"/>
      <c r="R160" s="3">
        <f>IF(O160=0,0,IF(Q160="",B160*P160/100,Q160))</f>
        <v/>
      </c>
      <c r="S160" s="4" t="n"/>
      <c r="T160" s="5" t="n"/>
      <c r="U160" s="3" t="n"/>
      <c r="V160" s="3">
        <f>IF(S160=0,0,IF(U160="",B160*T160/100,U160))</f>
        <v/>
      </c>
      <c r="W160" s="4" t="n"/>
      <c r="X160" s="5" t="n"/>
      <c r="Y160" s="3" t="n"/>
      <c r="Z160" s="3">
        <f>IF(W160=0,0,IF(Y160="",B160*X160/100,Y160))</f>
        <v/>
      </c>
      <c r="AA160" s="3" t="n"/>
      <c r="AB160" s="3" t="n"/>
      <c r="AC160" s="3">
        <f>B160*0.035</f>
        <v/>
      </c>
      <c r="AD160" s="3">
        <f>B160*0.065</f>
        <v/>
      </c>
      <c r="AE160" s="3">
        <f>SUM(B160,F160,J160,N160,R160,V160,Z160,AA160,AB160,AC160,AD160)</f>
        <v/>
      </c>
      <c r="AF160" s="3">
        <f>B160*0.055</f>
        <v/>
      </c>
      <c r="AG160" s="3">
        <f>B160*0.035</f>
        <v/>
      </c>
      <c r="AH160" s="3">
        <f>B160*0.165</f>
        <v/>
      </c>
      <c r="AI160" s="3">
        <f>MAX(0,AE160-AF160-AH160)</f>
        <v/>
      </c>
      <c r="AJ160" s="3">
        <f>IF(AI160&lt;=490,0,IF(AI160&lt;=600,(AI160-490)*0.05,IF(AI160&lt;=730,5.5+(AI160-600)*0.10,IF(AI160&lt;=3896.67,18.5+(AI160-730)*0.175,IF(AI160&lt;=19896.67,572.67+(AI160-3896.67)*0.25,IF(AI160&lt;=50416.67,4572.67+(AI160-19896.67)*0.30,13728.67+(AI160-50416.67)*0.35))))))</f>
        <v/>
      </c>
      <c r="AK160" s="3" t="n"/>
      <c r="AL160" s="3" t="n"/>
      <c r="AM160" s="3" t="n"/>
      <c r="AN160" s="3" t="n"/>
      <c r="AO160" s="3" t="n"/>
      <c r="AP160" s="3">
        <f>SUM(AF160,AJ160,AK160,AL160,AM160,AN160,AO160,AG160,AH160)</f>
        <v/>
      </c>
      <c r="AQ160" s="3">
        <f>AE160-AP160</f>
        <v/>
      </c>
      <c r="AR160" s="3" t="n"/>
      <c r="AS160" s="3" t="n"/>
      <c r="AT160" s="3">
        <f>AR160-AS160</f>
        <v/>
      </c>
    </row>
    <row r="161">
      <c r="A161" s="2" t="n"/>
      <c r="B161" s="3" t="n"/>
      <c r="C161" s="4" t="n"/>
      <c r="D161" s="5" t="n"/>
      <c r="E161" s="3" t="n"/>
      <c r="F161" s="3">
        <f>IF(C161=0,0,IF(E161="",B161*D161/100,E161))</f>
        <v/>
      </c>
      <c r="G161" s="4" t="n"/>
      <c r="H161" s="5" t="n"/>
      <c r="I161" s="3" t="n"/>
      <c r="J161" s="3">
        <f>IF(G161=0,0,IF(I161="",B161*H161/100,I161))</f>
        <v/>
      </c>
      <c r="K161" s="4" t="n"/>
      <c r="L161" s="5" t="n"/>
      <c r="M161" s="3" t="n"/>
      <c r="N161" s="3">
        <f>IF(K161=0,0,IF(M161="",B161*L161/100,M161))</f>
        <v/>
      </c>
      <c r="O161" s="4" t="n"/>
      <c r="P161" s="5" t="n"/>
      <c r="Q161" s="3" t="n"/>
      <c r="R161" s="3">
        <f>IF(O161=0,0,IF(Q161="",B161*P161/100,Q161))</f>
        <v/>
      </c>
      <c r="S161" s="4" t="n"/>
      <c r="T161" s="5" t="n"/>
      <c r="U161" s="3" t="n"/>
      <c r="V161" s="3">
        <f>IF(S161=0,0,IF(U161="",B161*T161/100,U161))</f>
        <v/>
      </c>
      <c r="W161" s="4" t="n"/>
      <c r="X161" s="5" t="n"/>
      <c r="Y161" s="3" t="n"/>
      <c r="Z161" s="3">
        <f>IF(W161=0,0,IF(Y161="",B161*X161/100,Y161))</f>
        <v/>
      </c>
      <c r="AA161" s="3" t="n"/>
      <c r="AB161" s="3" t="n"/>
      <c r="AC161" s="3">
        <f>B161*0.035</f>
        <v/>
      </c>
      <c r="AD161" s="3">
        <f>B161*0.065</f>
        <v/>
      </c>
      <c r="AE161" s="3">
        <f>SUM(B161,F161,J161,N161,R161,V161,Z161,AA161,AB161,AC161,AD161)</f>
        <v/>
      </c>
      <c r="AF161" s="3">
        <f>B161*0.055</f>
        <v/>
      </c>
      <c r="AG161" s="3">
        <f>B161*0.035</f>
        <v/>
      </c>
      <c r="AH161" s="3">
        <f>B161*0.165</f>
        <v/>
      </c>
      <c r="AI161" s="3">
        <f>MAX(0,AE161-AF161-AH161)</f>
        <v/>
      </c>
      <c r="AJ161" s="3">
        <f>IF(AI161&lt;=490,0,IF(AI161&lt;=600,(AI161-490)*0.05,IF(AI161&lt;=730,5.5+(AI161-600)*0.10,IF(AI161&lt;=3896.67,18.5+(AI161-730)*0.175,IF(AI161&lt;=19896.67,572.67+(AI161-3896.67)*0.25,IF(AI161&lt;=50416.67,4572.67+(AI161-19896.67)*0.30,13728.67+(AI161-50416.67)*0.35))))))</f>
        <v/>
      </c>
      <c r="AK161" s="3" t="n"/>
      <c r="AL161" s="3" t="n"/>
      <c r="AM161" s="3" t="n"/>
      <c r="AN161" s="3" t="n"/>
      <c r="AO161" s="3" t="n"/>
      <c r="AP161" s="3">
        <f>SUM(AF161,AJ161,AK161,AL161,AM161,AN161,AO161,AG161,AH161)</f>
        <v/>
      </c>
      <c r="AQ161" s="3">
        <f>AE161-AP161</f>
        <v/>
      </c>
      <c r="AR161" s="3" t="n"/>
      <c r="AS161" s="3" t="n"/>
      <c r="AT161" s="3">
        <f>AR161-AS161</f>
        <v/>
      </c>
    </row>
    <row r="162">
      <c r="A162" s="2" t="n"/>
      <c r="B162" s="3" t="n"/>
      <c r="C162" s="4" t="n"/>
      <c r="D162" s="5" t="n"/>
      <c r="E162" s="3" t="n"/>
      <c r="F162" s="3">
        <f>IF(C162=0,0,IF(E162="",B162*D162/100,E162))</f>
        <v/>
      </c>
      <c r="G162" s="4" t="n"/>
      <c r="H162" s="5" t="n"/>
      <c r="I162" s="3" t="n"/>
      <c r="J162" s="3">
        <f>IF(G162=0,0,IF(I162="",B162*H162/100,I162))</f>
        <v/>
      </c>
      <c r="K162" s="4" t="n"/>
      <c r="L162" s="5" t="n"/>
      <c r="M162" s="3" t="n"/>
      <c r="N162" s="3">
        <f>IF(K162=0,0,IF(M162="",B162*L162/100,M162))</f>
        <v/>
      </c>
      <c r="O162" s="4" t="n"/>
      <c r="P162" s="5" t="n"/>
      <c r="Q162" s="3" t="n"/>
      <c r="R162" s="3">
        <f>IF(O162=0,0,IF(Q162="",B162*P162/100,Q162))</f>
        <v/>
      </c>
      <c r="S162" s="4" t="n"/>
      <c r="T162" s="5" t="n"/>
      <c r="U162" s="3" t="n"/>
      <c r="V162" s="3">
        <f>IF(S162=0,0,IF(U162="",B162*T162/100,U162))</f>
        <v/>
      </c>
      <c r="W162" s="4" t="n"/>
      <c r="X162" s="5" t="n"/>
      <c r="Y162" s="3" t="n"/>
      <c r="Z162" s="3">
        <f>IF(W162=0,0,IF(Y162="",B162*X162/100,Y162))</f>
        <v/>
      </c>
      <c r="AA162" s="3" t="n"/>
      <c r="AB162" s="3" t="n"/>
      <c r="AC162" s="3">
        <f>B162*0.035</f>
        <v/>
      </c>
      <c r="AD162" s="3">
        <f>B162*0.065</f>
        <v/>
      </c>
      <c r="AE162" s="3">
        <f>SUM(B162,F162,J162,N162,R162,V162,Z162,AA162,AB162,AC162,AD162)</f>
        <v/>
      </c>
      <c r="AF162" s="3">
        <f>B162*0.055</f>
        <v/>
      </c>
      <c r="AG162" s="3">
        <f>B162*0.035</f>
        <v/>
      </c>
      <c r="AH162" s="3">
        <f>B162*0.165</f>
        <v/>
      </c>
      <c r="AI162" s="3">
        <f>MAX(0,AE162-AF162-AH162)</f>
        <v/>
      </c>
      <c r="AJ162" s="3">
        <f>IF(AI162&lt;=490,0,IF(AI162&lt;=600,(AI162-490)*0.05,IF(AI162&lt;=730,5.5+(AI162-600)*0.10,IF(AI162&lt;=3896.67,18.5+(AI162-730)*0.175,IF(AI162&lt;=19896.67,572.67+(AI162-3896.67)*0.25,IF(AI162&lt;=50416.67,4572.67+(AI162-19896.67)*0.30,13728.67+(AI162-50416.67)*0.35))))))</f>
        <v/>
      </c>
      <c r="AK162" s="3" t="n"/>
      <c r="AL162" s="3" t="n"/>
      <c r="AM162" s="3" t="n"/>
      <c r="AN162" s="3" t="n"/>
      <c r="AO162" s="3" t="n"/>
      <c r="AP162" s="3">
        <f>SUM(AF162,AJ162,AK162,AL162,AM162,AN162,AO162,AG162,AH162)</f>
        <v/>
      </c>
      <c r="AQ162" s="3">
        <f>AE162-AP162</f>
        <v/>
      </c>
      <c r="AR162" s="3" t="n"/>
      <c r="AS162" s="3" t="n"/>
      <c r="AT162" s="3">
        <f>AR162-AS162</f>
        <v/>
      </c>
    </row>
    <row r="163">
      <c r="A163" s="2" t="n"/>
      <c r="B163" s="3" t="n"/>
      <c r="C163" s="4" t="n"/>
      <c r="D163" s="5" t="n"/>
      <c r="E163" s="3" t="n"/>
      <c r="F163" s="3">
        <f>IF(C163=0,0,IF(E163="",B163*D163/100,E163))</f>
        <v/>
      </c>
      <c r="G163" s="4" t="n"/>
      <c r="H163" s="5" t="n"/>
      <c r="I163" s="3" t="n"/>
      <c r="J163" s="3">
        <f>IF(G163=0,0,IF(I163="",B163*H163/100,I163))</f>
        <v/>
      </c>
      <c r="K163" s="4" t="n"/>
      <c r="L163" s="5" t="n"/>
      <c r="M163" s="3" t="n"/>
      <c r="N163" s="3">
        <f>IF(K163=0,0,IF(M163="",B163*L163/100,M163))</f>
        <v/>
      </c>
      <c r="O163" s="4" t="n"/>
      <c r="P163" s="5" t="n"/>
      <c r="Q163" s="3" t="n"/>
      <c r="R163" s="3">
        <f>IF(O163=0,0,IF(Q163="",B163*P163/100,Q163))</f>
        <v/>
      </c>
      <c r="S163" s="4" t="n"/>
      <c r="T163" s="5" t="n"/>
      <c r="U163" s="3" t="n"/>
      <c r="V163" s="3">
        <f>IF(S163=0,0,IF(U163="",B163*T163/100,U163))</f>
        <v/>
      </c>
      <c r="W163" s="4" t="n"/>
      <c r="X163" s="5" t="n"/>
      <c r="Y163" s="3" t="n"/>
      <c r="Z163" s="3">
        <f>IF(W163=0,0,IF(Y163="",B163*X163/100,Y163))</f>
        <v/>
      </c>
      <c r="AA163" s="3" t="n"/>
      <c r="AB163" s="3" t="n"/>
      <c r="AC163" s="3">
        <f>B163*0.035</f>
        <v/>
      </c>
      <c r="AD163" s="3">
        <f>B163*0.065</f>
        <v/>
      </c>
      <c r="AE163" s="3">
        <f>SUM(B163,F163,J163,N163,R163,V163,Z163,AA163,AB163,AC163,AD163)</f>
        <v/>
      </c>
      <c r="AF163" s="3">
        <f>B163*0.055</f>
        <v/>
      </c>
      <c r="AG163" s="3">
        <f>B163*0.035</f>
        <v/>
      </c>
      <c r="AH163" s="3">
        <f>B163*0.165</f>
        <v/>
      </c>
      <c r="AI163" s="3">
        <f>MAX(0,AE163-AF163-AH163)</f>
        <v/>
      </c>
      <c r="AJ163" s="3">
        <f>IF(AI163&lt;=490,0,IF(AI163&lt;=600,(AI163-490)*0.05,IF(AI163&lt;=730,5.5+(AI163-600)*0.10,IF(AI163&lt;=3896.67,18.5+(AI163-730)*0.175,IF(AI163&lt;=19896.67,572.67+(AI163-3896.67)*0.25,IF(AI163&lt;=50416.67,4572.67+(AI163-19896.67)*0.30,13728.67+(AI163-50416.67)*0.35))))))</f>
        <v/>
      </c>
      <c r="AK163" s="3" t="n"/>
      <c r="AL163" s="3" t="n"/>
      <c r="AM163" s="3" t="n"/>
      <c r="AN163" s="3" t="n"/>
      <c r="AO163" s="3" t="n"/>
      <c r="AP163" s="3">
        <f>SUM(AF163,AJ163,AK163,AL163,AM163,AN163,AO163,AG163,AH163)</f>
        <v/>
      </c>
      <c r="AQ163" s="3">
        <f>AE163-AP163</f>
        <v/>
      </c>
      <c r="AR163" s="3" t="n"/>
      <c r="AS163" s="3" t="n"/>
      <c r="AT163" s="3">
        <f>AR163-AS163</f>
        <v/>
      </c>
    </row>
    <row r="164">
      <c r="A164" s="2" t="n"/>
      <c r="B164" s="3" t="n"/>
      <c r="C164" s="4" t="n"/>
      <c r="D164" s="5" t="n"/>
      <c r="E164" s="3" t="n"/>
      <c r="F164" s="3">
        <f>IF(C164=0,0,IF(E164="",B164*D164/100,E164))</f>
        <v/>
      </c>
      <c r="G164" s="4" t="n"/>
      <c r="H164" s="5" t="n"/>
      <c r="I164" s="3" t="n"/>
      <c r="J164" s="3">
        <f>IF(G164=0,0,IF(I164="",B164*H164/100,I164))</f>
        <v/>
      </c>
      <c r="K164" s="4" t="n"/>
      <c r="L164" s="5" t="n"/>
      <c r="M164" s="3" t="n"/>
      <c r="N164" s="3">
        <f>IF(K164=0,0,IF(M164="",B164*L164/100,M164))</f>
        <v/>
      </c>
      <c r="O164" s="4" t="n"/>
      <c r="P164" s="5" t="n"/>
      <c r="Q164" s="3" t="n"/>
      <c r="R164" s="3">
        <f>IF(O164=0,0,IF(Q164="",B164*P164/100,Q164))</f>
        <v/>
      </c>
      <c r="S164" s="4" t="n"/>
      <c r="T164" s="5" t="n"/>
      <c r="U164" s="3" t="n"/>
      <c r="V164" s="3">
        <f>IF(S164=0,0,IF(U164="",B164*T164/100,U164))</f>
        <v/>
      </c>
      <c r="W164" s="4" t="n"/>
      <c r="X164" s="5" t="n"/>
      <c r="Y164" s="3" t="n"/>
      <c r="Z164" s="3">
        <f>IF(W164=0,0,IF(Y164="",B164*X164/100,Y164))</f>
        <v/>
      </c>
      <c r="AA164" s="3" t="n"/>
      <c r="AB164" s="3" t="n"/>
      <c r="AC164" s="3">
        <f>B164*0.035</f>
        <v/>
      </c>
      <c r="AD164" s="3">
        <f>B164*0.065</f>
        <v/>
      </c>
      <c r="AE164" s="3">
        <f>SUM(B164,F164,J164,N164,R164,V164,Z164,AA164,AB164,AC164,AD164)</f>
        <v/>
      </c>
      <c r="AF164" s="3">
        <f>B164*0.055</f>
        <v/>
      </c>
      <c r="AG164" s="3">
        <f>B164*0.035</f>
        <v/>
      </c>
      <c r="AH164" s="3">
        <f>B164*0.165</f>
        <v/>
      </c>
      <c r="AI164" s="3">
        <f>MAX(0,AE164-AF164-AH164)</f>
        <v/>
      </c>
      <c r="AJ164" s="3">
        <f>IF(AI164&lt;=490,0,IF(AI164&lt;=600,(AI164-490)*0.05,IF(AI164&lt;=730,5.5+(AI164-600)*0.10,IF(AI164&lt;=3896.67,18.5+(AI164-730)*0.175,IF(AI164&lt;=19896.67,572.67+(AI164-3896.67)*0.25,IF(AI164&lt;=50416.67,4572.67+(AI164-19896.67)*0.30,13728.67+(AI164-50416.67)*0.35))))))</f>
        <v/>
      </c>
      <c r="AK164" s="3" t="n"/>
      <c r="AL164" s="3" t="n"/>
      <c r="AM164" s="3" t="n"/>
      <c r="AN164" s="3" t="n"/>
      <c r="AO164" s="3" t="n"/>
      <c r="AP164" s="3">
        <f>SUM(AF164,AJ164,AK164,AL164,AM164,AN164,AO164,AG164,AH164)</f>
        <v/>
      </c>
      <c r="AQ164" s="3">
        <f>AE164-AP164</f>
        <v/>
      </c>
      <c r="AR164" s="3" t="n"/>
      <c r="AS164" s="3" t="n"/>
      <c r="AT164" s="3">
        <f>AR164-AS164</f>
        <v/>
      </c>
    </row>
    <row r="165">
      <c r="A165" s="2" t="n"/>
      <c r="B165" s="3" t="n"/>
      <c r="C165" s="4" t="n"/>
      <c r="D165" s="5" t="n"/>
      <c r="E165" s="3" t="n"/>
      <c r="F165" s="3">
        <f>IF(C165=0,0,IF(E165="",B165*D165/100,E165))</f>
        <v/>
      </c>
      <c r="G165" s="4" t="n"/>
      <c r="H165" s="5" t="n"/>
      <c r="I165" s="3" t="n"/>
      <c r="J165" s="3">
        <f>IF(G165=0,0,IF(I165="",B165*H165/100,I165))</f>
        <v/>
      </c>
      <c r="K165" s="4" t="n"/>
      <c r="L165" s="5" t="n"/>
      <c r="M165" s="3" t="n"/>
      <c r="N165" s="3">
        <f>IF(K165=0,0,IF(M165="",B165*L165/100,M165))</f>
        <v/>
      </c>
      <c r="O165" s="4" t="n"/>
      <c r="P165" s="5" t="n"/>
      <c r="Q165" s="3" t="n"/>
      <c r="R165" s="3">
        <f>IF(O165=0,0,IF(Q165="",B165*P165/100,Q165))</f>
        <v/>
      </c>
      <c r="S165" s="4" t="n"/>
      <c r="T165" s="5" t="n"/>
      <c r="U165" s="3" t="n"/>
      <c r="V165" s="3">
        <f>IF(S165=0,0,IF(U165="",B165*T165/100,U165))</f>
        <v/>
      </c>
      <c r="W165" s="4" t="n"/>
      <c r="X165" s="5" t="n"/>
      <c r="Y165" s="3" t="n"/>
      <c r="Z165" s="3">
        <f>IF(W165=0,0,IF(Y165="",B165*X165/100,Y165))</f>
        <v/>
      </c>
      <c r="AA165" s="3" t="n"/>
      <c r="AB165" s="3" t="n"/>
      <c r="AC165" s="3">
        <f>B165*0.035</f>
        <v/>
      </c>
      <c r="AD165" s="3">
        <f>B165*0.065</f>
        <v/>
      </c>
      <c r="AE165" s="3">
        <f>SUM(B165,F165,J165,N165,R165,V165,Z165,AA165,AB165,AC165,AD165)</f>
        <v/>
      </c>
      <c r="AF165" s="3">
        <f>B165*0.055</f>
        <v/>
      </c>
      <c r="AG165" s="3">
        <f>B165*0.035</f>
        <v/>
      </c>
      <c r="AH165" s="3">
        <f>B165*0.165</f>
        <v/>
      </c>
      <c r="AI165" s="3">
        <f>MAX(0,AE165-AF165-AH165)</f>
        <v/>
      </c>
      <c r="AJ165" s="3">
        <f>IF(AI165&lt;=490,0,IF(AI165&lt;=600,(AI165-490)*0.05,IF(AI165&lt;=730,5.5+(AI165-600)*0.10,IF(AI165&lt;=3896.67,18.5+(AI165-730)*0.175,IF(AI165&lt;=19896.67,572.67+(AI165-3896.67)*0.25,IF(AI165&lt;=50416.67,4572.67+(AI165-19896.67)*0.30,13728.67+(AI165-50416.67)*0.35))))))</f>
        <v/>
      </c>
      <c r="AK165" s="3" t="n"/>
      <c r="AL165" s="3" t="n"/>
      <c r="AM165" s="3" t="n"/>
      <c r="AN165" s="3" t="n"/>
      <c r="AO165" s="3" t="n"/>
      <c r="AP165" s="3">
        <f>SUM(AF165,AJ165,AK165,AL165,AM165,AN165,AO165,AG165,AH165)</f>
        <v/>
      </c>
      <c r="AQ165" s="3">
        <f>AE165-AP165</f>
        <v/>
      </c>
      <c r="AR165" s="3" t="n"/>
      <c r="AS165" s="3" t="n"/>
      <c r="AT165" s="3">
        <f>AR165-AS165</f>
        <v/>
      </c>
    </row>
    <row r="166">
      <c r="A166" s="2" t="n"/>
      <c r="B166" s="3" t="n"/>
      <c r="C166" s="4" t="n"/>
      <c r="D166" s="5" t="n"/>
      <c r="E166" s="3" t="n"/>
      <c r="F166" s="3">
        <f>IF(C166=0,0,IF(E166="",B166*D166/100,E166))</f>
        <v/>
      </c>
      <c r="G166" s="4" t="n"/>
      <c r="H166" s="5" t="n"/>
      <c r="I166" s="3" t="n"/>
      <c r="J166" s="3">
        <f>IF(G166=0,0,IF(I166="",B166*H166/100,I166))</f>
        <v/>
      </c>
      <c r="K166" s="4" t="n"/>
      <c r="L166" s="5" t="n"/>
      <c r="M166" s="3" t="n"/>
      <c r="N166" s="3">
        <f>IF(K166=0,0,IF(M166="",B166*L166/100,M166))</f>
        <v/>
      </c>
      <c r="O166" s="4" t="n"/>
      <c r="P166" s="5" t="n"/>
      <c r="Q166" s="3" t="n"/>
      <c r="R166" s="3">
        <f>IF(O166=0,0,IF(Q166="",B166*P166/100,Q166))</f>
        <v/>
      </c>
      <c r="S166" s="4" t="n"/>
      <c r="T166" s="5" t="n"/>
      <c r="U166" s="3" t="n"/>
      <c r="V166" s="3">
        <f>IF(S166=0,0,IF(U166="",B166*T166/100,U166))</f>
        <v/>
      </c>
      <c r="W166" s="4" t="n"/>
      <c r="X166" s="5" t="n"/>
      <c r="Y166" s="3" t="n"/>
      <c r="Z166" s="3">
        <f>IF(W166=0,0,IF(Y166="",B166*X166/100,Y166))</f>
        <v/>
      </c>
      <c r="AA166" s="3" t="n"/>
      <c r="AB166" s="3" t="n"/>
      <c r="AC166" s="3">
        <f>B166*0.035</f>
        <v/>
      </c>
      <c r="AD166" s="3">
        <f>B166*0.065</f>
        <v/>
      </c>
      <c r="AE166" s="3">
        <f>SUM(B166,F166,J166,N166,R166,V166,Z166,AA166,AB166,AC166,AD166)</f>
        <v/>
      </c>
      <c r="AF166" s="3">
        <f>B166*0.055</f>
        <v/>
      </c>
      <c r="AG166" s="3">
        <f>B166*0.035</f>
        <v/>
      </c>
      <c r="AH166" s="3">
        <f>B166*0.165</f>
        <v/>
      </c>
      <c r="AI166" s="3">
        <f>MAX(0,AE166-AF166-AH166)</f>
        <v/>
      </c>
      <c r="AJ166" s="3">
        <f>IF(AI166&lt;=490,0,IF(AI166&lt;=600,(AI166-490)*0.05,IF(AI166&lt;=730,5.5+(AI166-600)*0.10,IF(AI166&lt;=3896.67,18.5+(AI166-730)*0.175,IF(AI166&lt;=19896.67,572.67+(AI166-3896.67)*0.25,IF(AI166&lt;=50416.67,4572.67+(AI166-19896.67)*0.30,13728.67+(AI166-50416.67)*0.35))))))</f>
        <v/>
      </c>
      <c r="AK166" s="3" t="n"/>
      <c r="AL166" s="3" t="n"/>
      <c r="AM166" s="3" t="n"/>
      <c r="AN166" s="3" t="n"/>
      <c r="AO166" s="3" t="n"/>
      <c r="AP166" s="3">
        <f>SUM(AF166,AJ166,AK166,AL166,AM166,AN166,AO166,AG166,AH166)</f>
        <v/>
      </c>
      <c r="AQ166" s="3">
        <f>AE166-AP166</f>
        <v/>
      </c>
      <c r="AR166" s="3" t="n"/>
      <c r="AS166" s="3" t="n"/>
      <c r="AT166" s="3">
        <f>AR166-AS166</f>
        <v/>
      </c>
    </row>
    <row r="167">
      <c r="A167" s="2" t="n"/>
      <c r="B167" s="3" t="n"/>
      <c r="C167" s="4" t="n"/>
      <c r="D167" s="5" t="n"/>
      <c r="E167" s="3" t="n"/>
      <c r="F167" s="3">
        <f>IF(C167=0,0,IF(E167="",B167*D167/100,E167))</f>
        <v/>
      </c>
      <c r="G167" s="4" t="n"/>
      <c r="H167" s="5" t="n"/>
      <c r="I167" s="3" t="n"/>
      <c r="J167" s="3">
        <f>IF(G167=0,0,IF(I167="",B167*H167/100,I167))</f>
        <v/>
      </c>
      <c r="K167" s="4" t="n"/>
      <c r="L167" s="5" t="n"/>
      <c r="M167" s="3" t="n"/>
      <c r="N167" s="3">
        <f>IF(K167=0,0,IF(M167="",B167*L167/100,M167))</f>
        <v/>
      </c>
      <c r="O167" s="4" t="n"/>
      <c r="P167" s="5" t="n"/>
      <c r="Q167" s="3" t="n"/>
      <c r="R167" s="3">
        <f>IF(O167=0,0,IF(Q167="",B167*P167/100,Q167))</f>
        <v/>
      </c>
      <c r="S167" s="4" t="n"/>
      <c r="T167" s="5" t="n"/>
      <c r="U167" s="3" t="n"/>
      <c r="V167" s="3">
        <f>IF(S167=0,0,IF(U167="",B167*T167/100,U167))</f>
        <v/>
      </c>
      <c r="W167" s="4" t="n"/>
      <c r="X167" s="5" t="n"/>
      <c r="Y167" s="3" t="n"/>
      <c r="Z167" s="3">
        <f>IF(W167=0,0,IF(Y167="",B167*X167/100,Y167))</f>
        <v/>
      </c>
      <c r="AA167" s="3" t="n"/>
      <c r="AB167" s="3" t="n"/>
      <c r="AC167" s="3">
        <f>B167*0.035</f>
        <v/>
      </c>
      <c r="AD167" s="3">
        <f>B167*0.065</f>
        <v/>
      </c>
      <c r="AE167" s="3">
        <f>SUM(B167,F167,J167,N167,R167,V167,Z167,AA167,AB167,AC167,AD167)</f>
        <v/>
      </c>
      <c r="AF167" s="3">
        <f>B167*0.055</f>
        <v/>
      </c>
      <c r="AG167" s="3">
        <f>B167*0.035</f>
        <v/>
      </c>
      <c r="AH167" s="3">
        <f>B167*0.165</f>
        <v/>
      </c>
      <c r="AI167" s="3">
        <f>MAX(0,AE167-AF167-AH167)</f>
        <v/>
      </c>
      <c r="AJ167" s="3">
        <f>IF(AI167&lt;=490,0,IF(AI167&lt;=600,(AI167-490)*0.05,IF(AI167&lt;=730,5.5+(AI167-600)*0.10,IF(AI167&lt;=3896.67,18.5+(AI167-730)*0.175,IF(AI167&lt;=19896.67,572.67+(AI167-3896.67)*0.25,IF(AI167&lt;=50416.67,4572.67+(AI167-19896.67)*0.30,13728.67+(AI167-50416.67)*0.35))))))</f>
        <v/>
      </c>
      <c r="AK167" s="3" t="n"/>
      <c r="AL167" s="3" t="n"/>
      <c r="AM167" s="3" t="n"/>
      <c r="AN167" s="3" t="n"/>
      <c r="AO167" s="3" t="n"/>
      <c r="AP167" s="3">
        <f>SUM(AF167,AJ167,AK167,AL167,AM167,AN167,AO167,AG167,AH167)</f>
        <v/>
      </c>
      <c r="AQ167" s="3">
        <f>AE167-AP167</f>
        <v/>
      </c>
      <c r="AR167" s="3" t="n"/>
      <c r="AS167" s="3" t="n"/>
      <c r="AT167" s="3">
        <f>AR167-AS167</f>
        <v/>
      </c>
    </row>
    <row r="168">
      <c r="A168" s="2" t="n"/>
      <c r="B168" s="3" t="n"/>
      <c r="C168" s="4" t="n"/>
      <c r="D168" s="5" t="n"/>
      <c r="E168" s="3" t="n"/>
      <c r="F168" s="3">
        <f>IF(C168=0,0,IF(E168="",B168*D168/100,E168))</f>
        <v/>
      </c>
      <c r="G168" s="4" t="n"/>
      <c r="H168" s="5" t="n"/>
      <c r="I168" s="3" t="n"/>
      <c r="J168" s="3">
        <f>IF(G168=0,0,IF(I168="",B168*H168/100,I168))</f>
        <v/>
      </c>
      <c r="K168" s="4" t="n"/>
      <c r="L168" s="5" t="n"/>
      <c r="M168" s="3" t="n"/>
      <c r="N168" s="3">
        <f>IF(K168=0,0,IF(M168="",B168*L168/100,M168))</f>
        <v/>
      </c>
      <c r="O168" s="4" t="n"/>
      <c r="P168" s="5" t="n"/>
      <c r="Q168" s="3" t="n"/>
      <c r="R168" s="3">
        <f>IF(O168=0,0,IF(Q168="",B168*P168/100,Q168))</f>
        <v/>
      </c>
      <c r="S168" s="4" t="n"/>
      <c r="T168" s="5" t="n"/>
      <c r="U168" s="3" t="n"/>
      <c r="V168" s="3">
        <f>IF(S168=0,0,IF(U168="",B168*T168/100,U168))</f>
        <v/>
      </c>
      <c r="W168" s="4" t="n"/>
      <c r="X168" s="5" t="n"/>
      <c r="Y168" s="3" t="n"/>
      <c r="Z168" s="3">
        <f>IF(W168=0,0,IF(Y168="",B168*X168/100,Y168))</f>
        <v/>
      </c>
      <c r="AA168" s="3" t="n"/>
      <c r="AB168" s="3" t="n"/>
      <c r="AC168" s="3">
        <f>B168*0.035</f>
        <v/>
      </c>
      <c r="AD168" s="3">
        <f>B168*0.065</f>
        <v/>
      </c>
      <c r="AE168" s="3">
        <f>SUM(B168,F168,J168,N168,R168,V168,Z168,AA168,AB168,AC168,AD168)</f>
        <v/>
      </c>
      <c r="AF168" s="3">
        <f>B168*0.055</f>
        <v/>
      </c>
      <c r="AG168" s="3">
        <f>B168*0.035</f>
        <v/>
      </c>
      <c r="AH168" s="3">
        <f>B168*0.165</f>
        <v/>
      </c>
      <c r="AI168" s="3">
        <f>MAX(0,AE168-AF168-AH168)</f>
        <v/>
      </c>
      <c r="AJ168" s="3">
        <f>IF(AI168&lt;=490,0,IF(AI168&lt;=600,(AI168-490)*0.05,IF(AI168&lt;=730,5.5+(AI168-600)*0.10,IF(AI168&lt;=3896.67,18.5+(AI168-730)*0.175,IF(AI168&lt;=19896.67,572.67+(AI168-3896.67)*0.25,IF(AI168&lt;=50416.67,4572.67+(AI168-19896.67)*0.30,13728.67+(AI168-50416.67)*0.35))))))</f>
        <v/>
      </c>
      <c r="AK168" s="3" t="n"/>
      <c r="AL168" s="3" t="n"/>
      <c r="AM168" s="3" t="n"/>
      <c r="AN168" s="3" t="n"/>
      <c r="AO168" s="3" t="n"/>
      <c r="AP168" s="3">
        <f>SUM(AF168,AJ168,AK168,AL168,AM168,AN168,AO168,AG168,AH168)</f>
        <v/>
      </c>
      <c r="AQ168" s="3">
        <f>AE168-AP168</f>
        <v/>
      </c>
      <c r="AR168" s="3" t="n"/>
      <c r="AS168" s="3" t="n"/>
      <c r="AT168" s="3">
        <f>AR168-AS168</f>
        <v/>
      </c>
    </row>
    <row r="169">
      <c r="A169" s="2" t="n"/>
      <c r="B169" s="3" t="n"/>
      <c r="C169" s="4" t="n"/>
      <c r="D169" s="5" t="n"/>
      <c r="E169" s="3" t="n"/>
      <c r="F169" s="3">
        <f>IF(C169=0,0,IF(E169="",B169*D169/100,E169))</f>
        <v/>
      </c>
      <c r="G169" s="4" t="n"/>
      <c r="H169" s="5" t="n"/>
      <c r="I169" s="3" t="n"/>
      <c r="J169" s="3">
        <f>IF(G169=0,0,IF(I169="",B169*H169/100,I169))</f>
        <v/>
      </c>
      <c r="K169" s="4" t="n"/>
      <c r="L169" s="5" t="n"/>
      <c r="M169" s="3" t="n"/>
      <c r="N169" s="3">
        <f>IF(K169=0,0,IF(M169="",B169*L169/100,M169))</f>
        <v/>
      </c>
      <c r="O169" s="4" t="n"/>
      <c r="P169" s="5" t="n"/>
      <c r="Q169" s="3" t="n"/>
      <c r="R169" s="3">
        <f>IF(O169=0,0,IF(Q169="",B169*P169/100,Q169))</f>
        <v/>
      </c>
      <c r="S169" s="4" t="n"/>
      <c r="T169" s="5" t="n"/>
      <c r="U169" s="3" t="n"/>
      <c r="V169" s="3">
        <f>IF(S169=0,0,IF(U169="",B169*T169/100,U169))</f>
        <v/>
      </c>
      <c r="W169" s="4" t="n"/>
      <c r="X169" s="5" t="n"/>
      <c r="Y169" s="3" t="n"/>
      <c r="Z169" s="3">
        <f>IF(W169=0,0,IF(Y169="",B169*X169/100,Y169))</f>
        <v/>
      </c>
      <c r="AA169" s="3" t="n"/>
      <c r="AB169" s="3" t="n"/>
      <c r="AC169" s="3">
        <f>B169*0.035</f>
        <v/>
      </c>
      <c r="AD169" s="3">
        <f>B169*0.065</f>
        <v/>
      </c>
      <c r="AE169" s="3">
        <f>SUM(B169,F169,J169,N169,R169,V169,Z169,AA169,AB169,AC169,AD169)</f>
        <v/>
      </c>
      <c r="AF169" s="3">
        <f>B169*0.055</f>
        <v/>
      </c>
      <c r="AG169" s="3">
        <f>B169*0.035</f>
        <v/>
      </c>
      <c r="AH169" s="3">
        <f>B169*0.165</f>
        <v/>
      </c>
      <c r="AI169" s="3">
        <f>MAX(0,AE169-AF169-AH169)</f>
        <v/>
      </c>
      <c r="AJ169" s="3">
        <f>IF(AI169&lt;=490,0,IF(AI169&lt;=600,(AI169-490)*0.05,IF(AI169&lt;=730,5.5+(AI169-600)*0.10,IF(AI169&lt;=3896.67,18.5+(AI169-730)*0.175,IF(AI169&lt;=19896.67,572.67+(AI169-3896.67)*0.25,IF(AI169&lt;=50416.67,4572.67+(AI169-19896.67)*0.30,13728.67+(AI169-50416.67)*0.35))))))</f>
        <v/>
      </c>
      <c r="AK169" s="3" t="n"/>
      <c r="AL169" s="3" t="n"/>
      <c r="AM169" s="3" t="n"/>
      <c r="AN169" s="3" t="n"/>
      <c r="AO169" s="3" t="n"/>
      <c r="AP169" s="3">
        <f>SUM(AF169,AJ169,AK169,AL169,AM169,AN169,AO169,AG169,AH169)</f>
        <v/>
      </c>
      <c r="AQ169" s="3">
        <f>AE169-AP169</f>
        <v/>
      </c>
      <c r="AR169" s="3" t="n"/>
      <c r="AS169" s="3" t="n"/>
      <c r="AT169" s="3">
        <f>AR169-AS169</f>
        <v/>
      </c>
    </row>
    <row r="170">
      <c r="A170" s="2" t="n"/>
      <c r="B170" s="3" t="n"/>
      <c r="C170" s="4" t="n"/>
      <c r="D170" s="5" t="n"/>
      <c r="E170" s="3" t="n"/>
      <c r="F170" s="3">
        <f>IF(C170=0,0,IF(E170="",B170*D170/100,E170))</f>
        <v/>
      </c>
      <c r="G170" s="4" t="n"/>
      <c r="H170" s="5" t="n"/>
      <c r="I170" s="3" t="n"/>
      <c r="J170" s="3">
        <f>IF(G170=0,0,IF(I170="",B170*H170/100,I170))</f>
        <v/>
      </c>
      <c r="K170" s="4" t="n"/>
      <c r="L170" s="5" t="n"/>
      <c r="M170" s="3" t="n"/>
      <c r="N170" s="3">
        <f>IF(K170=0,0,IF(M170="",B170*L170/100,M170))</f>
        <v/>
      </c>
      <c r="O170" s="4" t="n"/>
      <c r="P170" s="5" t="n"/>
      <c r="Q170" s="3" t="n"/>
      <c r="R170" s="3">
        <f>IF(O170=0,0,IF(Q170="",B170*P170/100,Q170))</f>
        <v/>
      </c>
      <c r="S170" s="4" t="n"/>
      <c r="T170" s="5" t="n"/>
      <c r="U170" s="3" t="n"/>
      <c r="V170" s="3">
        <f>IF(S170=0,0,IF(U170="",B170*T170/100,U170))</f>
        <v/>
      </c>
      <c r="W170" s="4" t="n"/>
      <c r="X170" s="5" t="n"/>
      <c r="Y170" s="3" t="n"/>
      <c r="Z170" s="3">
        <f>IF(W170=0,0,IF(Y170="",B170*X170/100,Y170))</f>
        <v/>
      </c>
      <c r="AA170" s="3" t="n"/>
      <c r="AB170" s="3" t="n"/>
      <c r="AC170" s="3">
        <f>B170*0.035</f>
        <v/>
      </c>
      <c r="AD170" s="3">
        <f>B170*0.065</f>
        <v/>
      </c>
      <c r="AE170" s="3">
        <f>SUM(B170,F170,J170,N170,R170,V170,Z170,AA170,AB170,AC170,AD170)</f>
        <v/>
      </c>
      <c r="AF170" s="3">
        <f>B170*0.055</f>
        <v/>
      </c>
      <c r="AG170" s="3">
        <f>B170*0.035</f>
        <v/>
      </c>
      <c r="AH170" s="3">
        <f>B170*0.165</f>
        <v/>
      </c>
      <c r="AI170" s="3">
        <f>MAX(0,AE170-AF170-AH170)</f>
        <v/>
      </c>
      <c r="AJ170" s="3">
        <f>IF(AI170&lt;=490,0,IF(AI170&lt;=600,(AI170-490)*0.05,IF(AI170&lt;=730,5.5+(AI170-600)*0.10,IF(AI170&lt;=3896.67,18.5+(AI170-730)*0.175,IF(AI170&lt;=19896.67,572.67+(AI170-3896.67)*0.25,IF(AI170&lt;=50416.67,4572.67+(AI170-19896.67)*0.30,13728.67+(AI170-50416.67)*0.35))))))</f>
        <v/>
      </c>
      <c r="AK170" s="3" t="n"/>
      <c r="AL170" s="3" t="n"/>
      <c r="AM170" s="3" t="n"/>
      <c r="AN170" s="3" t="n"/>
      <c r="AO170" s="3" t="n"/>
      <c r="AP170" s="3">
        <f>SUM(AF170,AJ170,AK170,AL170,AM170,AN170,AO170,AG170,AH170)</f>
        <v/>
      </c>
      <c r="AQ170" s="3">
        <f>AE170-AP170</f>
        <v/>
      </c>
      <c r="AR170" s="3" t="n"/>
      <c r="AS170" s="3" t="n"/>
      <c r="AT170" s="3">
        <f>AR170-AS170</f>
        <v/>
      </c>
    </row>
    <row r="171">
      <c r="A171" s="2" t="n"/>
      <c r="B171" s="3" t="n"/>
      <c r="C171" s="4" t="n"/>
      <c r="D171" s="5" t="n"/>
      <c r="E171" s="3" t="n"/>
      <c r="F171" s="3">
        <f>IF(C171=0,0,IF(E171="",B171*D171/100,E171))</f>
        <v/>
      </c>
      <c r="G171" s="4" t="n"/>
      <c r="H171" s="5" t="n"/>
      <c r="I171" s="3" t="n"/>
      <c r="J171" s="3">
        <f>IF(G171=0,0,IF(I171="",B171*H171/100,I171))</f>
        <v/>
      </c>
      <c r="K171" s="4" t="n"/>
      <c r="L171" s="5" t="n"/>
      <c r="M171" s="3" t="n"/>
      <c r="N171" s="3">
        <f>IF(K171=0,0,IF(M171="",B171*L171/100,M171))</f>
        <v/>
      </c>
      <c r="O171" s="4" t="n"/>
      <c r="P171" s="5" t="n"/>
      <c r="Q171" s="3" t="n"/>
      <c r="R171" s="3">
        <f>IF(O171=0,0,IF(Q171="",B171*P171/100,Q171))</f>
        <v/>
      </c>
      <c r="S171" s="4" t="n"/>
      <c r="T171" s="5" t="n"/>
      <c r="U171" s="3" t="n"/>
      <c r="V171" s="3">
        <f>IF(S171=0,0,IF(U171="",B171*T171/100,U171))</f>
        <v/>
      </c>
      <c r="W171" s="4" t="n"/>
      <c r="X171" s="5" t="n"/>
      <c r="Y171" s="3" t="n"/>
      <c r="Z171" s="3">
        <f>IF(W171=0,0,IF(Y171="",B171*X171/100,Y171))</f>
        <v/>
      </c>
      <c r="AA171" s="3" t="n"/>
      <c r="AB171" s="3" t="n"/>
      <c r="AC171" s="3">
        <f>B171*0.035</f>
        <v/>
      </c>
      <c r="AD171" s="3">
        <f>B171*0.065</f>
        <v/>
      </c>
      <c r="AE171" s="3">
        <f>SUM(B171,F171,J171,N171,R171,V171,Z171,AA171,AB171,AC171,AD171)</f>
        <v/>
      </c>
      <c r="AF171" s="3">
        <f>B171*0.055</f>
        <v/>
      </c>
      <c r="AG171" s="3">
        <f>B171*0.035</f>
        <v/>
      </c>
      <c r="AH171" s="3">
        <f>B171*0.165</f>
        <v/>
      </c>
      <c r="AI171" s="3">
        <f>MAX(0,AE171-AF171-AH171)</f>
        <v/>
      </c>
      <c r="AJ171" s="3">
        <f>IF(AI171&lt;=490,0,IF(AI171&lt;=600,(AI171-490)*0.05,IF(AI171&lt;=730,5.5+(AI171-600)*0.10,IF(AI171&lt;=3896.67,18.5+(AI171-730)*0.175,IF(AI171&lt;=19896.67,572.67+(AI171-3896.67)*0.25,IF(AI171&lt;=50416.67,4572.67+(AI171-19896.67)*0.30,13728.67+(AI171-50416.67)*0.35))))))</f>
        <v/>
      </c>
      <c r="AK171" s="3" t="n"/>
      <c r="AL171" s="3" t="n"/>
      <c r="AM171" s="3" t="n"/>
      <c r="AN171" s="3" t="n"/>
      <c r="AO171" s="3" t="n"/>
      <c r="AP171" s="3">
        <f>SUM(AF171,AJ171,AK171,AL171,AM171,AN171,AO171,AG171,AH171)</f>
        <v/>
      </c>
      <c r="AQ171" s="3">
        <f>AE171-AP171</f>
        <v/>
      </c>
      <c r="AR171" s="3" t="n"/>
      <c r="AS171" s="3" t="n"/>
      <c r="AT171" s="3">
        <f>AR171-AS171</f>
        <v/>
      </c>
    </row>
    <row r="172">
      <c r="A172" s="2" t="n"/>
      <c r="B172" s="3" t="n"/>
      <c r="C172" s="4" t="n"/>
      <c r="D172" s="5" t="n"/>
      <c r="E172" s="3" t="n"/>
      <c r="F172" s="3">
        <f>IF(C172=0,0,IF(E172="",B172*D172/100,E172))</f>
        <v/>
      </c>
      <c r="G172" s="4" t="n"/>
      <c r="H172" s="5" t="n"/>
      <c r="I172" s="3" t="n"/>
      <c r="J172" s="3">
        <f>IF(G172=0,0,IF(I172="",B172*H172/100,I172))</f>
        <v/>
      </c>
      <c r="K172" s="4" t="n"/>
      <c r="L172" s="5" t="n"/>
      <c r="M172" s="3" t="n"/>
      <c r="N172" s="3">
        <f>IF(K172=0,0,IF(M172="",B172*L172/100,M172))</f>
        <v/>
      </c>
      <c r="O172" s="4" t="n"/>
      <c r="P172" s="5" t="n"/>
      <c r="Q172" s="3" t="n"/>
      <c r="R172" s="3">
        <f>IF(O172=0,0,IF(Q172="",B172*P172/100,Q172))</f>
        <v/>
      </c>
      <c r="S172" s="4" t="n"/>
      <c r="T172" s="5" t="n"/>
      <c r="U172" s="3" t="n"/>
      <c r="V172" s="3">
        <f>IF(S172=0,0,IF(U172="",B172*T172/100,U172))</f>
        <v/>
      </c>
      <c r="W172" s="4" t="n"/>
      <c r="X172" s="5" t="n"/>
      <c r="Y172" s="3" t="n"/>
      <c r="Z172" s="3">
        <f>IF(W172=0,0,IF(Y172="",B172*X172/100,Y172))</f>
        <v/>
      </c>
      <c r="AA172" s="3" t="n"/>
      <c r="AB172" s="3" t="n"/>
      <c r="AC172" s="3">
        <f>B172*0.035</f>
        <v/>
      </c>
      <c r="AD172" s="3">
        <f>B172*0.065</f>
        <v/>
      </c>
      <c r="AE172" s="3">
        <f>SUM(B172,F172,J172,N172,R172,V172,Z172,AA172,AB172,AC172,AD172)</f>
        <v/>
      </c>
      <c r="AF172" s="3">
        <f>B172*0.055</f>
        <v/>
      </c>
      <c r="AG172" s="3">
        <f>B172*0.035</f>
        <v/>
      </c>
      <c r="AH172" s="3">
        <f>B172*0.165</f>
        <v/>
      </c>
      <c r="AI172" s="3">
        <f>MAX(0,AE172-AF172-AH172)</f>
        <v/>
      </c>
      <c r="AJ172" s="3">
        <f>IF(AI172&lt;=490,0,IF(AI172&lt;=600,(AI172-490)*0.05,IF(AI172&lt;=730,5.5+(AI172-600)*0.10,IF(AI172&lt;=3896.67,18.5+(AI172-730)*0.175,IF(AI172&lt;=19896.67,572.67+(AI172-3896.67)*0.25,IF(AI172&lt;=50416.67,4572.67+(AI172-19896.67)*0.30,13728.67+(AI172-50416.67)*0.35))))))</f>
        <v/>
      </c>
      <c r="AK172" s="3" t="n"/>
      <c r="AL172" s="3" t="n"/>
      <c r="AM172" s="3" t="n"/>
      <c r="AN172" s="3" t="n"/>
      <c r="AO172" s="3" t="n"/>
      <c r="AP172" s="3">
        <f>SUM(AF172,AJ172,AK172,AL172,AM172,AN172,AO172,AG172,AH172)</f>
        <v/>
      </c>
      <c r="AQ172" s="3">
        <f>AE172-AP172</f>
        <v/>
      </c>
      <c r="AR172" s="3" t="n"/>
      <c r="AS172" s="3" t="n"/>
      <c r="AT172" s="3">
        <f>AR172-AS172</f>
        <v/>
      </c>
    </row>
    <row r="173">
      <c r="A173" s="2" t="n"/>
      <c r="B173" s="3" t="n"/>
      <c r="C173" s="4" t="n"/>
      <c r="D173" s="5" t="n"/>
      <c r="E173" s="3" t="n"/>
      <c r="F173" s="3">
        <f>IF(C173=0,0,IF(E173="",B173*D173/100,E173))</f>
        <v/>
      </c>
      <c r="G173" s="4" t="n"/>
      <c r="H173" s="5" t="n"/>
      <c r="I173" s="3" t="n"/>
      <c r="J173" s="3">
        <f>IF(G173=0,0,IF(I173="",B173*H173/100,I173))</f>
        <v/>
      </c>
      <c r="K173" s="4" t="n"/>
      <c r="L173" s="5" t="n"/>
      <c r="M173" s="3" t="n"/>
      <c r="N173" s="3">
        <f>IF(K173=0,0,IF(M173="",B173*L173/100,M173))</f>
        <v/>
      </c>
      <c r="O173" s="4" t="n"/>
      <c r="P173" s="5" t="n"/>
      <c r="Q173" s="3" t="n"/>
      <c r="R173" s="3">
        <f>IF(O173=0,0,IF(Q173="",B173*P173/100,Q173))</f>
        <v/>
      </c>
      <c r="S173" s="4" t="n"/>
      <c r="T173" s="5" t="n"/>
      <c r="U173" s="3" t="n"/>
      <c r="V173" s="3">
        <f>IF(S173=0,0,IF(U173="",B173*T173/100,U173))</f>
        <v/>
      </c>
      <c r="W173" s="4" t="n"/>
      <c r="X173" s="5" t="n"/>
      <c r="Y173" s="3" t="n"/>
      <c r="Z173" s="3">
        <f>IF(W173=0,0,IF(Y173="",B173*X173/100,Y173))</f>
        <v/>
      </c>
      <c r="AA173" s="3" t="n"/>
      <c r="AB173" s="3" t="n"/>
      <c r="AC173" s="3">
        <f>B173*0.035</f>
        <v/>
      </c>
      <c r="AD173" s="3">
        <f>B173*0.065</f>
        <v/>
      </c>
      <c r="AE173" s="3">
        <f>SUM(B173,F173,J173,N173,R173,V173,Z173,AA173,AB173,AC173,AD173)</f>
        <v/>
      </c>
      <c r="AF173" s="3">
        <f>B173*0.055</f>
        <v/>
      </c>
      <c r="AG173" s="3">
        <f>B173*0.035</f>
        <v/>
      </c>
      <c r="AH173" s="3">
        <f>B173*0.165</f>
        <v/>
      </c>
      <c r="AI173" s="3">
        <f>MAX(0,AE173-AF173-AH173)</f>
        <v/>
      </c>
      <c r="AJ173" s="3">
        <f>IF(AI173&lt;=490,0,IF(AI173&lt;=600,(AI173-490)*0.05,IF(AI173&lt;=730,5.5+(AI173-600)*0.10,IF(AI173&lt;=3896.67,18.5+(AI173-730)*0.175,IF(AI173&lt;=19896.67,572.67+(AI173-3896.67)*0.25,IF(AI173&lt;=50416.67,4572.67+(AI173-19896.67)*0.30,13728.67+(AI173-50416.67)*0.35))))))</f>
        <v/>
      </c>
      <c r="AK173" s="3" t="n"/>
      <c r="AL173" s="3" t="n"/>
      <c r="AM173" s="3" t="n"/>
      <c r="AN173" s="3" t="n"/>
      <c r="AO173" s="3" t="n"/>
      <c r="AP173" s="3">
        <f>SUM(AF173,AJ173,AK173,AL173,AM173,AN173,AO173,AG173,AH173)</f>
        <v/>
      </c>
      <c r="AQ173" s="3">
        <f>AE173-AP173</f>
        <v/>
      </c>
      <c r="AR173" s="3" t="n"/>
      <c r="AS173" s="3" t="n"/>
      <c r="AT173" s="3">
        <f>AR173-AS173</f>
        <v/>
      </c>
    </row>
    <row r="174">
      <c r="A174" s="2" t="n"/>
      <c r="B174" s="3" t="n"/>
      <c r="C174" s="4" t="n"/>
      <c r="D174" s="5" t="n"/>
      <c r="E174" s="3" t="n"/>
      <c r="F174" s="3">
        <f>IF(C174=0,0,IF(E174="",B174*D174/100,E174))</f>
        <v/>
      </c>
      <c r="G174" s="4" t="n"/>
      <c r="H174" s="5" t="n"/>
      <c r="I174" s="3" t="n"/>
      <c r="J174" s="3">
        <f>IF(G174=0,0,IF(I174="",B174*H174/100,I174))</f>
        <v/>
      </c>
      <c r="K174" s="4" t="n"/>
      <c r="L174" s="5" t="n"/>
      <c r="M174" s="3" t="n"/>
      <c r="N174" s="3">
        <f>IF(K174=0,0,IF(M174="",B174*L174/100,M174))</f>
        <v/>
      </c>
      <c r="O174" s="4" t="n"/>
      <c r="P174" s="5" t="n"/>
      <c r="Q174" s="3" t="n"/>
      <c r="R174" s="3">
        <f>IF(O174=0,0,IF(Q174="",B174*P174/100,Q174))</f>
        <v/>
      </c>
      <c r="S174" s="4" t="n"/>
      <c r="T174" s="5" t="n"/>
      <c r="U174" s="3" t="n"/>
      <c r="V174" s="3">
        <f>IF(S174=0,0,IF(U174="",B174*T174/100,U174))</f>
        <v/>
      </c>
      <c r="W174" s="4" t="n"/>
      <c r="X174" s="5" t="n"/>
      <c r="Y174" s="3" t="n"/>
      <c r="Z174" s="3">
        <f>IF(W174=0,0,IF(Y174="",B174*X174/100,Y174))</f>
        <v/>
      </c>
      <c r="AA174" s="3" t="n"/>
      <c r="AB174" s="3" t="n"/>
      <c r="AC174" s="3">
        <f>B174*0.035</f>
        <v/>
      </c>
      <c r="AD174" s="3">
        <f>B174*0.065</f>
        <v/>
      </c>
      <c r="AE174" s="3">
        <f>SUM(B174,F174,J174,N174,R174,V174,Z174,AA174,AB174,AC174,AD174)</f>
        <v/>
      </c>
      <c r="AF174" s="3">
        <f>B174*0.055</f>
        <v/>
      </c>
      <c r="AG174" s="3">
        <f>B174*0.035</f>
        <v/>
      </c>
      <c r="AH174" s="3">
        <f>B174*0.165</f>
        <v/>
      </c>
      <c r="AI174" s="3">
        <f>MAX(0,AE174-AF174-AH174)</f>
        <v/>
      </c>
      <c r="AJ174" s="3">
        <f>IF(AI174&lt;=490,0,IF(AI174&lt;=600,(AI174-490)*0.05,IF(AI174&lt;=730,5.5+(AI174-600)*0.10,IF(AI174&lt;=3896.67,18.5+(AI174-730)*0.175,IF(AI174&lt;=19896.67,572.67+(AI174-3896.67)*0.25,IF(AI174&lt;=50416.67,4572.67+(AI174-19896.67)*0.30,13728.67+(AI174-50416.67)*0.35))))))</f>
        <v/>
      </c>
      <c r="AK174" s="3" t="n"/>
      <c r="AL174" s="3" t="n"/>
      <c r="AM174" s="3" t="n"/>
      <c r="AN174" s="3" t="n"/>
      <c r="AO174" s="3" t="n"/>
      <c r="AP174" s="3">
        <f>SUM(AF174,AJ174,AK174,AL174,AM174,AN174,AO174,AG174,AH174)</f>
        <v/>
      </c>
      <c r="AQ174" s="3">
        <f>AE174-AP174</f>
        <v/>
      </c>
      <c r="AR174" s="3" t="n"/>
      <c r="AS174" s="3" t="n"/>
      <c r="AT174" s="3">
        <f>AR174-AS174</f>
        <v/>
      </c>
    </row>
    <row r="175">
      <c r="A175" s="2" t="n"/>
      <c r="B175" s="3" t="n"/>
      <c r="C175" s="4" t="n"/>
      <c r="D175" s="5" t="n"/>
      <c r="E175" s="3" t="n"/>
      <c r="F175" s="3">
        <f>IF(C175=0,0,IF(E175="",B175*D175/100,E175))</f>
        <v/>
      </c>
      <c r="G175" s="4" t="n"/>
      <c r="H175" s="5" t="n"/>
      <c r="I175" s="3" t="n"/>
      <c r="J175" s="3">
        <f>IF(G175=0,0,IF(I175="",B175*H175/100,I175))</f>
        <v/>
      </c>
      <c r="K175" s="4" t="n"/>
      <c r="L175" s="5" t="n"/>
      <c r="M175" s="3" t="n"/>
      <c r="N175" s="3">
        <f>IF(K175=0,0,IF(M175="",B175*L175/100,M175))</f>
        <v/>
      </c>
      <c r="O175" s="4" t="n"/>
      <c r="P175" s="5" t="n"/>
      <c r="Q175" s="3" t="n"/>
      <c r="R175" s="3">
        <f>IF(O175=0,0,IF(Q175="",B175*P175/100,Q175))</f>
        <v/>
      </c>
      <c r="S175" s="4" t="n"/>
      <c r="T175" s="5" t="n"/>
      <c r="U175" s="3" t="n"/>
      <c r="V175" s="3">
        <f>IF(S175=0,0,IF(U175="",B175*T175/100,U175))</f>
        <v/>
      </c>
      <c r="W175" s="4" t="n"/>
      <c r="X175" s="5" t="n"/>
      <c r="Y175" s="3" t="n"/>
      <c r="Z175" s="3">
        <f>IF(W175=0,0,IF(Y175="",B175*X175/100,Y175))</f>
        <v/>
      </c>
      <c r="AA175" s="3" t="n"/>
      <c r="AB175" s="3" t="n"/>
      <c r="AC175" s="3">
        <f>B175*0.035</f>
        <v/>
      </c>
      <c r="AD175" s="3">
        <f>B175*0.065</f>
        <v/>
      </c>
      <c r="AE175" s="3">
        <f>SUM(B175,F175,J175,N175,R175,V175,Z175,AA175,AB175,AC175,AD175)</f>
        <v/>
      </c>
      <c r="AF175" s="3">
        <f>B175*0.055</f>
        <v/>
      </c>
      <c r="AG175" s="3">
        <f>B175*0.035</f>
        <v/>
      </c>
      <c r="AH175" s="3">
        <f>B175*0.165</f>
        <v/>
      </c>
      <c r="AI175" s="3">
        <f>MAX(0,AE175-AF175-AH175)</f>
        <v/>
      </c>
      <c r="AJ175" s="3">
        <f>IF(AI175&lt;=490,0,IF(AI175&lt;=600,(AI175-490)*0.05,IF(AI175&lt;=730,5.5+(AI175-600)*0.10,IF(AI175&lt;=3896.67,18.5+(AI175-730)*0.175,IF(AI175&lt;=19896.67,572.67+(AI175-3896.67)*0.25,IF(AI175&lt;=50416.67,4572.67+(AI175-19896.67)*0.30,13728.67+(AI175-50416.67)*0.35))))))</f>
        <v/>
      </c>
      <c r="AK175" s="3" t="n"/>
      <c r="AL175" s="3" t="n"/>
      <c r="AM175" s="3" t="n"/>
      <c r="AN175" s="3" t="n"/>
      <c r="AO175" s="3" t="n"/>
      <c r="AP175" s="3">
        <f>SUM(AF175,AJ175,AK175,AL175,AM175,AN175,AO175,AG175,AH175)</f>
        <v/>
      </c>
      <c r="AQ175" s="3">
        <f>AE175-AP175</f>
        <v/>
      </c>
      <c r="AR175" s="3" t="n"/>
      <c r="AS175" s="3" t="n"/>
      <c r="AT175" s="3">
        <f>AR175-AS175</f>
        <v/>
      </c>
    </row>
    <row r="176">
      <c r="A176" s="2" t="n"/>
      <c r="B176" s="3" t="n"/>
      <c r="C176" s="4" t="n"/>
      <c r="D176" s="5" t="n"/>
      <c r="E176" s="3" t="n"/>
      <c r="F176" s="3">
        <f>IF(C176=0,0,IF(E176="",B176*D176/100,E176))</f>
        <v/>
      </c>
      <c r="G176" s="4" t="n"/>
      <c r="H176" s="5" t="n"/>
      <c r="I176" s="3" t="n"/>
      <c r="J176" s="3">
        <f>IF(G176=0,0,IF(I176="",B176*H176/100,I176))</f>
        <v/>
      </c>
      <c r="K176" s="4" t="n"/>
      <c r="L176" s="5" t="n"/>
      <c r="M176" s="3" t="n"/>
      <c r="N176" s="3">
        <f>IF(K176=0,0,IF(M176="",B176*L176/100,M176))</f>
        <v/>
      </c>
      <c r="O176" s="4" t="n"/>
      <c r="P176" s="5" t="n"/>
      <c r="Q176" s="3" t="n"/>
      <c r="R176" s="3">
        <f>IF(O176=0,0,IF(Q176="",B176*P176/100,Q176))</f>
        <v/>
      </c>
      <c r="S176" s="4" t="n"/>
      <c r="T176" s="5" t="n"/>
      <c r="U176" s="3" t="n"/>
      <c r="V176" s="3">
        <f>IF(S176=0,0,IF(U176="",B176*T176/100,U176))</f>
        <v/>
      </c>
      <c r="W176" s="4" t="n"/>
      <c r="X176" s="5" t="n"/>
      <c r="Y176" s="3" t="n"/>
      <c r="Z176" s="3">
        <f>IF(W176=0,0,IF(Y176="",B176*X176/100,Y176))</f>
        <v/>
      </c>
      <c r="AA176" s="3" t="n"/>
      <c r="AB176" s="3" t="n"/>
      <c r="AC176" s="3">
        <f>B176*0.035</f>
        <v/>
      </c>
      <c r="AD176" s="3">
        <f>B176*0.065</f>
        <v/>
      </c>
      <c r="AE176" s="3">
        <f>SUM(B176,F176,J176,N176,R176,V176,Z176,AA176,AB176,AC176,AD176)</f>
        <v/>
      </c>
      <c r="AF176" s="3">
        <f>B176*0.055</f>
        <v/>
      </c>
      <c r="AG176" s="3">
        <f>B176*0.035</f>
        <v/>
      </c>
      <c r="AH176" s="3">
        <f>B176*0.165</f>
        <v/>
      </c>
      <c r="AI176" s="3">
        <f>MAX(0,AE176-AF176-AH176)</f>
        <v/>
      </c>
      <c r="AJ176" s="3">
        <f>IF(AI176&lt;=490,0,IF(AI176&lt;=600,(AI176-490)*0.05,IF(AI176&lt;=730,5.5+(AI176-600)*0.10,IF(AI176&lt;=3896.67,18.5+(AI176-730)*0.175,IF(AI176&lt;=19896.67,572.67+(AI176-3896.67)*0.25,IF(AI176&lt;=50416.67,4572.67+(AI176-19896.67)*0.30,13728.67+(AI176-50416.67)*0.35))))))</f>
        <v/>
      </c>
      <c r="AK176" s="3" t="n"/>
      <c r="AL176" s="3" t="n"/>
      <c r="AM176" s="3" t="n"/>
      <c r="AN176" s="3" t="n"/>
      <c r="AO176" s="3" t="n"/>
      <c r="AP176" s="3">
        <f>SUM(AF176,AJ176,AK176,AL176,AM176,AN176,AO176,AG176,AH176)</f>
        <v/>
      </c>
      <c r="AQ176" s="3">
        <f>AE176-AP176</f>
        <v/>
      </c>
      <c r="AR176" s="3" t="n"/>
      <c r="AS176" s="3" t="n"/>
      <c r="AT176" s="3">
        <f>AR176-AS176</f>
        <v/>
      </c>
    </row>
    <row r="177">
      <c r="A177" s="2" t="n"/>
      <c r="B177" s="3" t="n"/>
      <c r="C177" s="4" t="n"/>
      <c r="D177" s="5" t="n"/>
      <c r="E177" s="3" t="n"/>
      <c r="F177" s="3">
        <f>IF(C177=0,0,IF(E177="",B177*D177/100,E177))</f>
        <v/>
      </c>
      <c r="G177" s="4" t="n"/>
      <c r="H177" s="5" t="n"/>
      <c r="I177" s="3" t="n"/>
      <c r="J177" s="3">
        <f>IF(G177=0,0,IF(I177="",B177*H177/100,I177))</f>
        <v/>
      </c>
      <c r="K177" s="4" t="n"/>
      <c r="L177" s="5" t="n"/>
      <c r="M177" s="3" t="n"/>
      <c r="N177" s="3">
        <f>IF(K177=0,0,IF(M177="",B177*L177/100,M177))</f>
        <v/>
      </c>
      <c r="O177" s="4" t="n"/>
      <c r="P177" s="5" t="n"/>
      <c r="Q177" s="3" t="n"/>
      <c r="R177" s="3">
        <f>IF(O177=0,0,IF(Q177="",B177*P177/100,Q177))</f>
        <v/>
      </c>
      <c r="S177" s="4" t="n"/>
      <c r="T177" s="5" t="n"/>
      <c r="U177" s="3" t="n"/>
      <c r="V177" s="3">
        <f>IF(S177=0,0,IF(U177="",B177*T177/100,U177))</f>
        <v/>
      </c>
      <c r="W177" s="4" t="n"/>
      <c r="X177" s="5" t="n"/>
      <c r="Y177" s="3" t="n"/>
      <c r="Z177" s="3">
        <f>IF(W177=0,0,IF(Y177="",B177*X177/100,Y177))</f>
        <v/>
      </c>
      <c r="AA177" s="3" t="n"/>
      <c r="AB177" s="3" t="n"/>
      <c r="AC177" s="3">
        <f>B177*0.035</f>
        <v/>
      </c>
      <c r="AD177" s="3">
        <f>B177*0.065</f>
        <v/>
      </c>
      <c r="AE177" s="3">
        <f>SUM(B177,F177,J177,N177,R177,V177,Z177,AA177,AB177,AC177,AD177)</f>
        <v/>
      </c>
      <c r="AF177" s="3">
        <f>B177*0.055</f>
        <v/>
      </c>
      <c r="AG177" s="3">
        <f>B177*0.035</f>
        <v/>
      </c>
      <c r="AH177" s="3">
        <f>B177*0.165</f>
        <v/>
      </c>
      <c r="AI177" s="3">
        <f>MAX(0,AE177-AF177-AH177)</f>
        <v/>
      </c>
      <c r="AJ177" s="3">
        <f>IF(AI177&lt;=490,0,IF(AI177&lt;=600,(AI177-490)*0.05,IF(AI177&lt;=730,5.5+(AI177-600)*0.10,IF(AI177&lt;=3896.67,18.5+(AI177-730)*0.175,IF(AI177&lt;=19896.67,572.67+(AI177-3896.67)*0.25,IF(AI177&lt;=50416.67,4572.67+(AI177-19896.67)*0.30,13728.67+(AI177-50416.67)*0.35))))))</f>
        <v/>
      </c>
      <c r="AK177" s="3" t="n"/>
      <c r="AL177" s="3" t="n"/>
      <c r="AM177" s="3" t="n"/>
      <c r="AN177" s="3" t="n"/>
      <c r="AO177" s="3" t="n"/>
      <c r="AP177" s="3">
        <f>SUM(AF177,AJ177,AK177,AL177,AM177,AN177,AO177,AG177,AH177)</f>
        <v/>
      </c>
      <c r="AQ177" s="3">
        <f>AE177-AP177</f>
        <v/>
      </c>
      <c r="AR177" s="3" t="n"/>
      <c r="AS177" s="3" t="n"/>
      <c r="AT177" s="3">
        <f>AR177-AS177</f>
        <v/>
      </c>
    </row>
    <row r="178">
      <c r="A178" s="2" t="n"/>
      <c r="B178" s="3" t="n"/>
      <c r="C178" s="4" t="n"/>
      <c r="D178" s="5" t="n"/>
      <c r="E178" s="3" t="n"/>
      <c r="F178" s="3">
        <f>IF(C178=0,0,IF(E178="",B178*D178/100,E178))</f>
        <v/>
      </c>
      <c r="G178" s="4" t="n"/>
      <c r="H178" s="5" t="n"/>
      <c r="I178" s="3" t="n"/>
      <c r="J178" s="3">
        <f>IF(G178=0,0,IF(I178="",B178*H178/100,I178))</f>
        <v/>
      </c>
      <c r="K178" s="4" t="n"/>
      <c r="L178" s="5" t="n"/>
      <c r="M178" s="3" t="n"/>
      <c r="N178" s="3">
        <f>IF(K178=0,0,IF(M178="",B178*L178/100,M178))</f>
        <v/>
      </c>
      <c r="O178" s="4" t="n"/>
      <c r="P178" s="5" t="n"/>
      <c r="Q178" s="3" t="n"/>
      <c r="R178" s="3">
        <f>IF(O178=0,0,IF(Q178="",B178*P178/100,Q178))</f>
        <v/>
      </c>
      <c r="S178" s="4" t="n"/>
      <c r="T178" s="5" t="n"/>
      <c r="U178" s="3" t="n"/>
      <c r="V178" s="3">
        <f>IF(S178=0,0,IF(U178="",B178*T178/100,U178))</f>
        <v/>
      </c>
      <c r="W178" s="4" t="n"/>
      <c r="X178" s="5" t="n"/>
      <c r="Y178" s="3" t="n"/>
      <c r="Z178" s="3">
        <f>IF(W178=0,0,IF(Y178="",B178*X178/100,Y178))</f>
        <v/>
      </c>
      <c r="AA178" s="3" t="n"/>
      <c r="AB178" s="3" t="n"/>
      <c r="AC178" s="3">
        <f>B178*0.035</f>
        <v/>
      </c>
      <c r="AD178" s="3">
        <f>B178*0.065</f>
        <v/>
      </c>
      <c r="AE178" s="3">
        <f>SUM(B178,F178,J178,N178,R178,V178,Z178,AA178,AB178,AC178,AD178)</f>
        <v/>
      </c>
      <c r="AF178" s="3">
        <f>B178*0.055</f>
        <v/>
      </c>
      <c r="AG178" s="3">
        <f>B178*0.035</f>
        <v/>
      </c>
      <c r="AH178" s="3">
        <f>B178*0.165</f>
        <v/>
      </c>
      <c r="AI178" s="3">
        <f>MAX(0,AE178-AF178-AH178)</f>
        <v/>
      </c>
      <c r="AJ178" s="3">
        <f>IF(AI178&lt;=490,0,IF(AI178&lt;=600,(AI178-490)*0.05,IF(AI178&lt;=730,5.5+(AI178-600)*0.10,IF(AI178&lt;=3896.67,18.5+(AI178-730)*0.175,IF(AI178&lt;=19896.67,572.67+(AI178-3896.67)*0.25,IF(AI178&lt;=50416.67,4572.67+(AI178-19896.67)*0.30,13728.67+(AI178-50416.67)*0.35))))))</f>
        <v/>
      </c>
      <c r="AK178" s="3" t="n"/>
      <c r="AL178" s="3" t="n"/>
      <c r="AM178" s="3" t="n"/>
      <c r="AN178" s="3" t="n"/>
      <c r="AO178" s="3" t="n"/>
      <c r="AP178" s="3">
        <f>SUM(AF178,AJ178,AK178,AL178,AM178,AN178,AO178,AG178,AH178)</f>
        <v/>
      </c>
      <c r="AQ178" s="3">
        <f>AE178-AP178</f>
        <v/>
      </c>
      <c r="AR178" s="3" t="n"/>
      <c r="AS178" s="3" t="n"/>
      <c r="AT178" s="3">
        <f>AR178-AS178</f>
        <v/>
      </c>
    </row>
    <row r="179">
      <c r="A179" s="2" t="n"/>
      <c r="B179" s="3" t="n"/>
      <c r="C179" s="4" t="n"/>
      <c r="D179" s="5" t="n"/>
      <c r="E179" s="3" t="n"/>
      <c r="F179" s="3">
        <f>IF(C179=0,0,IF(E179="",B179*D179/100,E179))</f>
        <v/>
      </c>
      <c r="G179" s="4" t="n"/>
      <c r="H179" s="5" t="n"/>
      <c r="I179" s="3" t="n"/>
      <c r="J179" s="3">
        <f>IF(G179=0,0,IF(I179="",B179*H179/100,I179))</f>
        <v/>
      </c>
      <c r="K179" s="4" t="n"/>
      <c r="L179" s="5" t="n"/>
      <c r="M179" s="3" t="n"/>
      <c r="N179" s="3">
        <f>IF(K179=0,0,IF(M179="",B179*L179/100,M179))</f>
        <v/>
      </c>
      <c r="O179" s="4" t="n"/>
      <c r="P179" s="5" t="n"/>
      <c r="Q179" s="3" t="n"/>
      <c r="R179" s="3">
        <f>IF(O179=0,0,IF(Q179="",B179*P179/100,Q179))</f>
        <v/>
      </c>
      <c r="S179" s="4" t="n"/>
      <c r="T179" s="5" t="n"/>
      <c r="U179" s="3" t="n"/>
      <c r="V179" s="3">
        <f>IF(S179=0,0,IF(U179="",B179*T179/100,U179))</f>
        <v/>
      </c>
      <c r="W179" s="4" t="n"/>
      <c r="X179" s="5" t="n"/>
      <c r="Y179" s="3" t="n"/>
      <c r="Z179" s="3">
        <f>IF(W179=0,0,IF(Y179="",B179*X179/100,Y179))</f>
        <v/>
      </c>
      <c r="AA179" s="3" t="n"/>
      <c r="AB179" s="3" t="n"/>
      <c r="AC179" s="3">
        <f>B179*0.035</f>
        <v/>
      </c>
      <c r="AD179" s="3">
        <f>B179*0.065</f>
        <v/>
      </c>
      <c r="AE179" s="3">
        <f>SUM(B179,F179,J179,N179,R179,V179,Z179,AA179,AB179,AC179,AD179)</f>
        <v/>
      </c>
      <c r="AF179" s="3">
        <f>B179*0.055</f>
        <v/>
      </c>
      <c r="AG179" s="3">
        <f>B179*0.035</f>
        <v/>
      </c>
      <c r="AH179" s="3">
        <f>B179*0.165</f>
        <v/>
      </c>
      <c r="AI179" s="3">
        <f>MAX(0,AE179-AF179-AH179)</f>
        <v/>
      </c>
      <c r="AJ179" s="3">
        <f>IF(AI179&lt;=490,0,IF(AI179&lt;=600,(AI179-490)*0.05,IF(AI179&lt;=730,5.5+(AI179-600)*0.10,IF(AI179&lt;=3896.67,18.5+(AI179-730)*0.175,IF(AI179&lt;=19896.67,572.67+(AI179-3896.67)*0.25,IF(AI179&lt;=50416.67,4572.67+(AI179-19896.67)*0.30,13728.67+(AI179-50416.67)*0.35))))))</f>
        <v/>
      </c>
      <c r="AK179" s="3" t="n"/>
      <c r="AL179" s="3" t="n"/>
      <c r="AM179" s="3" t="n"/>
      <c r="AN179" s="3" t="n"/>
      <c r="AO179" s="3" t="n"/>
      <c r="AP179" s="3">
        <f>SUM(AF179,AJ179,AK179,AL179,AM179,AN179,AO179,AG179,AH179)</f>
        <v/>
      </c>
      <c r="AQ179" s="3">
        <f>AE179-AP179</f>
        <v/>
      </c>
      <c r="AR179" s="3" t="n"/>
      <c r="AS179" s="3" t="n"/>
      <c r="AT179" s="3">
        <f>AR179-AS179</f>
        <v/>
      </c>
    </row>
    <row r="180">
      <c r="A180" s="2" t="n"/>
      <c r="B180" s="3" t="n"/>
      <c r="C180" s="4" t="n"/>
      <c r="D180" s="5" t="n"/>
      <c r="E180" s="3" t="n"/>
      <c r="F180" s="3">
        <f>IF(C180=0,0,IF(E180="",B180*D180/100,E180))</f>
        <v/>
      </c>
      <c r="G180" s="4" t="n"/>
      <c r="H180" s="5" t="n"/>
      <c r="I180" s="3" t="n"/>
      <c r="J180" s="3">
        <f>IF(G180=0,0,IF(I180="",B180*H180/100,I180))</f>
        <v/>
      </c>
      <c r="K180" s="4" t="n"/>
      <c r="L180" s="5" t="n"/>
      <c r="M180" s="3" t="n"/>
      <c r="N180" s="3">
        <f>IF(K180=0,0,IF(M180="",B180*L180/100,M180))</f>
        <v/>
      </c>
      <c r="O180" s="4" t="n"/>
      <c r="P180" s="5" t="n"/>
      <c r="Q180" s="3" t="n"/>
      <c r="R180" s="3">
        <f>IF(O180=0,0,IF(Q180="",B180*P180/100,Q180))</f>
        <v/>
      </c>
      <c r="S180" s="4" t="n"/>
      <c r="T180" s="5" t="n"/>
      <c r="U180" s="3" t="n"/>
      <c r="V180" s="3">
        <f>IF(S180=0,0,IF(U180="",B180*T180/100,U180))</f>
        <v/>
      </c>
      <c r="W180" s="4" t="n"/>
      <c r="X180" s="5" t="n"/>
      <c r="Y180" s="3" t="n"/>
      <c r="Z180" s="3">
        <f>IF(W180=0,0,IF(Y180="",B180*X180/100,Y180))</f>
        <v/>
      </c>
      <c r="AA180" s="3" t="n"/>
      <c r="AB180" s="3" t="n"/>
      <c r="AC180" s="3">
        <f>B180*0.035</f>
        <v/>
      </c>
      <c r="AD180" s="3">
        <f>B180*0.065</f>
        <v/>
      </c>
      <c r="AE180" s="3">
        <f>SUM(B180,F180,J180,N180,R180,V180,Z180,AA180,AB180,AC180,AD180)</f>
        <v/>
      </c>
      <c r="AF180" s="3">
        <f>B180*0.055</f>
        <v/>
      </c>
      <c r="AG180" s="3">
        <f>B180*0.035</f>
        <v/>
      </c>
      <c r="AH180" s="3">
        <f>B180*0.165</f>
        <v/>
      </c>
      <c r="AI180" s="3">
        <f>MAX(0,AE180-AF180-AH180)</f>
        <v/>
      </c>
      <c r="AJ180" s="3">
        <f>IF(AI180&lt;=490,0,IF(AI180&lt;=600,(AI180-490)*0.05,IF(AI180&lt;=730,5.5+(AI180-600)*0.10,IF(AI180&lt;=3896.67,18.5+(AI180-730)*0.175,IF(AI180&lt;=19896.67,572.67+(AI180-3896.67)*0.25,IF(AI180&lt;=50416.67,4572.67+(AI180-19896.67)*0.30,13728.67+(AI180-50416.67)*0.35))))))</f>
        <v/>
      </c>
      <c r="AK180" s="3" t="n"/>
      <c r="AL180" s="3" t="n"/>
      <c r="AM180" s="3" t="n"/>
      <c r="AN180" s="3" t="n"/>
      <c r="AO180" s="3" t="n"/>
      <c r="AP180" s="3">
        <f>SUM(AF180,AJ180,AK180,AL180,AM180,AN180,AO180,AG180,AH180)</f>
        <v/>
      </c>
      <c r="AQ180" s="3">
        <f>AE180-AP180</f>
        <v/>
      </c>
      <c r="AR180" s="3" t="n"/>
      <c r="AS180" s="3" t="n"/>
      <c r="AT180" s="3">
        <f>AR180-AS180</f>
        <v/>
      </c>
    </row>
    <row r="181">
      <c r="A181" s="2" t="n"/>
      <c r="B181" s="3" t="n"/>
      <c r="C181" s="4" t="n"/>
      <c r="D181" s="5" t="n"/>
      <c r="E181" s="3" t="n"/>
      <c r="F181" s="3">
        <f>IF(C181=0,0,IF(E181="",B181*D181/100,E181))</f>
        <v/>
      </c>
      <c r="G181" s="4" t="n"/>
      <c r="H181" s="5" t="n"/>
      <c r="I181" s="3" t="n"/>
      <c r="J181" s="3">
        <f>IF(G181=0,0,IF(I181="",B181*H181/100,I181))</f>
        <v/>
      </c>
      <c r="K181" s="4" t="n"/>
      <c r="L181" s="5" t="n"/>
      <c r="M181" s="3" t="n"/>
      <c r="N181" s="3">
        <f>IF(K181=0,0,IF(M181="",B181*L181/100,M181))</f>
        <v/>
      </c>
      <c r="O181" s="4" t="n"/>
      <c r="P181" s="5" t="n"/>
      <c r="Q181" s="3" t="n"/>
      <c r="R181" s="3">
        <f>IF(O181=0,0,IF(Q181="",B181*P181/100,Q181))</f>
        <v/>
      </c>
      <c r="S181" s="4" t="n"/>
      <c r="T181" s="5" t="n"/>
      <c r="U181" s="3" t="n"/>
      <c r="V181" s="3">
        <f>IF(S181=0,0,IF(U181="",B181*T181/100,U181))</f>
        <v/>
      </c>
      <c r="W181" s="4" t="n"/>
      <c r="X181" s="5" t="n"/>
      <c r="Y181" s="3" t="n"/>
      <c r="Z181" s="3">
        <f>IF(W181=0,0,IF(Y181="",B181*X181/100,Y181))</f>
        <v/>
      </c>
      <c r="AA181" s="3" t="n"/>
      <c r="AB181" s="3" t="n"/>
      <c r="AC181" s="3">
        <f>B181*0.035</f>
        <v/>
      </c>
      <c r="AD181" s="3">
        <f>B181*0.065</f>
        <v/>
      </c>
      <c r="AE181" s="3">
        <f>SUM(B181,F181,J181,N181,R181,V181,Z181,AA181,AB181,AC181,AD181)</f>
        <v/>
      </c>
      <c r="AF181" s="3">
        <f>B181*0.055</f>
        <v/>
      </c>
      <c r="AG181" s="3">
        <f>B181*0.035</f>
        <v/>
      </c>
      <c r="AH181" s="3">
        <f>B181*0.165</f>
        <v/>
      </c>
      <c r="AI181" s="3">
        <f>MAX(0,AE181-AF181-AH181)</f>
        <v/>
      </c>
      <c r="AJ181" s="3">
        <f>IF(AI181&lt;=490,0,IF(AI181&lt;=600,(AI181-490)*0.05,IF(AI181&lt;=730,5.5+(AI181-600)*0.10,IF(AI181&lt;=3896.67,18.5+(AI181-730)*0.175,IF(AI181&lt;=19896.67,572.67+(AI181-3896.67)*0.25,IF(AI181&lt;=50416.67,4572.67+(AI181-19896.67)*0.30,13728.67+(AI181-50416.67)*0.35))))))</f>
        <v/>
      </c>
      <c r="AK181" s="3" t="n"/>
      <c r="AL181" s="3" t="n"/>
      <c r="AM181" s="3" t="n"/>
      <c r="AN181" s="3" t="n"/>
      <c r="AO181" s="3" t="n"/>
      <c r="AP181" s="3">
        <f>SUM(AF181,AJ181,AK181,AL181,AM181,AN181,AO181,AG181,AH181)</f>
        <v/>
      </c>
      <c r="AQ181" s="3">
        <f>AE181-AP181</f>
        <v/>
      </c>
      <c r="AR181" s="3" t="n"/>
      <c r="AS181" s="3" t="n"/>
      <c r="AT181" s="3">
        <f>AR181-AS181</f>
        <v/>
      </c>
    </row>
    <row r="182">
      <c r="A182" s="2" t="n"/>
      <c r="B182" s="3" t="n"/>
      <c r="C182" s="4" t="n"/>
      <c r="D182" s="5" t="n"/>
      <c r="E182" s="3" t="n"/>
      <c r="F182" s="3">
        <f>IF(C182=0,0,IF(E182="",B182*D182/100,E182))</f>
        <v/>
      </c>
      <c r="G182" s="4" t="n"/>
      <c r="H182" s="5" t="n"/>
      <c r="I182" s="3" t="n"/>
      <c r="J182" s="3">
        <f>IF(G182=0,0,IF(I182="",B182*H182/100,I182))</f>
        <v/>
      </c>
      <c r="K182" s="4" t="n"/>
      <c r="L182" s="5" t="n"/>
      <c r="M182" s="3" t="n"/>
      <c r="N182" s="3">
        <f>IF(K182=0,0,IF(M182="",B182*L182/100,M182))</f>
        <v/>
      </c>
      <c r="O182" s="4" t="n"/>
      <c r="P182" s="5" t="n"/>
      <c r="Q182" s="3" t="n"/>
      <c r="R182" s="3">
        <f>IF(O182=0,0,IF(Q182="",B182*P182/100,Q182))</f>
        <v/>
      </c>
      <c r="S182" s="4" t="n"/>
      <c r="T182" s="5" t="n"/>
      <c r="U182" s="3" t="n"/>
      <c r="V182" s="3">
        <f>IF(S182=0,0,IF(U182="",B182*T182/100,U182))</f>
        <v/>
      </c>
      <c r="W182" s="4" t="n"/>
      <c r="X182" s="5" t="n"/>
      <c r="Y182" s="3" t="n"/>
      <c r="Z182" s="3">
        <f>IF(W182=0,0,IF(Y182="",B182*X182/100,Y182))</f>
        <v/>
      </c>
      <c r="AA182" s="3" t="n"/>
      <c r="AB182" s="3" t="n"/>
      <c r="AC182" s="3">
        <f>B182*0.035</f>
        <v/>
      </c>
      <c r="AD182" s="3">
        <f>B182*0.065</f>
        <v/>
      </c>
      <c r="AE182" s="3">
        <f>SUM(B182,F182,J182,N182,R182,V182,Z182,AA182,AB182,AC182,AD182)</f>
        <v/>
      </c>
      <c r="AF182" s="3">
        <f>B182*0.055</f>
        <v/>
      </c>
      <c r="AG182" s="3">
        <f>B182*0.035</f>
        <v/>
      </c>
      <c r="AH182" s="3">
        <f>B182*0.165</f>
        <v/>
      </c>
      <c r="AI182" s="3">
        <f>MAX(0,AE182-AF182-AH182)</f>
        <v/>
      </c>
      <c r="AJ182" s="3">
        <f>IF(AI182&lt;=490,0,IF(AI182&lt;=600,(AI182-490)*0.05,IF(AI182&lt;=730,5.5+(AI182-600)*0.10,IF(AI182&lt;=3896.67,18.5+(AI182-730)*0.175,IF(AI182&lt;=19896.67,572.67+(AI182-3896.67)*0.25,IF(AI182&lt;=50416.67,4572.67+(AI182-19896.67)*0.30,13728.67+(AI182-50416.67)*0.35))))))</f>
        <v/>
      </c>
      <c r="AK182" s="3" t="n"/>
      <c r="AL182" s="3" t="n"/>
      <c r="AM182" s="3" t="n"/>
      <c r="AN182" s="3" t="n"/>
      <c r="AO182" s="3" t="n"/>
      <c r="AP182" s="3">
        <f>SUM(AF182,AJ182,AK182,AL182,AM182,AN182,AO182,AG182,AH182)</f>
        <v/>
      </c>
      <c r="AQ182" s="3">
        <f>AE182-AP182</f>
        <v/>
      </c>
      <c r="AR182" s="3" t="n"/>
      <c r="AS182" s="3" t="n"/>
      <c r="AT182" s="3">
        <f>AR182-AS182</f>
        <v/>
      </c>
    </row>
    <row r="183">
      <c r="A183" s="2" t="n"/>
      <c r="B183" s="3" t="n"/>
      <c r="C183" s="4" t="n"/>
      <c r="D183" s="5" t="n"/>
      <c r="E183" s="3" t="n"/>
      <c r="F183" s="3">
        <f>IF(C183=0,0,IF(E183="",B183*D183/100,E183))</f>
        <v/>
      </c>
      <c r="G183" s="4" t="n"/>
      <c r="H183" s="5" t="n"/>
      <c r="I183" s="3" t="n"/>
      <c r="J183" s="3">
        <f>IF(G183=0,0,IF(I183="",B183*H183/100,I183))</f>
        <v/>
      </c>
      <c r="K183" s="4" t="n"/>
      <c r="L183" s="5" t="n"/>
      <c r="M183" s="3" t="n"/>
      <c r="N183" s="3">
        <f>IF(K183=0,0,IF(M183="",B183*L183/100,M183))</f>
        <v/>
      </c>
      <c r="O183" s="4" t="n"/>
      <c r="P183" s="5" t="n"/>
      <c r="Q183" s="3" t="n"/>
      <c r="R183" s="3">
        <f>IF(O183=0,0,IF(Q183="",B183*P183/100,Q183))</f>
        <v/>
      </c>
      <c r="S183" s="4" t="n"/>
      <c r="T183" s="5" t="n"/>
      <c r="U183" s="3" t="n"/>
      <c r="V183" s="3">
        <f>IF(S183=0,0,IF(U183="",B183*T183/100,U183))</f>
        <v/>
      </c>
      <c r="W183" s="4" t="n"/>
      <c r="X183" s="5" t="n"/>
      <c r="Y183" s="3" t="n"/>
      <c r="Z183" s="3">
        <f>IF(W183=0,0,IF(Y183="",B183*X183/100,Y183))</f>
        <v/>
      </c>
      <c r="AA183" s="3" t="n"/>
      <c r="AB183" s="3" t="n"/>
      <c r="AC183" s="3">
        <f>B183*0.035</f>
        <v/>
      </c>
      <c r="AD183" s="3">
        <f>B183*0.065</f>
        <v/>
      </c>
      <c r="AE183" s="3">
        <f>SUM(B183,F183,J183,N183,R183,V183,Z183,AA183,AB183,AC183,AD183)</f>
        <v/>
      </c>
      <c r="AF183" s="3">
        <f>B183*0.055</f>
        <v/>
      </c>
      <c r="AG183" s="3">
        <f>B183*0.035</f>
        <v/>
      </c>
      <c r="AH183" s="3">
        <f>B183*0.165</f>
        <v/>
      </c>
      <c r="AI183" s="3">
        <f>MAX(0,AE183-AF183-AH183)</f>
        <v/>
      </c>
      <c r="AJ183" s="3">
        <f>IF(AI183&lt;=490,0,IF(AI183&lt;=600,(AI183-490)*0.05,IF(AI183&lt;=730,5.5+(AI183-600)*0.10,IF(AI183&lt;=3896.67,18.5+(AI183-730)*0.175,IF(AI183&lt;=19896.67,572.67+(AI183-3896.67)*0.25,IF(AI183&lt;=50416.67,4572.67+(AI183-19896.67)*0.30,13728.67+(AI183-50416.67)*0.35))))))</f>
        <v/>
      </c>
      <c r="AK183" s="3" t="n"/>
      <c r="AL183" s="3" t="n"/>
      <c r="AM183" s="3" t="n"/>
      <c r="AN183" s="3" t="n"/>
      <c r="AO183" s="3" t="n"/>
      <c r="AP183" s="3">
        <f>SUM(AF183,AJ183,AK183,AL183,AM183,AN183,AO183,AG183,AH183)</f>
        <v/>
      </c>
      <c r="AQ183" s="3">
        <f>AE183-AP183</f>
        <v/>
      </c>
      <c r="AR183" s="3" t="n"/>
      <c r="AS183" s="3" t="n"/>
      <c r="AT183" s="3">
        <f>AR183-AS183</f>
        <v/>
      </c>
    </row>
    <row r="184">
      <c r="A184" s="2" t="n"/>
      <c r="B184" s="3" t="n"/>
      <c r="C184" s="4" t="n"/>
      <c r="D184" s="5" t="n"/>
      <c r="E184" s="3" t="n"/>
      <c r="F184" s="3">
        <f>IF(C184=0,0,IF(E184="",B184*D184/100,E184))</f>
        <v/>
      </c>
      <c r="G184" s="4" t="n"/>
      <c r="H184" s="5" t="n"/>
      <c r="I184" s="3" t="n"/>
      <c r="J184" s="3">
        <f>IF(G184=0,0,IF(I184="",B184*H184/100,I184))</f>
        <v/>
      </c>
      <c r="K184" s="4" t="n"/>
      <c r="L184" s="5" t="n"/>
      <c r="M184" s="3" t="n"/>
      <c r="N184" s="3">
        <f>IF(K184=0,0,IF(M184="",B184*L184/100,M184))</f>
        <v/>
      </c>
      <c r="O184" s="4" t="n"/>
      <c r="P184" s="5" t="n"/>
      <c r="Q184" s="3" t="n"/>
      <c r="R184" s="3">
        <f>IF(O184=0,0,IF(Q184="",B184*P184/100,Q184))</f>
        <v/>
      </c>
      <c r="S184" s="4" t="n"/>
      <c r="T184" s="5" t="n"/>
      <c r="U184" s="3" t="n"/>
      <c r="V184" s="3">
        <f>IF(S184=0,0,IF(U184="",B184*T184/100,U184))</f>
        <v/>
      </c>
      <c r="W184" s="4" t="n"/>
      <c r="X184" s="5" t="n"/>
      <c r="Y184" s="3" t="n"/>
      <c r="Z184" s="3">
        <f>IF(W184=0,0,IF(Y184="",B184*X184/100,Y184))</f>
        <v/>
      </c>
      <c r="AA184" s="3" t="n"/>
      <c r="AB184" s="3" t="n"/>
      <c r="AC184" s="3">
        <f>B184*0.035</f>
        <v/>
      </c>
      <c r="AD184" s="3">
        <f>B184*0.065</f>
        <v/>
      </c>
      <c r="AE184" s="3">
        <f>SUM(B184,F184,J184,N184,R184,V184,Z184,AA184,AB184,AC184,AD184)</f>
        <v/>
      </c>
      <c r="AF184" s="3">
        <f>B184*0.055</f>
        <v/>
      </c>
      <c r="AG184" s="3">
        <f>B184*0.035</f>
        <v/>
      </c>
      <c r="AH184" s="3">
        <f>B184*0.165</f>
        <v/>
      </c>
      <c r="AI184" s="3">
        <f>MAX(0,AE184-AF184-AH184)</f>
        <v/>
      </c>
      <c r="AJ184" s="3">
        <f>IF(AI184&lt;=490,0,IF(AI184&lt;=600,(AI184-490)*0.05,IF(AI184&lt;=730,5.5+(AI184-600)*0.10,IF(AI184&lt;=3896.67,18.5+(AI184-730)*0.175,IF(AI184&lt;=19896.67,572.67+(AI184-3896.67)*0.25,IF(AI184&lt;=50416.67,4572.67+(AI184-19896.67)*0.30,13728.67+(AI184-50416.67)*0.35))))))</f>
        <v/>
      </c>
      <c r="AK184" s="3" t="n"/>
      <c r="AL184" s="3" t="n"/>
      <c r="AM184" s="3" t="n"/>
      <c r="AN184" s="3" t="n"/>
      <c r="AO184" s="3" t="n"/>
      <c r="AP184" s="3">
        <f>SUM(AF184,AJ184,AK184,AL184,AM184,AN184,AO184,AG184,AH184)</f>
        <v/>
      </c>
      <c r="AQ184" s="3">
        <f>AE184-AP184</f>
        <v/>
      </c>
      <c r="AR184" s="3" t="n"/>
      <c r="AS184" s="3" t="n"/>
      <c r="AT184" s="3">
        <f>AR184-AS184</f>
        <v/>
      </c>
    </row>
    <row r="185">
      <c r="A185" s="2" t="n"/>
      <c r="B185" s="3" t="n"/>
      <c r="C185" s="4" t="n"/>
      <c r="D185" s="5" t="n"/>
      <c r="E185" s="3" t="n"/>
      <c r="F185" s="3">
        <f>IF(C185=0,0,IF(E185="",B185*D185/100,E185))</f>
        <v/>
      </c>
      <c r="G185" s="4" t="n"/>
      <c r="H185" s="5" t="n"/>
      <c r="I185" s="3" t="n"/>
      <c r="J185" s="3">
        <f>IF(G185=0,0,IF(I185="",B185*H185/100,I185))</f>
        <v/>
      </c>
      <c r="K185" s="4" t="n"/>
      <c r="L185" s="5" t="n"/>
      <c r="M185" s="3" t="n"/>
      <c r="N185" s="3">
        <f>IF(K185=0,0,IF(M185="",B185*L185/100,M185))</f>
        <v/>
      </c>
      <c r="O185" s="4" t="n"/>
      <c r="P185" s="5" t="n"/>
      <c r="Q185" s="3" t="n"/>
      <c r="R185" s="3">
        <f>IF(O185=0,0,IF(Q185="",B185*P185/100,Q185))</f>
        <v/>
      </c>
      <c r="S185" s="4" t="n"/>
      <c r="T185" s="5" t="n"/>
      <c r="U185" s="3" t="n"/>
      <c r="V185" s="3">
        <f>IF(S185=0,0,IF(U185="",B185*T185/100,U185))</f>
        <v/>
      </c>
      <c r="W185" s="4" t="n"/>
      <c r="X185" s="5" t="n"/>
      <c r="Y185" s="3" t="n"/>
      <c r="Z185" s="3">
        <f>IF(W185=0,0,IF(Y185="",B185*X185/100,Y185))</f>
        <v/>
      </c>
      <c r="AA185" s="3" t="n"/>
      <c r="AB185" s="3" t="n"/>
      <c r="AC185" s="3">
        <f>B185*0.035</f>
        <v/>
      </c>
      <c r="AD185" s="3">
        <f>B185*0.065</f>
        <v/>
      </c>
      <c r="AE185" s="3">
        <f>SUM(B185,F185,J185,N185,R185,V185,Z185,AA185,AB185,AC185,AD185)</f>
        <v/>
      </c>
      <c r="AF185" s="3">
        <f>B185*0.055</f>
        <v/>
      </c>
      <c r="AG185" s="3">
        <f>B185*0.035</f>
        <v/>
      </c>
      <c r="AH185" s="3">
        <f>B185*0.165</f>
        <v/>
      </c>
      <c r="AI185" s="3">
        <f>MAX(0,AE185-AF185-AH185)</f>
        <v/>
      </c>
      <c r="AJ185" s="3">
        <f>IF(AI185&lt;=490,0,IF(AI185&lt;=600,(AI185-490)*0.05,IF(AI185&lt;=730,5.5+(AI185-600)*0.10,IF(AI185&lt;=3896.67,18.5+(AI185-730)*0.175,IF(AI185&lt;=19896.67,572.67+(AI185-3896.67)*0.25,IF(AI185&lt;=50416.67,4572.67+(AI185-19896.67)*0.30,13728.67+(AI185-50416.67)*0.35))))))</f>
        <v/>
      </c>
      <c r="AK185" s="3" t="n"/>
      <c r="AL185" s="3" t="n"/>
      <c r="AM185" s="3" t="n"/>
      <c r="AN185" s="3" t="n"/>
      <c r="AO185" s="3" t="n"/>
      <c r="AP185" s="3">
        <f>SUM(AF185,AJ185,AK185,AL185,AM185,AN185,AO185,AG185,AH185)</f>
        <v/>
      </c>
      <c r="AQ185" s="3">
        <f>AE185-AP185</f>
        <v/>
      </c>
      <c r="AR185" s="3" t="n"/>
      <c r="AS185" s="3" t="n"/>
      <c r="AT185" s="3">
        <f>AR185-AS185</f>
        <v/>
      </c>
    </row>
    <row r="186">
      <c r="A186" s="2" t="n"/>
      <c r="B186" s="3" t="n"/>
      <c r="C186" s="4" t="n"/>
      <c r="D186" s="5" t="n"/>
      <c r="E186" s="3" t="n"/>
      <c r="F186" s="3">
        <f>IF(C186=0,0,IF(E186="",B186*D186/100,E186))</f>
        <v/>
      </c>
      <c r="G186" s="4" t="n"/>
      <c r="H186" s="5" t="n"/>
      <c r="I186" s="3" t="n"/>
      <c r="J186" s="3">
        <f>IF(G186=0,0,IF(I186="",B186*H186/100,I186))</f>
        <v/>
      </c>
      <c r="K186" s="4" t="n"/>
      <c r="L186" s="5" t="n"/>
      <c r="M186" s="3" t="n"/>
      <c r="N186" s="3">
        <f>IF(K186=0,0,IF(M186="",B186*L186/100,M186))</f>
        <v/>
      </c>
      <c r="O186" s="4" t="n"/>
      <c r="P186" s="5" t="n"/>
      <c r="Q186" s="3" t="n"/>
      <c r="R186" s="3">
        <f>IF(O186=0,0,IF(Q186="",B186*P186/100,Q186))</f>
        <v/>
      </c>
      <c r="S186" s="4" t="n"/>
      <c r="T186" s="5" t="n"/>
      <c r="U186" s="3" t="n"/>
      <c r="V186" s="3">
        <f>IF(S186=0,0,IF(U186="",B186*T186/100,U186))</f>
        <v/>
      </c>
      <c r="W186" s="4" t="n"/>
      <c r="X186" s="5" t="n"/>
      <c r="Y186" s="3" t="n"/>
      <c r="Z186" s="3">
        <f>IF(W186=0,0,IF(Y186="",B186*X186/100,Y186))</f>
        <v/>
      </c>
      <c r="AA186" s="3" t="n"/>
      <c r="AB186" s="3" t="n"/>
      <c r="AC186" s="3">
        <f>B186*0.035</f>
        <v/>
      </c>
      <c r="AD186" s="3">
        <f>B186*0.065</f>
        <v/>
      </c>
      <c r="AE186" s="3">
        <f>SUM(B186,F186,J186,N186,R186,V186,Z186,AA186,AB186,AC186,AD186)</f>
        <v/>
      </c>
      <c r="AF186" s="3">
        <f>B186*0.055</f>
        <v/>
      </c>
      <c r="AG186" s="3">
        <f>B186*0.035</f>
        <v/>
      </c>
      <c r="AH186" s="3">
        <f>B186*0.165</f>
        <v/>
      </c>
      <c r="AI186" s="3">
        <f>MAX(0,AE186-AF186-AH186)</f>
        <v/>
      </c>
      <c r="AJ186" s="3">
        <f>IF(AI186&lt;=490,0,IF(AI186&lt;=600,(AI186-490)*0.05,IF(AI186&lt;=730,5.5+(AI186-600)*0.10,IF(AI186&lt;=3896.67,18.5+(AI186-730)*0.175,IF(AI186&lt;=19896.67,572.67+(AI186-3896.67)*0.25,IF(AI186&lt;=50416.67,4572.67+(AI186-19896.67)*0.30,13728.67+(AI186-50416.67)*0.35))))))</f>
        <v/>
      </c>
      <c r="AK186" s="3" t="n"/>
      <c r="AL186" s="3" t="n"/>
      <c r="AM186" s="3" t="n"/>
      <c r="AN186" s="3" t="n"/>
      <c r="AO186" s="3" t="n"/>
      <c r="AP186" s="3">
        <f>SUM(AF186,AJ186,AK186,AL186,AM186,AN186,AO186,AG186,AH186)</f>
        <v/>
      </c>
      <c r="AQ186" s="3">
        <f>AE186-AP186</f>
        <v/>
      </c>
      <c r="AR186" s="3" t="n"/>
      <c r="AS186" s="3" t="n"/>
      <c r="AT186" s="3">
        <f>AR186-AS186</f>
        <v/>
      </c>
    </row>
    <row r="187">
      <c r="A187" s="2" t="n"/>
      <c r="B187" s="3" t="n"/>
      <c r="C187" s="4" t="n"/>
      <c r="D187" s="5" t="n"/>
      <c r="E187" s="3" t="n"/>
      <c r="F187" s="3">
        <f>IF(C187=0,0,IF(E187="",B187*D187/100,E187))</f>
        <v/>
      </c>
      <c r="G187" s="4" t="n"/>
      <c r="H187" s="5" t="n"/>
      <c r="I187" s="3" t="n"/>
      <c r="J187" s="3">
        <f>IF(G187=0,0,IF(I187="",B187*H187/100,I187))</f>
        <v/>
      </c>
      <c r="K187" s="4" t="n"/>
      <c r="L187" s="5" t="n"/>
      <c r="M187" s="3" t="n"/>
      <c r="N187" s="3">
        <f>IF(K187=0,0,IF(M187="",B187*L187/100,M187))</f>
        <v/>
      </c>
      <c r="O187" s="4" t="n"/>
      <c r="P187" s="5" t="n"/>
      <c r="Q187" s="3" t="n"/>
      <c r="R187" s="3">
        <f>IF(O187=0,0,IF(Q187="",B187*P187/100,Q187))</f>
        <v/>
      </c>
      <c r="S187" s="4" t="n"/>
      <c r="T187" s="5" t="n"/>
      <c r="U187" s="3" t="n"/>
      <c r="V187" s="3">
        <f>IF(S187=0,0,IF(U187="",B187*T187/100,U187))</f>
        <v/>
      </c>
      <c r="W187" s="4" t="n"/>
      <c r="X187" s="5" t="n"/>
      <c r="Y187" s="3" t="n"/>
      <c r="Z187" s="3">
        <f>IF(W187=0,0,IF(Y187="",B187*X187/100,Y187))</f>
        <v/>
      </c>
      <c r="AA187" s="3" t="n"/>
      <c r="AB187" s="3" t="n"/>
      <c r="AC187" s="3">
        <f>B187*0.035</f>
        <v/>
      </c>
      <c r="AD187" s="3">
        <f>B187*0.065</f>
        <v/>
      </c>
      <c r="AE187" s="3">
        <f>SUM(B187,F187,J187,N187,R187,V187,Z187,AA187,AB187,AC187,AD187)</f>
        <v/>
      </c>
      <c r="AF187" s="3">
        <f>B187*0.055</f>
        <v/>
      </c>
      <c r="AG187" s="3">
        <f>B187*0.035</f>
        <v/>
      </c>
      <c r="AH187" s="3">
        <f>B187*0.165</f>
        <v/>
      </c>
      <c r="AI187" s="3">
        <f>MAX(0,AE187-AF187-AH187)</f>
        <v/>
      </c>
      <c r="AJ187" s="3">
        <f>IF(AI187&lt;=490,0,IF(AI187&lt;=600,(AI187-490)*0.05,IF(AI187&lt;=730,5.5+(AI187-600)*0.10,IF(AI187&lt;=3896.67,18.5+(AI187-730)*0.175,IF(AI187&lt;=19896.67,572.67+(AI187-3896.67)*0.25,IF(AI187&lt;=50416.67,4572.67+(AI187-19896.67)*0.30,13728.67+(AI187-50416.67)*0.35))))))</f>
        <v/>
      </c>
      <c r="AK187" s="3" t="n"/>
      <c r="AL187" s="3" t="n"/>
      <c r="AM187" s="3" t="n"/>
      <c r="AN187" s="3" t="n"/>
      <c r="AO187" s="3" t="n"/>
      <c r="AP187" s="3">
        <f>SUM(AF187,AJ187,AK187,AL187,AM187,AN187,AO187,AG187,AH187)</f>
        <v/>
      </c>
      <c r="AQ187" s="3">
        <f>AE187-AP187</f>
        <v/>
      </c>
      <c r="AR187" s="3" t="n"/>
      <c r="AS187" s="3" t="n"/>
      <c r="AT187" s="3">
        <f>AR187-AS187</f>
        <v/>
      </c>
    </row>
    <row r="188">
      <c r="A188" s="2" t="n"/>
      <c r="B188" s="3" t="n"/>
      <c r="C188" s="4" t="n"/>
      <c r="D188" s="5" t="n"/>
      <c r="E188" s="3" t="n"/>
      <c r="F188" s="3">
        <f>IF(C188=0,0,IF(E188="",B188*D188/100,E188))</f>
        <v/>
      </c>
      <c r="G188" s="4" t="n"/>
      <c r="H188" s="5" t="n"/>
      <c r="I188" s="3" t="n"/>
      <c r="J188" s="3">
        <f>IF(G188=0,0,IF(I188="",B188*H188/100,I188))</f>
        <v/>
      </c>
      <c r="K188" s="4" t="n"/>
      <c r="L188" s="5" t="n"/>
      <c r="M188" s="3" t="n"/>
      <c r="N188" s="3">
        <f>IF(K188=0,0,IF(M188="",B188*L188/100,M188))</f>
        <v/>
      </c>
      <c r="O188" s="4" t="n"/>
      <c r="P188" s="5" t="n"/>
      <c r="Q188" s="3" t="n"/>
      <c r="R188" s="3">
        <f>IF(O188=0,0,IF(Q188="",B188*P188/100,Q188))</f>
        <v/>
      </c>
      <c r="S188" s="4" t="n"/>
      <c r="T188" s="5" t="n"/>
      <c r="U188" s="3" t="n"/>
      <c r="V188" s="3">
        <f>IF(S188=0,0,IF(U188="",B188*T188/100,U188))</f>
        <v/>
      </c>
      <c r="W188" s="4" t="n"/>
      <c r="X188" s="5" t="n"/>
      <c r="Y188" s="3" t="n"/>
      <c r="Z188" s="3">
        <f>IF(W188=0,0,IF(Y188="",B188*X188/100,Y188))</f>
        <v/>
      </c>
      <c r="AA188" s="3" t="n"/>
      <c r="AB188" s="3" t="n"/>
      <c r="AC188" s="3">
        <f>B188*0.035</f>
        <v/>
      </c>
      <c r="AD188" s="3">
        <f>B188*0.065</f>
        <v/>
      </c>
      <c r="AE188" s="3">
        <f>SUM(B188,F188,J188,N188,R188,V188,Z188,AA188,AB188,AC188,AD188)</f>
        <v/>
      </c>
      <c r="AF188" s="3">
        <f>B188*0.055</f>
        <v/>
      </c>
      <c r="AG188" s="3">
        <f>B188*0.035</f>
        <v/>
      </c>
      <c r="AH188" s="3">
        <f>B188*0.165</f>
        <v/>
      </c>
      <c r="AI188" s="3">
        <f>MAX(0,AE188-AF188-AH188)</f>
        <v/>
      </c>
      <c r="AJ188" s="3">
        <f>IF(AI188&lt;=490,0,IF(AI188&lt;=600,(AI188-490)*0.05,IF(AI188&lt;=730,5.5+(AI188-600)*0.10,IF(AI188&lt;=3896.67,18.5+(AI188-730)*0.175,IF(AI188&lt;=19896.67,572.67+(AI188-3896.67)*0.25,IF(AI188&lt;=50416.67,4572.67+(AI188-19896.67)*0.30,13728.67+(AI188-50416.67)*0.35))))))</f>
        <v/>
      </c>
      <c r="AK188" s="3" t="n"/>
      <c r="AL188" s="3" t="n"/>
      <c r="AM188" s="3" t="n"/>
      <c r="AN188" s="3" t="n"/>
      <c r="AO188" s="3" t="n"/>
      <c r="AP188" s="3">
        <f>SUM(AF188,AJ188,AK188,AL188,AM188,AN188,AO188,AG188,AH188)</f>
        <v/>
      </c>
      <c r="AQ188" s="3">
        <f>AE188-AP188</f>
        <v/>
      </c>
      <c r="AR188" s="3" t="n"/>
      <c r="AS188" s="3" t="n"/>
      <c r="AT188" s="3">
        <f>AR188-AS188</f>
        <v/>
      </c>
    </row>
    <row r="189">
      <c r="A189" s="2" t="n"/>
      <c r="B189" s="3" t="n"/>
      <c r="C189" s="4" t="n"/>
      <c r="D189" s="5" t="n"/>
      <c r="E189" s="3" t="n"/>
      <c r="F189" s="3">
        <f>IF(C189=0,0,IF(E189="",B189*D189/100,E189))</f>
        <v/>
      </c>
      <c r="G189" s="4" t="n"/>
      <c r="H189" s="5" t="n"/>
      <c r="I189" s="3" t="n"/>
      <c r="J189" s="3">
        <f>IF(G189=0,0,IF(I189="",B189*H189/100,I189))</f>
        <v/>
      </c>
      <c r="K189" s="4" t="n"/>
      <c r="L189" s="5" t="n"/>
      <c r="M189" s="3" t="n"/>
      <c r="N189" s="3">
        <f>IF(K189=0,0,IF(M189="",B189*L189/100,M189))</f>
        <v/>
      </c>
      <c r="O189" s="4" t="n"/>
      <c r="P189" s="5" t="n"/>
      <c r="Q189" s="3" t="n"/>
      <c r="R189" s="3">
        <f>IF(O189=0,0,IF(Q189="",B189*P189/100,Q189))</f>
        <v/>
      </c>
      <c r="S189" s="4" t="n"/>
      <c r="T189" s="5" t="n"/>
      <c r="U189" s="3" t="n"/>
      <c r="V189" s="3">
        <f>IF(S189=0,0,IF(U189="",B189*T189/100,U189))</f>
        <v/>
      </c>
      <c r="W189" s="4" t="n"/>
      <c r="X189" s="5" t="n"/>
      <c r="Y189" s="3" t="n"/>
      <c r="Z189" s="3">
        <f>IF(W189=0,0,IF(Y189="",B189*X189/100,Y189))</f>
        <v/>
      </c>
      <c r="AA189" s="3" t="n"/>
      <c r="AB189" s="3" t="n"/>
      <c r="AC189" s="3">
        <f>B189*0.035</f>
        <v/>
      </c>
      <c r="AD189" s="3">
        <f>B189*0.065</f>
        <v/>
      </c>
      <c r="AE189" s="3">
        <f>SUM(B189,F189,J189,N189,R189,V189,Z189,AA189,AB189,AC189,AD189)</f>
        <v/>
      </c>
      <c r="AF189" s="3">
        <f>B189*0.055</f>
        <v/>
      </c>
      <c r="AG189" s="3">
        <f>B189*0.035</f>
        <v/>
      </c>
      <c r="AH189" s="3">
        <f>B189*0.165</f>
        <v/>
      </c>
      <c r="AI189" s="3">
        <f>MAX(0,AE189-AF189-AH189)</f>
        <v/>
      </c>
      <c r="AJ189" s="3">
        <f>IF(AI189&lt;=490,0,IF(AI189&lt;=600,(AI189-490)*0.05,IF(AI189&lt;=730,5.5+(AI189-600)*0.10,IF(AI189&lt;=3896.67,18.5+(AI189-730)*0.175,IF(AI189&lt;=19896.67,572.67+(AI189-3896.67)*0.25,IF(AI189&lt;=50416.67,4572.67+(AI189-19896.67)*0.30,13728.67+(AI189-50416.67)*0.35))))))</f>
        <v/>
      </c>
      <c r="AK189" s="3" t="n"/>
      <c r="AL189" s="3" t="n"/>
      <c r="AM189" s="3" t="n"/>
      <c r="AN189" s="3" t="n"/>
      <c r="AO189" s="3" t="n"/>
      <c r="AP189" s="3">
        <f>SUM(AF189,AJ189,AK189,AL189,AM189,AN189,AO189,AG189,AH189)</f>
        <v/>
      </c>
      <c r="AQ189" s="3">
        <f>AE189-AP189</f>
        <v/>
      </c>
      <c r="AR189" s="3" t="n"/>
      <c r="AS189" s="3" t="n"/>
      <c r="AT189" s="3">
        <f>AR189-AS189</f>
        <v/>
      </c>
    </row>
    <row r="190">
      <c r="A190" s="2" t="n"/>
      <c r="B190" s="3" t="n"/>
      <c r="C190" s="4" t="n"/>
      <c r="D190" s="5" t="n"/>
      <c r="E190" s="3" t="n"/>
      <c r="F190" s="3">
        <f>IF(C190=0,0,IF(E190="",B190*D190/100,E190))</f>
        <v/>
      </c>
      <c r="G190" s="4" t="n"/>
      <c r="H190" s="5" t="n"/>
      <c r="I190" s="3" t="n"/>
      <c r="J190" s="3">
        <f>IF(G190=0,0,IF(I190="",B190*H190/100,I190))</f>
        <v/>
      </c>
      <c r="K190" s="4" t="n"/>
      <c r="L190" s="5" t="n"/>
      <c r="M190" s="3" t="n"/>
      <c r="N190" s="3">
        <f>IF(K190=0,0,IF(M190="",B190*L190/100,M190))</f>
        <v/>
      </c>
      <c r="O190" s="4" t="n"/>
      <c r="P190" s="5" t="n"/>
      <c r="Q190" s="3" t="n"/>
      <c r="R190" s="3">
        <f>IF(O190=0,0,IF(Q190="",B190*P190/100,Q190))</f>
        <v/>
      </c>
      <c r="S190" s="4" t="n"/>
      <c r="T190" s="5" t="n"/>
      <c r="U190" s="3" t="n"/>
      <c r="V190" s="3">
        <f>IF(S190=0,0,IF(U190="",B190*T190/100,U190))</f>
        <v/>
      </c>
      <c r="W190" s="4" t="n"/>
      <c r="X190" s="5" t="n"/>
      <c r="Y190" s="3" t="n"/>
      <c r="Z190" s="3">
        <f>IF(W190=0,0,IF(Y190="",B190*X190/100,Y190))</f>
        <v/>
      </c>
      <c r="AA190" s="3" t="n"/>
      <c r="AB190" s="3" t="n"/>
      <c r="AC190" s="3">
        <f>B190*0.035</f>
        <v/>
      </c>
      <c r="AD190" s="3">
        <f>B190*0.065</f>
        <v/>
      </c>
      <c r="AE190" s="3">
        <f>SUM(B190,F190,J190,N190,R190,V190,Z190,AA190,AB190,AC190,AD190)</f>
        <v/>
      </c>
      <c r="AF190" s="3">
        <f>B190*0.055</f>
        <v/>
      </c>
      <c r="AG190" s="3">
        <f>B190*0.035</f>
        <v/>
      </c>
      <c r="AH190" s="3">
        <f>B190*0.165</f>
        <v/>
      </c>
      <c r="AI190" s="3">
        <f>MAX(0,AE190-AF190-AH190)</f>
        <v/>
      </c>
      <c r="AJ190" s="3">
        <f>IF(AI190&lt;=490,0,IF(AI190&lt;=600,(AI190-490)*0.05,IF(AI190&lt;=730,5.5+(AI190-600)*0.10,IF(AI190&lt;=3896.67,18.5+(AI190-730)*0.175,IF(AI190&lt;=19896.67,572.67+(AI190-3896.67)*0.25,IF(AI190&lt;=50416.67,4572.67+(AI190-19896.67)*0.30,13728.67+(AI190-50416.67)*0.35))))))</f>
        <v/>
      </c>
      <c r="AK190" s="3" t="n"/>
      <c r="AL190" s="3" t="n"/>
      <c r="AM190" s="3" t="n"/>
      <c r="AN190" s="3" t="n"/>
      <c r="AO190" s="3" t="n"/>
      <c r="AP190" s="3">
        <f>SUM(AF190,AJ190,AK190,AL190,AM190,AN190,AO190,AG190,AH190)</f>
        <v/>
      </c>
      <c r="AQ190" s="3">
        <f>AE190-AP190</f>
        <v/>
      </c>
      <c r="AR190" s="3" t="n"/>
      <c r="AS190" s="3" t="n"/>
      <c r="AT190" s="3">
        <f>AR190-AS190</f>
        <v/>
      </c>
    </row>
    <row r="191">
      <c r="A191" s="2" t="n"/>
      <c r="B191" s="3" t="n"/>
      <c r="C191" s="4" t="n"/>
      <c r="D191" s="5" t="n"/>
      <c r="E191" s="3" t="n"/>
      <c r="F191" s="3">
        <f>IF(C191=0,0,IF(E191="",B191*D191/100,E191))</f>
        <v/>
      </c>
      <c r="G191" s="4" t="n"/>
      <c r="H191" s="5" t="n"/>
      <c r="I191" s="3" t="n"/>
      <c r="J191" s="3">
        <f>IF(G191=0,0,IF(I191="",B191*H191/100,I191))</f>
        <v/>
      </c>
      <c r="K191" s="4" t="n"/>
      <c r="L191" s="5" t="n"/>
      <c r="M191" s="3" t="n"/>
      <c r="N191" s="3">
        <f>IF(K191=0,0,IF(M191="",B191*L191/100,M191))</f>
        <v/>
      </c>
      <c r="O191" s="4" t="n"/>
      <c r="P191" s="5" t="n"/>
      <c r="Q191" s="3" t="n"/>
      <c r="R191" s="3">
        <f>IF(O191=0,0,IF(Q191="",B191*P191/100,Q191))</f>
        <v/>
      </c>
      <c r="S191" s="4" t="n"/>
      <c r="T191" s="5" t="n"/>
      <c r="U191" s="3" t="n"/>
      <c r="V191" s="3">
        <f>IF(S191=0,0,IF(U191="",B191*T191/100,U191))</f>
        <v/>
      </c>
      <c r="W191" s="4" t="n"/>
      <c r="X191" s="5" t="n"/>
      <c r="Y191" s="3" t="n"/>
      <c r="Z191" s="3">
        <f>IF(W191=0,0,IF(Y191="",B191*X191/100,Y191))</f>
        <v/>
      </c>
      <c r="AA191" s="3" t="n"/>
      <c r="AB191" s="3" t="n"/>
      <c r="AC191" s="3">
        <f>B191*0.035</f>
        <v/>
      </c>
      <c r="AD191" s="3">
        <f>B191*0.065</f>
        <v/>
      </c>
      <c r="AE191" s="3">
        <f>SUM(B191,F191,J191,N191,R191,V191,Z191,AA191,AB191,AC191,AD191)</f>
        <v/>
      </c>
      <c r="AF191" s="3">
        <f>B191*0.055</f>
        <v/>
      </c>
      <c r="AG191" s="3">
        <f>B191*0.035</f>
        <v/>
      </c>
      <c r="AH191" s="3">
        <f>B191*0.165</f>
        <v/>
      </c>
      <c r="AI191" s="3">
        <f>MAX(0,AE191-AF191-AH191)</f>
        <v/>
      </c>
      <c r="AJ191" s="3">
        <f>IF(AI191&lt;=490,0,IF(AI191&lt;=600,(AI191-490)*0.05,IF(AI191&lt;=730,5.5+(AI191-600)*0.10,IF(AI191&lt;=3896.67,18.5+(AI191-730)*0.175,IF(AI191&lt;=19896.67,572.67+(AI191-3896.67)*0.25,IF(AI191&lt;=50416.67,4572.67+(AI191-19896.67)*0.30,13728.67+(AI191-50416.67)*0.35))))))</f>
        <v/>
      </c>
      <c r="AK191" s="3" t="n"/>
      <c r="AL191" s="3" t="n"/>
      <c r="AM191" s="3" t="n"/>
      <c r="AN191" s="3" t="n"/>
      <c r="AO191" s="3" t="n"/>
      <c r="AP191" s="3">
        <f>SUM(AF191,AJ191,AK191,AL191,AM191,AN191,AO191,AG191,AH191)</f>
        <v/>
      </c>
      <c r="AQ191" s="3">
        <f>AE191-AP191</f>
        <v/>
      </c>
      <c r="AR191" s="3" t="n"/>
      <c r="AS191" s="3" t="n"/>
      <c r="AT191" s="3">
        <f>AR191-AS191</f>
        <v/>
      </c>
    </row>
    <row r="192">
      <c r="A192" s="2" t="n"/>
      <c r="B192" s="3" t="n"/>
      <c r="C192" s="4" t="n"/>
      <c r="D192" s="5" t="n"/>
      <c r="E192" s="3" t="n"/>
      <c r="F192" s="3">
        <f>IF(C192=0,0,IF(E192="",B192*D192/100,E192))</f>
        <v/>
      </c>
      <c r="G192" s="4" t="n"/>
      <c r="H192" s="5" t="n"/>
      <c r="I192" s="3" t="n"/>
      <c r="J192" s="3">
        <f>IF(G192=0,0,IF(I192="",B192*H192/100,I192))</f>
        <v/>
      </c>
      <c r="K192" s="4" t="n"/>
      <c r="L192" s="5" t="n"/>
      <c r="M192" s="3" t="n"/>
      <c r="N192" s="3">
        <f>IF(K192=0,0,IF(M192="",B192*L192/100,M192))</f>
        <v/>
      </c>
      <c r="O192" s="4" t="n"/>
      <c r="P192" s="5" t="n"/>
      <c r="Q192" s="3" t="n"/>
      <c r="R192" s="3">
        <f>IF(O192=0,0,IF(Q192="",B192*P192/100,Q192))</f>
        <v/>
      </c>
      <c r="S192" s="4" t="n"/>
      <c r="T192" s="5" t="n"/>
      <c r="U192" s="3" t="n"/>
      <c r="V192" s="3">
        <f>IF(S192=0,0,IF(U192="",B192*T192/100,U192))</f>
        <v/>
      </c>
      <c r="W192" s="4" t="n"/>
      <c r="X192" s="5" t="n"/>
      <c r="Y192" s="3" t="n"/>
      <c r="Z192" s="3">
        <f>IF(W192=0,0,IF(Y192="",B192*X192/100,Y192))</f>
        <v/>
      </c>
      <c r="AA192" s="3" t="n"/>
      <c r="AB192" s="3" t="n"/>
      <c r="AC192" s="3">
        <f>B192*0.035</f>
        <v/>
      </c>
      <c r="AD192" s="3">
        <f>B192*0.065</f>
        <v/>
      </c>
      <c r="AE192" s="3">
        <f>SUM(B192,F192,J192,N192,R192,V192,Z192,AA192,AB192,AC192,AD192)</f>
        <v/>
      </c>
      <c r="AF192" s="3">
        <f>B192*0.055</f>
        <v/>
      </c>
      <c r="AG192" s="3">
        <f>B192*0.035</f>
        <v/>
      </c>
      <c r="AH192" s="3">
        <f>B192*0.165</f>
        <v/>
      </c>
      <c r="AI192" s="3">
        <f>MAX(0,AE192-AF192-AH192)</f>
        <v/>
      </c>
      <c r="AJ192" s="3">
        <f>IF(AI192&lt;=490,0,IF(AI192&lt;=600,(AI192-490)*0.05,IF(AI192&lt;=730,5.5+(AI192-600)*0.10,IF(AI192&lt;=3896.67,18.5+(AI192-730)*0.175,IF(AI192&lt;=19896.67,572.67+(AI192-3896.67)*0.25,IF(AI192&lt;=50416.67,4572.67+(AI192-19896.67)*0.30,13728.67+(AI192-50416.67)*0.35))))))</f>
        <v/>
      </c>
      <c r="AK192" s="3" t="n"/>
      <c r="AL192" s="3" t="n"/>
      <c r="AM192" s="3" t="n"/>
      <c r="AN192" s="3" t="n"/>
      <c r="AO192" s="3" t="n"/>
      <c r="AP192" s="3">
        <f>SUM(AF192,AJ192,AK192,AL192,AM192,AN192,AO192,AG192,AH192)</f>
        <v/>
      </c>
      <c r="AQ192" s="3">
        <f>AE192-AP192</f>
        <v/>
      </c>
      <c r="AR192" s="3" t="n"/>
      <c r="AS192" s="3" t="n"/>
      <c r="AT192" s="3">
        <f>AR192-AS192</f>
        <v/>
      </c>
    </row>
    <row r="193">
      <c r="A193" s="2" t="n"/>
      <c r="B193" s="3" t="n"/>
      <c r="C193" s="4" t="n"/>
      <c r="D193" s="5" t="n"/>
      <c r="E193" s="3" t="n"/>
      <c r="F193" s="3">
        <f>IF(C193=0,0,IF(E193="",B193*D193/100,E193))</f>
        <v/>
      </c>
      <c r="G193" s="4" t="n"/>
      <c r="H193" s="5" t="n"/>
      <c r="I193" s="3" t="n"/>
      <c r="J193" s="3">
        <f>IF(G193=0,0,IF(I193="",B193*H193/100,I193))</f>
        <v/>
      </c>
      <c r="K193" s="4" t="n"/>
      <c r="L193" s="5" t="n"/>
      <c r="M193" s="3" t="n"/>
      <c r="N193" s="3">
        <f>IF(K193=0,0,IF(M193="",B193*L193/100,M193))</f>
        <v/>
      </c>
      <c r="O193" s="4" t="n"/>
      <c r="P193" s="5" t="n"/>
      <c r="Q193" s="3" t="n"/>
      <c r="R193" s="3">
        <f>IF(O193=0,0,IF(Q193="",B193*P193/100,Q193))</f>
        <v/>
      </c>
      <c r="S193" s="4" t="n"/>
      <c r="T193" s="5" t="n"/>
      <c r="U193" s="3" t="n"/>
      <c r="V193" s="3">
        <f>IF(S193=0,0,IF(U193="",B193*T193/100,U193))</f>
        <v/>
      </c>
      <c r="W193" s="4" t="n"/>
      <c r="X193" s="5" t="n"/>
      <c r="Y193" s="3" t="n"/>
      <c r="Z193" s="3">
        <f>IF(W193=0,0,IF(Y193="",B193*X193/100,Y193))</f>
        <v/>
      </c>
      <c r="AA193" s="3" t="n"/>
      <c r="AB193" s="3" t="n"/>
      <c r="AC193" s="3">
        <f>B193*0.035</f>
        <v/>
      </c>
      <c r="AD193" s="3">
        <f>B193*0.065</f>
        <v/>
      </c>
      <c r="AE193" s="3">
        <f>SUM(B193,F193,J193,N193,R193,V193,Z193,AA193,AB193,AC193,AD193)</f>
        <v/>
      </c>
      <c r="AF193" s="3">
        <f>B193*0.055</f>
        <v/>
      </c>
      <c r="AG193" s="3">
        <f>B193*0.035</f>
        <v/>
      </c>
      <c r="AH193" s="3">
        <f>B193*0.165</f>
        <v/>
      </c>
      <c r="AI193" s="3">
        <f>MAX(0,AE193-AF193-AH193)</f>
        <v/>
      </c>
      <c r="AJ193" s="3">
        <f>IF(AI193&lt;=490,0,IF(AI193&lt;=600,(AI193-490)*0.05,IF(AI193&lt;=730,5.5+(AI193-600)*0.10,IF(AI193&lt;=3896.67,18.5+(AI193-730)*0.175,IF(AI193&lt;=19896.67,572.67+(AI193-3896.67)*0.25,IF(AI193&lt;=50416.67,4572.67+(AI193-19896.67)*0.30,13728.67+(AI193-50416.67)*0.35))))))</f>
        <v/>
      </c>
      <c r="AK193" s="3" t="n"/>
      <c r="AL193" s="3" t="n"/>
      <c r="AM193" s="3" t="n"/>
      <c r="AN193" s="3" t="n"/>
      <c r="AO193" s="3" t="n"/>
      <c r="AP193" s="3">
        <f>SUM(AF193,AJ193,AK193,AL193,AM193,AN193,AO193,AG193,AH193)</f>
        <v/>
      </c>
      <c r="AQ193" s="3">
        <f>AE193-AP193</f>
        <v/>
      </c>
      <c r="AR193" s="3" t="n"/>
      <c r="AS193" s="3" t="n"/>
      <c r="AT193" s="3">
        <f>AR193-AS193</f>
        <v/>
      </c>
    </row>
    <row r="194">
      <c r="A194" s="2" t="n"/>
      <c r="B194" s="3" t="n"/>
      <c r="C194" s="4" t="n"/>
      <c r="D194" s="5" t="n"/>
      <c r="E194" s="3" t="n"/>
      <c r="F194" s="3">
        <f>IF(C194=0,0,IF(E194="",B194*D194/100,E194))</f>
        <v/>
      </c>
      <c r="G194" s="4" t="n"/>
      <c r="H194" s="5" t="n"/>
      <c r="I194" s="3" t="n"/>
      <c r="J194" s="3">
        <f>IF(G194=0,0,IF(I194="",B194*H194/100,I194))</f>
        <v/>
      </c>
      <c r="K194" s="4" t="n"/>
      <c r="L194" s="5" t="n"/>
      <c r="M194" s="3" t="n"/>
      <c r="N194" s="3">
        <f>IF(K194=0,0,IF(M194="",B194*L194/100,M194))</f>
        <v/>
      </c>
      <c r="O194" s="4" t="n"/>
      <c r="P194" s="5" t="n"/>
      <c r="Q194" s="3" t="n"/>
      <c r="R194" s="3">
        <f>IF(O194=0,0,IF(Q194="",B194*P194/100,Q194))</f>
        <v/>
      </c>
      <c r="S194" s="4" t="n"/>
      <c r="T194" s="5" t="n"/>
      <c r="U194" s="3" t="n"/>
      <c r="V194" s="3">
        <f>IF(S194=0,0,IF(U194="",B194*T194/100,U194))</f>
        <v/>
      </c>
      <c r="W194" s="4" t="n"/>
      <c r="X194" s="5" t="n"/>
      <c r="Y194" s="3" t="n"/>
      <c r="Z194" s="3">
        <f>IF(W194=0,0,IF(Y194="",B194*X194/100,Y194))</f>
        <v/>
      </c>
      <c r="AA194" s="3" t="n"/>
      <c r="AB194" s="3" t="n"/>
      <c r="AC194" s="3">
        <f>B194*0.035</f>
        <v/>
      </c>
      <c r="AD194" s="3">
        <f>B194*0.065</f>
        <v/>
      </c>
      <c r="AE194" s="3">
        <f>SUM(B194,F194,J194,N194,R194,V194,Z194,AA194,AB194,AC194,AD194)</f>
        <v/>
      </c>
      <c r="AF194" s="3">
        <f>B194*0.055</f>
        <v/>
      </c>
      <c r="AG194" s="3">
        <f>B194*0.035</f>
        <v/>
      </c>
      <c r="AH194" s="3">
        <f>B194*0.165</f>
        <v/>
      </c>
      <c r="AI194" s="3">
        <f>MAX(0,AE194-AF194-AH194)</f>
        <v/>
      </c>
      <c r="AJ194" s="3">
        <f>IF(AI194&lt;=490,0,IF(AI194&lt;=600,(AI194-490)*0.05,IF(AI194&lt;=730,5.5+(AI194-600)*0.10,IF(AI194&lt;=3896.67,18.5+(AI194-730)*0.175,IF(AI194&lt;=19896.67,572.67+(AI194-3896.67)*0.25,IF(AI194&lt;=50416.67,4572.67+(AI194-19896.67)*0.30,13728.67+(AI194-50416.67)*0.35))))))</f>
        <v/>
      </c>
      <c r="AK194" s="3" t="n"/>
      <c r="AL194" s="3" t="n"/>
      <c r="AM194" s="3" t="n"/>
      <c r="AN194" s="3" t="n"/>
      <c r="AO194" s="3" t="n"/>
      <c r="AP194" s="3">
        <f>SUM(AF194,AJ194,AK194,AL194,AM194,AN194,AO194,AG194,AH194)</f>
        <v/>
      </c>
      <c r="AQ194" s="3">
        <f>AE194-AP194</f>
        <v/>
      </c>
      <c r="AR194" s="3" t="n"/>
      <c r="AS194" s="3" t="n"/>
      <c r="AT194" s="3">
        <f>AR194-AS194</f>
        <v/>
      </c>
    </row>
    <row r="195">
      <c r="A195" s="2" t="n"/>
      <c r="B195" s="3" t="n"/>
      <c r="C195" s="4" t="n"/>
      <c r="D195" s="5" t="n"/>
      <c r="E195" s="3" t="n"/>
      <c r="F195" s="3">
        <f>IF(C195=0,0,IF(E195="",B195*D195/100,E195))</f>
        <v/>
      </c>
      <c r="G195" s="4" t="n"/>
      <c r="H195" s="5" t="n"/>
      <c r="I195" s="3" t="n"/>
      <c r="J195" s="3">
        <f>IF(G195=0,0,IF(I195="",B195*H195/100,I195))</f>
        <v/>
      </c>
      <c r="K195" s="4" t="n"/>
      <c r="L195" s="5" t="n"/>
      <c r="M195" s="3" t="n"/>
      <c r="N195" s="3">
        <f>IF(K195=0,0,IF(M195="",B195*L195/100,M195))</f>
        <v/>
      </c>
      <c r="O195" s="4" t="n"/>
      <c r="P195" s="5" t="n"/>
      <c r="Q195" s="3" t="n"/>
      <c r="R195" s="3">
        <f>IF(O195=0,0,IF(Q195="",B195*P195/100,Q195))</f>
        <v/>
      </c>
      <c r="S195" s="4" t="n"/>
      <c r="T195" s="5" t="n"/>
      <c r="U195" s="3" t="n"/>
      <c r="V195" s="3">
        <f>IF(S195=0,0,IF(U195="",B195*T195/100,U195))</f>
        <v/>
      </c>
      <c r="W195" s="4" t="n"/>
      <c r="X195" s="5" t="n"/>
      <c r="Y195" s="3" t="n"/>
      <c r="Z195" s="3">
        <f>IF(W195=0,0,IF(Y195="",B195*X195/100,Y195))</f>
        <v/>
      </c>
      <c r="AA195" s="3" t="n"/>
      <c r="AB195" s="3" t="n"/>
      <c r="AC195" s="3">
        <f>B195*0.035</f>
        <v/>
      </c>
      <c r="AD195" s="3">
        <f>B195*0.065</f>
        <v/>
      </c>
      <c r="AE195" s="3">
        <f>SUM(B195,F195,J195,N195,R195,V195,Z195,AA195,AB195,AC195,AD195)</f>
        <v/>
      </c>
      <c r="AF195" s="3">
        <f>B195*0.055</f>
        <v/>
      </c>
      <c r="AG195" s="3">
        <f>B195*0.035</f>
        <v/>
      </c>
      <c r="AH195" s="3">
        <f>B195*0.165</f>
        <v/>
      </c>
      <c r="AI195" s="3">
        <f>MAX(0,AE195-AF195-AH195)</f>
        <v/>
      </c>
      <c r="AJ195" s="3">
        <f>IF(AI195&lt;=490,0,IF(AI195&lt;=600,(AI195-490)*0.05,IF(AI195&lt;=730,5.5+(AI195-600)*0.10,IF(AI195&lt;=3896.67,18.5+(AI195-730)*0.175,IF(AI195&lt;=19896.67,572.67+(AI195-3896.67)*0.25,IF(AI195&lt;=50416.67,4572.67+(AI195-19896.67)*0.30,13728.67+(AI195-50416.67)*0.35))))))</f>
        <v/>
      </c>
      <c r="AK195" s="3" t="n"/>
      <c r="AL195" s="3" t="n"/>
      <c r="AM195" s="3" t="n"/>
      <c r="AN195" s="3" t="n"/>
      <c r="AO195" s="3" t="n"/>
      <c r="AP195" s="3">
        <f>SUM(AF195,AJ195,AK195,AL195,AM195,AN195,AO195,AG195,AH195)</f>
        <v/>
      </c>
      <c r="AQ195" s="3">
        <f>AE195-AP195</f>
        <v/>
      </c>
      <c r="AR195" s="3" t="n"/>
      <c r="AS195" s="3" t="n"/>
      <c r="AT195" s="3">
        <f>AR195-AS195</f>
        <v/>
      </c>
    </row>
    <row r="196">
      <c r="A196" s="2" t="n"/>
      <c r="B196" s="3" t="n"/>
      <c r="C196" s="4" t="n"/>
      <c r="D196" s="5" t="n"/>
      <c r="E196" s="3" t="n"/>
      <c r="F196" s="3">
        <f>IF(C196=0,0,IF(E196="",B196*D196/100,E196))</f>
        <v/>
      </c>
      <c r="G196" s="4" t="n"/>
      <c r="H196" s="5" t="n"/>
      <c r="I196" s="3" t="n"/>
      <c r="J196" s="3">
        <f>IF(G196=0,0,IF(I196="",B196*H196/100,I196))</f>
        <v/>
      </c>
      <c r="K196" s="4" t="n"/>
      <c r="L196" s="5" t="n"/>
      <c r="M196" s="3" t="n"/>
      <c r="N196" s="3">
        <f>IF(K196=0,0,IF(M196="",B196*L196/100,M196))</f>
        <v/>
      </c>
      <c r="O196" s="4" t="n"/>
      <c r="P196" s="5" t="n"/>
      <c r="Q196" s="3" t="n"/>
      <c r="R196" s="3">
        <f>IF(O196=0,0,IF(Q196="",B196*P196/100,Q196))</f>
        <v/>
      </c>
      <c r="S196" s="4" t="n"/>
      <c r="T196" s="5" t="n"/>
      <c r="U196" s="3" t="n"/>
      <c r="V196" s="3">
        <f>IF(S196=0,0,IF(U196="",B196*T196/100,U196))</f>
        <v/>
      </c>
      <c r="W196" s="4" t="n"/>
      <c r="X196" s="5" t="n"/>
      <c r="Y196" s="3" t="n"/>
      <c r="Z196" s="3">
        <f>IF(W196=0,0,IF(Y196="",B196*X196/100,Y196))</f>
        <v/>
      </c>
      <c r="AA196" s="3" t="n"/>
      <c r="AB196" s="3" t="n"/>
      <c r="AC196" s="3">
        <f>B196*0.035</f>
        <v/>
      </c>
      <c r="AD196" s="3">
        <f>B196*0.065</f>
        <v/>
      </c>
      <c r="AE196" s="3">
        <f>SUM(B196,F196,J196,N196,R196,V196,Z196,AA196,AB196,AC196,AD196)</f>
        <v/>
      </c>
      <c r="AF196" s="3">
        <f>B196*0.055</f>
        <v/>
      </c>
      <c r="AG196" s="3">
        <f>B196*0.035</f>
        <v/>
      </c>
      <c r="AH196" s="3">
        <f>B196*0.165</f>
        <v/>
      </c>
      <c r="AI196" s="3">
        <f>MAX(0,AE196-AF196-AH196)</f>
        <v/>
      </c>
      <c r="AJ196" s="3">
        <f>IF(AI196&lt;=490,0,IF(AI196&lt;=600,(AI196-490)*0.05,IF(AI196&lt;=730,5.5+(AI196-600)*0.10,IF(AI196&lt;=3896.67,18.5+(AI196-730)*0.175,IF(AI196&lt;=19896.67,572.67+(AI196-3896.67)*0.25,IF(AI196&lt;=50416.67,4572.67+(AI196-19896.67)*0.30,13728.67+(AI196-50416.67)*0.35))))))</f>
        <v/>
      </c>
      <c r="AK196" s="3" t="n"/>
      <c r="AL196" s="3" t="n"/>
      <c r="AM196" s="3" t="n"/>
      <c r="AN196" s="3" t="n"/>
      <c r="AO196" s="3" t="n"/>
      <c r="AP196" s="3">
        <f>SUM(AF196,AJ196,AK196,AL196,AM196,AN196,AO196,AG196,AH196)</f>
        <v/>
      </c>
      <c r="AQ196" s="3">
        <f>AE196-AP196</f>
        <v/>
      </c>
      <c r="AR196" s="3" t="n"/>
      <c r="AS196" s="3" t="n"/>
      <c r="AT196" s="3">
        <f>AR196-AS196</f>
        <v/>
      </c>
    </row>
    <row r="197">
      <c r="A197" s="2" t="n"/>
      <c r="B197" s="3" t="n"/>
      <c r="C197" s="4" t="n"/>
      <c r="D197" s="5" t="n"/>
      <c r="E197" s="3" t="n"/>
      <c r="F197" s="3">
        <f>IF(C197=0,0,IF(E197="",B197*D197/100,E197))</f>
        <v/>
      </c>
      <c r="G197" s="4" t="n"/>
      <c r="H197" s="5" t="n"/>
      <c r="I197" s="3" t="n"/>
      <c r="J197" s="3">
        <f>IF(G197=0,0,IF(I197="",B197*H197/100,I197))</f>
        <v/>
      </c>
      <c r="K197" s="4" t="n"/>
      <c r="L197" s="5" t="n"/>
      <c r="M197" s="3" t="n"/>
      <c r="N197" s="3">
        <f>IF(K197=0,0,IF(M197="",B197*L197/100,M197))</f>
        <v/>
      </c>
      <c r="O197" s="4" t="n"/>
      <c r="P197" s="5" t="n"/>
      <c r="Q197" s="3" t="n"/>
      <c r="R197" s="3">
        <f>IF(O197=0,0,IF(Q197="",B197*P197/100,Q197))</f>
        <v/>
      </c>
      <c r="S197" s="4" t="n"/>
      <c r="T197" s="5" t="n"/>
      <c r="U197" s="3" t="n"/>
      <c r="V197" s="3">
        <f>IF(S197=0,0,IF(U197="",B197*T197/100,U197))</f>
        <v/>
      </c>
      <c r="W197" s="4" t="n"/>
      <c r="X197" s="5" t="n"/>
      <c r="Y197" s="3" t="n"/>
      <c r="Z197" s="3">
        <f>IF(W197=0,0,IF(Y197="",B197*X197/100,Y197))</f>
        <v/>
      </c>
      <c r="AA197" s="3" t="n"/>
      <c r="AB197" s="3" t="n"/>
      <c r="AC197" s="3">
        <f>B197*0.035</f>
        <v/>
      </c>
      <c r="AD197" s="3">
        <f>B197*0.065</f>
        <v/>
      </c>
      <c r="AE197" s="3">
        <f>SUM(B197,F197,J197,N197,R197,V197,Z197,AA197,AB197,AC197,AD197)</f>
        <v/>
      </c>
      <c r="AF197" s="3">
        <f>B197*0.055</f>
        <v/>
      </c>
      <c r="AG197" s="3">
        <f>B197*0.035</f>
        <v/>
      </c>
      <c r="AH197" s="3">
        <f>B197*0.165</f>
        <v/>
      </c>
      <c r="AI197" s="3">
        <f>MAX(0,AE197-AF197-AH197)</f>
        <v/>
      </c>
      <c r="AJ197" s="3">
        <f>IF(AI197&lt;=490,0,IF(AI197&lt;=600,(AI197-490)*0.05,IF(AI197&lt;=730,5.5+(AI197-600)*0.10,IF(AI197&lt;=3896.67,18.5+(AI197-730)*0.175,IF(AI197&lt;=19896.67,572.67+(AI197-3896.67)*0.25,IF(AI197&lt;=50416.67,4572.67+(AI197-19896.67)*0.30,13728.67+(AI197-50416.67)*0.35))))))</f>
        <v/>
      </c>
      <c r="AK197" s="3" t="n"/>
      <c r="AL197" s="3" t="n"/>
      <c r="AM197" s="3" t="n"/>
      <c r="AN197" s="3" t="n"/>
      <c r="AO197" s="3" t="n"/>
      <c r="AP197" s="3">
        <f>SUM(AF197,AJ197,AK197,AL197,AM197,AN197,AO197,AG197,AH197)</f>
        <v/>
      </c>
      <c r="AQ197" s="3">
        <f>AE197-AP197</f>
        <v/>
      </c>
      <c r="AR197" s="3" t="n"/>
      <c r="AS197" s="3" t="n"/>
      <c r="AT197" s="3">
        <f>AR197-AS197</f>
        <v/>
      </c>
    </row>
    <row r="198">
      <c r="A198" s="2" t="n"/>
      <c r="B198" s="3" t="n"/>
      <c r="C198" s="4" t="n"/>
      <c r="D198" s="5" t="n"/>
      <c r="E198" s="3" t="n"/>
      <c r="F198" s="3">
        <f>IF(C198=0,0,IF(E198="",B198*D198/100,E198))</f>
        <v/>
      </c>
      <c r="G198" s="4" t="n"/>
      <c r="H198" s="5" t="n"/>
      <c r="I198" s="3" t="n"/>
      <c r="J198" s="3">
        <f>IF(G198=0,0,IF(I198="",B198*H198/100,I198))</f>
        <v/>
      </c>
      <c r="K198" s="4" t="n"/>
      <c r="L198" s="5" t="n"/>
      <c r="M198" s="3" t="n"/>
      <c r="N198" s="3">
        <f>IF(K198=0,0,IF(M198="",B198*L198/100,M198))</f>
        <v/>
      </c>
      <c r="O198" s="4" t="n"/>
      <c r="P198" s="5" t="n"/>
      <c r="Q198" s="3" t="n"/>
      <c r="R198" s="3">
        <f>IF(O198=0,0,IF(Q198="",B198*P198/100,Q198))</f>
        <v/>
      </c>
      <c r="S198" s="4" t="n"/>
      <c r="T198" s="5" t="n"/>
      <c r="U198" s="3" t="n"/>
      <c r="V198" s="3">
        <f>IF(S198=0,0,IF(U198="",B198*T198/100,U198))</f>
        <v/>
      </c>
      <c r="W198" s="4" t="n"/>
      <c r="X198" s="5" t="n"/>
      <c r="Y198" s="3" t="n"/>
      <c r="Z198" s="3">
        <f>IF(W198=0,0,IF(Y198="",B198*X198/100,Y198))</f>
        <v/>
      </c>
      <c r="AA198" s="3" t="n"/>
      <c r="AB198" s="3" t="n"/>
      <c r="AC198" s="3">
        <f>B198*0.035</f>
        <v/>
      </c>
      <c r="AD198" s="3">
        <f>B198*0.065</f>
        <v/>
      </c>
      <c r="AE198" s="3">
        <f>SUM(B198,F198,J198,N198,R198,V198,Z198,AA198,AB198,AC198,AD198)</f>
        <v/>
      </c>
      <c r="AF198" s="3">
        <f>B198*0.055</f>
        <v/>
      </c>
      <c r="AG198" s="3">
        <f>B198*0.035</f>
        <v/>
      </c>
      <c r="AH198" s="3">
        <f>B198*0.165</f>
        <v/>
      </c>
      <c r="AI198" s="3">
        <f>MAX(0,AE198-AF198-AH198)</f>
        <v/>
      </c>
      <c r="AJ198" s="3">
        <f>IF(AI198&lt;=490,0,IF(AI198&lt;=600,(AI198-490)*0.05,IF(AI198&lt;=730,5.5+(AI198-600)*0.10,IF(AI198&lt;=3896.67,18.5+(AI198-730)*0.175,IF(AI198&lt;=19896.67,572.67+(AI198-3896.67)*0.25,IF(AI198&lt;=50416.67,4572.67+(AI198-19896.67)*0.30,13728.67+(AI198-50416.67)*0.35))))))</f>
        <v/>
      </c>
      <c r="AK198" s="3" t="n"/>
      <c r="AL198" s="3" t="n"/>
      <c r="AM198" s="3" t="n"/>
      <c r="AN198" s="3" t="n"/>
      <c r="AO198" s="3" t="n"/>
      <c r="AP198" s="3">
        <f>SUM(AF198,AJ198,AK198,AL198,AM198,AN198,AO198,AG198,AH198)</f>
        <v/>
      </c>
      <c r="AQ198" s="3">
        <f>AE198-AP198</f>
        <v/>
      </c>
      <c r="AR198" s="3" t="n"/>
      <c r="AS198" s="3" t="n"/>
      <c r="AT198" s="3">
        <f>AR198-AS198</f>
        <v/>
      </c>
    </row>
    <row r="199">
      <c r="A199" s="2" t="n"/>
      <c r="B199" s="3" t="n"/>
      <c r="C199" s="4" t="n"/>
      <c r="D199" s="5" t="n"/>
      <c r="E199" s="3" t="n"/>
      <c r="F199" s="3">
        <f>IF(C199=0,0,IF(E199="",B199*D199/100,E199))</f>
        <v/>
      </c>
      <c r="G199" s="4" t="n"/>
      <c r="H199" s="5" t="n"/>
      <c r="I199" s="3" t="n"/>
      <c r="J199" s="3">
        <f>IF(G199=0,0,IF(I199="",B199*H199/100,I199))</f>
        <v/>
      </c>
      <c r="K199" s="4" t="n"/>
      <c r="L199" s="5" t="n"/>
      <c r="M199" s="3" t="n"/>
      <c r="N199" s="3">
        <f>IF(K199=0,0,IF(M199="",B199*L199/100,M199))</f>
        <v/>
      </c>
      <c r="O199" s="4" t="n"/>
      <c r="P199" s="5" t="n"/>
      <c r="Q199" s="3" t="n"/>
      <c r="R199" s="3">
        <f>IF(O199=0,0,IF(Q199="",B199*P199/100,Q199))</f>
        <v/>
      </c>
      <c r="S199" s="4" t="n"/>
      <c r="T199" s="5" t="n"/>
      <c r="U199" s="3" t="n"/>
      <c r="V199" s="3">
        <f>IF(S199=0,0,IF(U199="",B199*T199/100,U199))</f>
        <v/>
      </c>
      <c r="W199" s="4" t="n"/>
      <c r="X199" s="5" t="n"/>
      <c r="Y199" s="3" t="n"/>
      <c r="Z199" s="3">
        <f>IF(W199=0,0,IF(Y199="",B199*X199/100,Y199))</f>
        <v/>
      </c>
      <c r="AA199" s="3" t="n"/>
      <c r="AB199" s="3" t="n"/>
      <c r="AC199" s="3">
        <f>B199*0.035</f>
        <v/>
      </c>
      <c r="AD199" s="3">
        <f>B199*0.065</f>
        <v/>
      </c>
      <c r="AE199" s="3">
        <f>SUM(B199,F199,J199,N199,R199,V199,Z199,AA199,AB199,AC199,AD199)</f>
        <v/>
      </c>
      <c r="AF199" s="3">
        <f>B199*0.055</f>
        <v/>
      </c>
      <c r="AG199" s="3">
        <f>B199*0.035</f>
        <v/>
      </c>
      <c r="AH199" s="3">
        <f>B199*0.165</f>
        <v/>
      </c>
      <c r="AI199" s="3">
        <f>MAX(0,AE199-AF199-AH199)</f>
        <v/>
      </c>
      <c r="AJ199" s="3">
        <f>IF(AI199&lt;=490,0,IF(AI199&lt;=600,(AI199-490)*0.05,IF(AI199&lt;=730,5.5+(AI199-600)*0.10,IF(AI199&lt;=3896.67,18.5+(AI199-730)*0.175,IF(AI199&lt;=19896.67,572.67+(AI199-3896.67)*0.25,IF(AI199&lt;=50416.67,4572.67+(AI199-19896.67)*0.30,13728.67+(AI199-50416.67)*0.35))))))</f>
        <v/>
      </c>
      <c r="AK199" s="3" t="n"/>
      <c r="AL199" s="3" t="n"/>
      <c r="AM199" s="3" t="n"/>
      <c r="AN199" s="3" t="n"/>
      <c r="AO199" s="3" t="n"/>
      <c r="AP199" s="3">
        <f>SUM(AF199,AJ199,AK199,AL199,AM199,AN199,AO199,AG199,AH199)</f>
        <v/>
      </c>
      <c r="AQ199" s="3">
        <f>AE199-AP199</f>
        <v/>
      </c>
      <c r="AR199" s="3" t="n"/>
      <c r="AS199" s="3" t="n"/>
      <c r="AT199" s="3">
        <f>AR199-AS199</f>
        <v/>
      </c>
    </row>
    <row r="200">
      <c r="A200" s="2" t="n"/>
      <c r="B200" s="3" t="n"/>
      <c r="C200" s="4" t="n"/>
      <c r="D200" s="5" t="n"/>
      <c r="E200" s="3" t="n"/>
      <c r="F200" s="3">
        <f>IF(C200=0,0,IF(E200="",B200*D200/100,E200))</f>
        <v/>
      </c>
      <c r="G200" s="4" t="n"/>
      <c r="H200" s="5" t="n"/>
      <c r="I200" s="3" t="n"/>
      <c r="J200" s="3">
        <f>IF(G200=0,0,IF(I200="",B200*H200/100,I200))</f>
        <v/>
      </c>
      <c r="K200" s="4" t="n"/>
      <c r="L200" s="5" t="n"/>
      <c r="M200" s="3" t="n"/>
      <c r="N200" s="3">
        <f>IF(K200=0,0,IF(M200="",B200*L200/100,M200))</f>
        <v/>
      </c>
      <c r="O200" s="4" t="n"/>
      <c r="P200" s="5" t="n"/>
      <c r="Q200" s="3" t="n"/>
      <c r="R200" s="3">
        <f>IF(O200=0,0,IF(Q200="",B200*P200/100,Q200))</f>
        <v/>
      </c>
      <c r="S200" s="4" t="n"/>
      <c r="T200" s="5" t="n"/>
      <c r="U200" s="3" t="n"/>
      <c r="V200" s="3">
        <f>IF(S200=0,0,IF(U200="",B200*T200/100,U200))</f>
        <v/>
      </c>
      <c r="W200" s="4" t="n"/>
      <c r="X200" s="5" t="n"/>
      <c r="Y200" s="3" t="n"/>
      <c r="Z200" s="3">
        <f>IF(W200=0,0,IF(Y200="",B200*X200/100,Y200))</f>
        <v/>
      </c>
      <c r="AA200" s="3" t="n"/>
      <c r="AB200" s="3" t="n"/>
      <c r="AC200" s="3">
        <f>B200*0.035</f>
        <v/>
      </c>
      <c r="AD200" s="3">
        <f>B200*0.065</f>
        <v/>
      </c>
      <c r="AE200" s="3">
        <f>SUM(B200,F200,J200,N200,R200,V200,Z200,AA200,AB200,AC200,AD200)</f>
        <v/>
      </c>
      <c r="AF200" s="3">
        <f>B200*0.055</f>
        <v/>
      </c>
      <c r="AG200" s="3">
        <f>B200*0.035</f>
        <v/>
      </c>
      <c r="AH200" s="3">
        <f>B200*0.165</f>
        <v/>
      </c>
      <c r="AI200" s="3">
        <f>MAX(0,AE200-AF200-AH200)</f>
        <v/>
      </c>
      <c r="AJ200" s="3">
        <f>IF(AI200&lt;=490,0,IF(AI200&lt;=600,(AI200-490)*0.05,IF(AI200&lt;=730,5.5+(AI200-600)*0.10,IF(AI200&lt;=3896.67,18.5+(AI200-730)*0.175,IF(AI200&lt;=19896.67,572.67+(AI200-3896.67)*0.25,IF(AI200&lt;=50416.67,4572.67+(AI200-19896.67)*0.30,13728.67+(AI200-50416.67)*0.35))))))</f>
        <v/>
      </c>
      <c r="AK200" s="3" t="n"/>
      <c r="AL200" s="3" t="n"/>
      <c r="AM200" s="3" t="n"/>
      <c r="AN200" s="3" t="n"/>
      <c r="AO200" s="3" t="n"/>
      <c r="AP200" s="3">
        <f>SUM(AF200,AJ200,AK200,AL200,AM200,AN200,AO200,AG200,AH200)</f>
        <v/>
      </c>
      <c r="AQ200" s="3">
        <f>AE200-AP200</f>
        <v/>
      </c>
      <c r="AR200" s="3" t="n"/>
      <c r="AS200" s="3" t="n"/>
      <c r="AT200" s="3">
        <f>AR200-AS200</f>
        <v/>
      </c>
    </row>
    <row r="201">
      <c r="A201" s="2" t="n"/>
      <c r="B201" s="3" t="n"/>
      <c r="C201" s="4" t="n"/>
      <c r="D201" s="5" t="n"/>
      <c r="E201" s="3" t="n"/>
      <c r="F201" s="3">
        <f>IF(C201=0,0,IF(E201="",B201*D201/100,E201))</f>
        <v/>
      </c>
      <c r="G201" s="4" t="n"/>
      <c r="H201" s="5" t="n"/>
      <c r="I201" s="3" t="n"/>
      <c r="J201" s="3">
        <f>IF(G201=0,0,IF(I201="",B201*H201/100,I201))</f>
        <v/>
      </c>
      <c r="K201" s="4" t="n"/>
      <c r="L201" s="5" t="n"/>
      <c r="M201" s="3" t="n"/>
      <c r="N201" s="3">
        <f>IF(K201=0,0,IF(M201="",B201*L201/100,M201))</f>
        <v/>
      </c>
      <c r="O201" s="4" t="n"/>
      <c r="P201" s="5" t="n"/>
      <c r="Q201" s="3" t="n"/>
      <c r="R201" s="3">
        <f>IF(O201=0,0,IF(Q201="",B201*P201/100,Q201))</f>
        <v/>
      </c>
      <c r="S201" s="4" t="n"/>
      <c r="T201" s="5" t="n"/>
      <c r="U201" s="3" t="n"/>
      <c r="V201" s="3">
        <f>IF(S201=0,0,IF(U201="",B201*T201/100,U201))</f>
        <v/>
      </c>
      <c r="W201" s="4" t="n"/>
      <c r="X201" s="5" t="n"/>
      <c r="Y201" s="3" t="n"/>
      <c r="Z201" s="3">
        <f>IF(W201=0,0,IF(Y201="",B201*X201/100,Y201))</f>
        <v/>
      </c>
      <c r="AA201" s="3" t="n"/>
      <c r="AB201" s="3" t="n"/>
      <c r="AC201" s="3">
        <f>B201*0.035</f>
        <v/>
      </c>
      <c r="AD201" s="3">
        <f>B201*0.065</f>
        <v/>
      </c>
      <c r="AE201" s="3">
        <f>SUM(B201,F201,J201,N201,R201,V201,Z201,AA201,AB201,AC201,AD201)</f>
        <v/>
      </c>
      <c r="AF201" s="3">
        <f>B201*0.055</f>
        <v/>
      </c>
      <c r="AG201" s="3">
        <f>B201*0.035</f>
        <v/>
      </c>
      <c r="AH201" s="3">
        <f>B201*0.165</f>
        <v/>
      </c>
      <c r="AI201" s="3">
        <f>MAX(0,AE201-AF201-AH201)</f>
        <v/>
      </c>
      <c r="AJ201" s="3">
        <f>IF(AI201&lt;=490,0,IF(AI201&lt;=600,(AI201-490)*0.05,IF(AI201&lt;=730,5.5+(AI201-600)*0.10,IF(AI201&lt;=3896.67,18.5+(AI201-730)*0.175,IF(AI201&lt;=19896.67,572.67+(AI201-3896.67)*0.25,IF(AI201&lt;=50416.67,4572.67+(AI201-19896.67)*0.30,13728.67+(AI201-50416.67)*0.35))))))</f>
        <v/>
      </c>
      <c r="AK201" s="3" t="n"/>
      <c r="AL201" s="3" t="n"/>
      <c r="AM201" s="3" t="n"/>
      <c r="AN201" s="3" t="n"/>
      <c r="AO201" s="3" t="n"/>
      <c r="AP201" s="3">
        <f>SUM(AF201,AJ201,AK201,AL201,AM201,AN201,AO201,AG201,AH201)</f>
        <v/>
      </c>
      <c r="AQ201" s="3">
        <f>AE201-AP201</f>
        <v/>
      </c>
      <c r="AR201" s="3" t="n"/>
      <c r="AS201" s="3" t="n"/>
      <c r="AT201" s="3">
        <f>AR201-AS201</f>
        <v/>
      </c>
    </row>
    <row r="202">
      <c r="A202" s="2" t="n"/>
      <c r="B202" s="3" t="n"/>
      <c r="C202" s="4" t="n"/>
      <c r="D202" s="5" t="n"/>
      <c r="E202" s="3" t="n"/>
      <c r="F202" s="3">
        <f>IF(C202=0,0,IF(E202="",B202*D202/100,E202))</f>
        <v/>
      </c>
      <c r="G202" s="4" t="n"/>
      <c r="H202" s="5" t="n"/>
      <c r="I202" s="3" t="n"/>
      <c r="J202" s="3">
        <f>IF(G202=0,0,IF(I202="",B202*H202/100,I202))</f>
        <v/>
      </c>
      <c r="K202" s="4" t="n"/>
      <c r="L202" s="5" t="n"/>
      <c r="M202" s="3" t="n"/>
      <c r="N202" s="3">
        <f>IF(K202=0,0,IF(M202="",B202*L202/100,M202))</f>
        <v/>
      </c>
      <c r="O202" s="4" t="n"/>
      <c r="P202" s="5" t="n"/>
      <c r="Q202" s="3" t="n"/>
      <c r="R202" s="3">
        <f>IF(O202=0,0,IF(Q202="",B202*P202/100,Q202))</f>
        <v/>
      </c>
      <c r="S202" s="4" t="n"/>
      <c r="T202" s="5" t="n"/>
      <c r="U202" s="3" t="n"/>
      <c r="V202" s="3">
        <f>IF(S202=0,0,IF(U202="",B202*T202/100,U202))</f>
        <v/>
      </c>
      <c r="W202" s="4" t="n"/>
      <c r="X202" s="5" t="n"/>
      <c r="Y202" s="3" t="n"/>
      <c r="Z202" s="3">
        <f>IF(W202=0,0,IF(Y202="",B202*X202/100,Y202))</f>
        <v/>
      </c>
      <c r="AA202" s="3" t="n"/>
      <c r="AB202" s="3" t="n"/>
      <c r="AC202" s="3">
        <f>B202*0.035</f>
        <v/>
      </c>
      <c r="AD202" s="3">
        <f>B202*0.065</f>
        <v/>
      </c>
      <c r="AE202" s="3">
        <f>SUM(B202,F202,J202,N202,R202,V202,Z202,AA202,AB202,AC202,AD202)</f>
        <v/>
      </c>
      <c r="AF202" s="3">
        <f>B202*0.055</f>
        <v/>
      </c>
      <c r="AG202" s="3">
        <f>B202*0.035</f>
        <v/>
      </c>
      <c r="AH202" s="3">
        <f>B202*0.165</f>
        <v/>
      </c>
      <c r="AI202" s="3">
        <f>MAX(0,AE202-AF202-AH202)</f>
        <v/>
      </c>
      <c r="AJ202" s="3">
        <f>IF(AI202&lt;=490,0,IF(AI202&lt;=600,(AI202-490)*0.05,IF(AI202&lt;=730,5.5+(AI202-600)*0.10,IF(AI202&lt;=3896.67,18.5+(AI202-730)*0.175,IF(AI202&lt;=19896.67,572.67+(AI202-3896.67)*0.25,IF(AI202&lt;=50416.67,4572.67+(AI202-19896.67)*0.30,13728.67+(AI202-50416.67)*0.35))))))</f>
        <v/>
      </c>
      <c r="AK202" s="3" t="n"/>
      <c r="AL202" s="3" t="n"/>
      <c r="AM202" s="3" t="n"/>
      <c r="AN202" s="3" t="n"/>
      <c r="AO202" s="3" t="n"/>
      <c r="AP202" s="3">
        <f>SUM(AF202,AJ202,AK202,AL202,AM202,AN202,AO202,AG202,AH202)</f>
        <v/>
      </c>
      <c r="AQ202" s="3">
        <f>AE202-AP202</f>
        <v/>
      </c>
      <c r="AR202" s="3" t="n"/>
      <c r="AS202" s="3" t="n"/>
      <c r="AT202" s="3">
        <f>AR202-AS202</f>
        <v/>
      </c>
    </row>
    <row r="203">
      <c r="A203" s="2" t="n"/>
      <c r="B203" s="3" t="n"/>
      <c r="C203" s="4" t="n"/>
      <c r="D203" s="5" t="n"/>
      <c r="E203" s="3" t="n"/>
      <c r="F203" s="3">
        <f>IF(C203=0,0,IF(E203="",B203*D203/100,E203))</f>
        <v/>
      </c>
      <c r="G203" s="4" t="n"/>
      <c r="H203" s="5" t="n"/>
      <c r="I203" s="3" t="n"/>
      <c r="J203" s="3">
        <f>IF(G203=0,0,IF(I203="",B203*H203/100,I203))</f>
        <v/>
      </c>
      <c r="K203" s="4" t="n"/>
      <c r="L203" s="5" t="n"/>
      <c r="M203" s="3" t="n"/>
      <c r="N203" s="3">
        <f>IF(K203=0,0,IF(M203="",B203*L203/100,M203))</f>
        <v/>
      </c>
      <c r="O203" s="4" t="n"/>
      <c r="P203" s="5" t="n"/>
      <c r="Q203" s="3" t="n"/>
      <c r="R203" s="3">
        <f>IF(O203=0,0,IF(Q203="",B203*P203/100,Q203))</f>
        <v/>
      </c>
      <c r="S203" s="4" t="n"/>
      <c r="T203" s="5" t="n"/>
      <c r="U203" s="3" t="n"/>
      <c r="V203" s="3">
        <f>IF(S203=0,0,IF(U203="",B203*T203/100,U203))</f>
        <v/>
      </c>
      <c r="W203" s="4" t="n"/>
      <c r="X203" s="5" t="n"/>
      <c r="Y203" s="3" t="n"/>
      <c r="Z203" s="3">
        <f>IF(W203=0,0,IF(Y203="",B203*X203/100,Y203))</f>
        <v/>
      </c>
      <c r="AA203" s="3" t="n"/>
      <c r="AB203" s="3" t="n"/>
      <c r="AC203" s="3">
        <f>B203*0.035</f>
        <v/>
      </c>
      <c r="AD203" s="3">
        <f>B203*0.065</f>
        <v/>
      </c>
      <c r="AE203" s="3">
        <f>SUM(B203,F203,J203,N203,R203,V203,Z203,AA203,AB203,AC203,AD203)</f>
        <v/>
      </c>
      <c r="AF203" s="3">
        <f>B203*0.055</f>
        <v/>
      </c>
      <c r="AG203" s="3">
        <f>B203*0.035</f>
        <v/>
      </c>
      <c r="AH203" s="3">
        <f>B203*0.165</f>
        <v/>
      </c>
      <c r="AI203" s="3">
        <f>MAX(0,AE203-AF203-AH203)</f>
        <v/>
      </c>
      <c r="AJ203" s="3">
        <f>IF(AI203&lt;=490,0,IF(AI203&lt;=600,(AI203-490)*0.05,IF(AI203&lt;=730,5.5+(AI203-600)*0.10,IF(AI203&lt;=3896.67,18.5+(AI203-730)*0.175,IF(AI203&lt;=19896.67,572.67+(AI203-3896.67)*0.25,IF(AI203&lt;=50416.67,4572.67+(AI203-19896.67)*0.30,13728.67+(AI203-50416.67)*0.35))))))</f>
        <v/>
      </c>
      <c r="AK203" s="3" t="n"/>
      <c r="AL203" s="3" t="n"/>
      <c r="AM203" s="3" t="n"/>
      <c r="AN203" s="3" t="n"/>
      <c r="AO203" s="3" t="n"/>
      <c r="AP203" s="3">
        <f>SUM(AF203,AJ203,AK203,AL203,AM203,AN203,AO203,AG203,AH203)</f>
        <v/>
      </c>
      <c r="AQ203" s="3">
        <f>AE203-AP203</f>
        <v/>
      </c>
      <c r="AR203" s="3" t="n"/>
      <c r="AS203" s="3" t="n"/>
      <c r="AT203" s="3">
        <f>AR203-AS203</f>
        <v/>
      </c>
    </row>
    <row r="204">
      <c r="A204" s="2" t="n"/>
      <c r="B204" s="3" t="n"/>
      <c r="C204" s="4" t="n"/>
      <c r="D204" s="5" t="n"/>
      <c r="E204" s="3" t="n"/>
      <c r="F204" s="3">
        <f>IF(C204=0,0,IF(E204="",B204*D204/100,E204))</f>
        <v/>
      </c>
      <c r="G204" s="4" t="n"/>
      <c r="H204" s="5" t="n"/>
      <c r="I204" s="3" t="n"/>
      <c r="J204" s="3">
        <f>IF(G204=0,0,IF(I204="",B204*H204/100,I204))</f>
        <v/>
      </c>
      <c r="K204" s="4" t="n"/>
      <c r="L204" s="5" t="n"/>
      <c r="M204" s="3" t="n"/>
      <c r="N204" s="3">
        <f>IF(K204=0,0,IF(M204="",B204*L204/100,M204))</f>
        <v/>
      </c>
      <c r="O204" s="4" t="n"/>
      <c r="P204" s="5" t="n"/>
      <c r="Q204" s="3" t="n"/>
      <c r="R204" s="3">
        <f>IF(O204=0,0,IF(Q204="",B204*P204/100,Q204))</f>
        <v/>
      </c>
      <c r="S204" s="4" t="n"/>
      <c r="T204" s="5" t="n"/>
      <c r="U204" s="3" t="n"/>
      <c r="V204" s="3">
        <f>IF(S204=0,0,IF(U204="",B204*T204/100,U204))</f>
        <v/>
      </c>
      <c r="W204" s="4" t="n"/>
      <c r="X204" s="5" t="n"/>
      <c r="Y204" s="3" t="n"/>
      <c r="Z204" s="3">
        <f>IF(W204=0,0,IF(Y204="",B204*X204/100,Y204))</f>
        <v/>
      </c>
      <c r="AA204" s="3" t="n"/>
      <c r="AB204" s="3" t="n"/>
      <c r="AC204" s="3">
        <f>B204*0.035</f>
        <v/>
      </c>
      <c r="AD204" s="3">
        <f>B204*0.065</f>
        <v/>
      </c>
      <c r="AE204" s="3">
        <f>SUM(B204,F204,J204,N204,R204,V204,Z204,AA204,AB204,AC204,AD204)</f>
        <v/>
      </c>
      <c r="AF204" s="3">
        <f>B204*0.055</f>
        <v/>
      </c>
      <c r="AG204" s="3">
        <f>B204*0.035</f>
        <v/>
      </c>
      <c r="AH204" s="3">
        <f>B204*0.165</f>
        <v/>
      </c>
      <c r="AI204" s="3">
        <f>MAX(0,AE204-AF204-AH204)</f>
        <v/>
      </c>
      <c r="AJ204" s="3">
        <f>IF(AI204&lt;=490,0,IF(AI204&lt;=600,(AI204-490)*0.05,IF(AI204&lt;=730,5.5+(AI204-600)*0.10,IF(AI204&lt;=3896.67,18.5+(AI204-730)*0.175,IF(AI204&lt;=19896.67,572.67+(AI204-3896.67)*0.25,IF(AI204&lt;=50416.67,4572.67+(AI204-19896.67)*0.30,13728.67+(AI204-50416.67)*0.35))))))</f>
        <v/>
      </c>
      <c r="AK204" s="3" t="n"/>
      <c r="AL204" s="3" t="n"/>
      <c r="AM204" s="3" t="n"/>
      <c r="AN204" s="3" t="n"/>
      <c r="AO204" s="3" t="n"/>
      <c r="AP204" s="3">
        <f>SUM(AF204,AJ204,AK204,AL204,AM204,AN204,AO204,AG204,AH204)</f>
        <v/>
      </c>
      <c r="AQ204" s="3">
        <f>AE204-AP204</f>
        <v/>
      </c>
      <c r="AR204" s="3" t="n"/>
      <c r="AS204" s="3" t="n"/>
      <c r="AT204" s="3">
        <f>AR204-AS204</f>
        <v/>
      </c>
    </row>
    <row r="205">
      <c r="A205" s="2" t="n"/>
      <c r="B205" s="3" t="n"/>
      <c r="C205" s="4" t="n"/>
      <c r="D205" s="5" t="n"/>
      <c r="E205" s="3" t="n"/>
      <c r="F205" s="3">
        <f>IF(C205=0,0,IF(E205="",B205*D205/100,E205))</f>
        <v/>
      </c>
      <c r="G205" s="4" t="n"/>
      <c r="H205" s="5" t="n"/>
      <c r="I205" s="3" t="n"/>
      <c r="J205" s="3">
        <f>IF(G205=0,0,IF(I205="",B205*H205/100,I205))</f>
        <v/>
      </c>
      <c r="K205" s="4" t="n"/>
      <c r="L205" s="5" t="n"/>
      <c r="M205" s="3" t="n"/>
      <c r="N205" s="3">
        <f>IF(K205=0,0,IF(M205="",B205*L205/100,M205))</f>
        <v/>
      </c>
      <c r="O205" s="4" t="n"/>
      <c r="P205" s="5" t="n"/>
      <c r="Q205" s="3" t="n"/>
      <c r="R205" s="3">
        <f>IF(O205=0,0,IF(Q205="",B205*P205/100,Q205))</f>
        <v/>
      </c>
      <c r="S205" s="4" t="n"/>
      <c r="T205" s="5" t="n"/>
      <c r="U205" s="3" t="n"/>
      <c r="V205" s="3">
        <f>IF(S205=0,0,IF(U205="",B205*T205/100,U205))</f>
        <v/>
      </c>
      <c r="W205" s="4" t="n"/>
      <c r="X205" s="5" t="n"/>
      <c r="Y205" s="3" t="n"/>
      <c r="Z205" s="3">
        <f>IF(W205=0,0,IF(Y205="",B205*X205/100,Y205))</f>
        <v/>
      </c>
      <c r="AA205" s="3" t="n"/>
      <c r="AB205" s="3" t="n"/>
      <c r="AC205" s="3">
        <f>B205*0.035</f>
        <v/>
      </c>
      <c r="AD205" s="3">
        <f>B205*0.065</f>
        <v/>
      </c>
      <c r="AE205" s="3">
        <f>SUM(B205,F205,J205,N205,R205,V205,Z205,AA205,AB205,AC205,AD205)</f>
        <v/>
      </c>
      <c r="AF205" s="3">
        <f>B205*0.055</f>
        <v/>
      </c>
      <c r="AG205" s="3">
        <f>B205*0.035</f>
        <v/>
      </c>
      <c r="AH205" s="3">
        <f>B205*0.165</f>
        <v/>
      </c>
      <c r="AI205" s="3">
        <f>MAX(0,AE205-AF205-AH205)</f>
        <v/>
      </c>
      <c r="AJ205" s="3">
        <f>IF(AI205&lt;=490,0,IF(AI205&lt;=600,(AI205-490)*0.05,IF(AI205&lt;=730,5.5+(AI205-600)*0.10,IF(AI205&lt;=3896.67,18.5+(AI205-730)*0.175,IF(AI205&lt;=19896.67,572.67+(AI205-3896.67)*0.25,IF(AI205&lt;=50416.67,4572.67+(AI205-19896.67)*0.30,13728.67+(AI205-50416.67)*0.35))))))</f>
        <v/>
      </c>
      <c r="AK205" s="3" t="n"/>
      <c r="AL205" s="3" t="n"/>
      <c r="AM205" s="3" t="n"/>
      <c r="AN205" s="3" t="n"/>
      <c r="AO205" s="3" t="n"/>
      <c r="AP205" s="3">
        <f>SUM(AF205,AJ205,AK205,AL205,AM205,AN205,AO205,AG205,AH205)</f>
        <v/>
      </c>
      <c r="AQ205" s="3">
        <f>AE205-AP205</f>
        <v/>
      </c>
      <c r="AR205" s="3" t="n"/>
      <c r="AS205" s="3" t="n"/>
      <c r="AT205" s="3">
        <f>AR205-AS205</f>
        <v/>
      </c>
    </row>
    <row r="206">
      <c r="A206" s="2" t="n"/>
      <c r="B206" s="3" t="n"/>
      <c r="C206" s="4" t="n"/>
      <c r="D206" s="5" t="n"/>
      <c r="E206" s="3" t="n"/>
      <c r="F206" s="3">
        <f>IF(C206=0,0,IF(E206="",B206*D206/100,E206))</f>
        <v/>
      </c>
      <c r="G206" s="4" t="n"/>
      <c r="H206" s="5" t="n"/>
      <c r="I206" s="3" t="n"/>
      <c r="J206" s="3">
        <f>IF(G206=0,0,IF(I206="",B206*H206/100,I206))</f>
        <v/>
      </c>
      <c r="K206" s="4" t="n"/>
      <c r="L206" s="5" t="n"/>
      <c r="M206" s="3" t="n"/>
      <c r="N206" s="3">
        <f>IF(K206=0,0,IF(M206="",B206*L206/100,M206))</f>
        <v/>
      </c>
      <c r="O206" s="4" t="n"/>
      <c r="P206" s="5" t="n"/>
      <c r="Q206" s="3" t="n"/>
      <c r="R206" s="3">
        <f>IF(O206=0,0,IF(Q206="",B206*P206/100,Q206))</f>
        <v/>
      </c>
      <c r="S206" s="4" t="n"/>
      <c r="T206" s="5" t="n"/>
      <c r="U206" s="3" t="n"/>
      <c r="V206" s="3">
        <f>IF(S206=0,0,IF(U206="",B206*T206/100,U206))</f>
        <v/>
      </c>
      <c r="W206" s="4" t="n"/>
      <c r="X206" s="5" t="n"/>
      <c r="Y206" s="3" t="n"/>
      <c r="Z206" s="3">
        <f>IF(W206=0,0,IF(Y206="",B206*X206/100,Y206))</f>
        <v/>
      </c>
      <c r="AA206" s="3" t="n"/>
      <c r="AB206" s="3" t="n"/>
      <c r="AC206" s="3">
        <f>B206*0.035</f>
        <v/>
      </c>
      <c r="AD206" s="3">
        <f>B206*0.065</f>
        <v/>
      </c>
      <c r="AE206" s="3">
        <f>SUM(B206,F206,J206,N206,R206,V206,Z206,AA206,AB206,AC206,AD206)</f>
        <v/>
      </c>
      <c r="AF206" s="3">
        <f>B206*0.055</f>
        <v/>
      </c>
      <c r="AG206" s="3">
        <f>B206*0.035</f>
        <v/>
      </c>
      <c r="AH206" s="3">
        <f>B206*0.165</f>
        <v/>
      </c>
      <c r="AI206" s="3">
        <f>MAX(0,AE206-AF206-AH206)</f>
        <v/>
      </c>
      <c r="AJ206" s="3">
        <f>IF(AI206&lt;=490,0,IF(AI206&lt;=600,(AI206-490)*0.05,IF(AI206&lt;=730,5.5+(AI206-600)*0.10,IF(AI206&lt;=3896.67,18.5+(AI206-730)*0.175,IF(AI206&lt;=19896.67,572.67+(AI206-3896.67)*0.25,IF(AI206&lt;=50416.67,4572.67+(AI206-19896.67)*0.30,13728.67+(AI206-50416.67)*0.35))))))</f>
        <v/>
      </c>
      <c r="AK206" s="3" t="n"/>
      <c r="AL206" s="3" t="n"/>
      <c r="AM206" s="3" t="n"/>
      <c r="AN206" s="3" t="n"/>
      <c r="AO206" s="3" t="n"/>
      <c r="AP206" s="3">
        <f>SUM(AF206,AJ206,AK206,AL206,AM206,AN206,AO206,AG206,AH206)</f>
        <v/>
      </c>
      <c r="AQ206" s="3">
        <f>AE206-AP206</f>
        <v/>
      </c>
      <c r="AR206" s="3" t="n"/>
      <c r="AS206" s="3" t="n"/>
      <c r="AT206" s="3">
        <f>AR206-AS206</f>
        <v/>
      </c>
    </row>
    <row r="207">
      <c r="A207" s="2" t="n"/>
      <c r="B207" s="3" t="n"/>
      <c r="C207" s="4" t="n"/>
      <c r="D207" s="5" t="n"/>
      <c r="E207" s="3" t="n"/>
      <c r="F207" s="3">
        <f>IF(C207=0,0,IF(E207="",B207*D207/100,E207))</f>
        <v/>
      </c>
      <c r="G207" s="4" t="n"/>
      <c r="H207" s="5" t="n"/>
      <c r="I207" s="3" t="n"/>
      <c r="J207" s="3">
        <f>IF(G207=0,0,IF(I207="",B207*H207/100,I207))</f>
        <v/>
      </c>
      <c r="K207" s="4" t="n"/>
      <c r="L207" s="5" t="n"/>
      <c r="M207" s="3" t="n"/>
      <c r="N207" s="3">
        <f>IF(K207=0,0,IF(M207="",B207*L207/100,M207))</f>
        <v/>
      </c>
      <c r="O207" s="4" t="n"/>
      <c r="P207" s="5" t="n"/>
      <c r="Q207" s="3" t="n"/>
      <c r="R207" s="3">
        <f>IF(O207=0,0,IF(Q207="",B207*P207/100,Q207))</f>
        <v/>
      </c>
      <c r="S207" s="4" t="n"/>
      <c r="T207" s="5" t="n"/>
      <c r="U207" s="3" t="n"/>
      <c r="V207" s="3">
        <f>IF(S207=0,0,IF(U207="",B207*T207/100,U207))</f>
        <v/>
      </c>
      <c r="W207" s="4" t="n"/>
      <c r="X207" s="5" t="n"/>
      <c r="Y207" s="3" t="n"/>
      <c r="Z207" s="3">
        <f>IF(W207=0,0,IF(Y207="",B207*X207/100,Y207))</f>
        <v/>
      </c>
      <c r="AA207" s="3" t="n"/>
      <c r="AB207" s="3" t="n"/>
      <c r="AC207" s="3">
        <f>B207*0.035</f>
        <v/>
      </c>
      <c r="AD207" s="3">
        <f>B207*0.065</f>
        <v/>
      </c>
      <c r="AE207" s="3">
        <f>SUM(B207,F207,J207,N207,R207,V207,Z207,AA207,AB207,AC207,AD207)</f>
        <v/>
      </c>
      <c r="AF207" s="3">
        <f>B207*0.055</f>
        <v/>
      </c>
      <c r="AG207" s="3">
        <f>B207*0.035</f>
        <v/>
      </c>
      <c r="AH207" s="3">
        <f>B207*0.165</f>
        <v/>
      </c>
      <c r="AI207" s="3">
        <f>MAX(0,AE207-AF207-AH207)</f>
        <v/>
      </c>
      <c r="AJ207" s="3">
        <f>IF(AI207&lt;=490,0,IF(AI207&lt;=600,(AI207-490)*0.05,IF(AI207&lt;=730,5.5+(AI207-600)*0.10,IF(AI207&lt;=3896.67,18.5+(AI207-730)*0.175,IF(AI207&lt;=19896.67,572.67+(AI207-3896.67)*0.25,IF(AI207&lt;=50416.67,4572.67+(AI207-19896.67)*0.30,13728.67+(AI207-50416.67)*0.35))))))</f>
        <v/>
      </c>
      <c r="AK207" s="3" t="n"/>
      <c r="AL207" s="3" t="n"/>
      <c r="AM207" s="3" t="n"/>
      <c r="AN207" s="3" t="n"/>
      <c r="AO207" s="3" t="n"/>
      <c r="AP207" s="3">
        <f>SUM(AF207,AJ207,AK207,AL207,AM207,AN207,AO207,AG207,AH207)</f>
        <v/>
      </c>
      <c r="AQ207" s="3">
        <f>AE207-AP207</f>
        <v/>
      </c>
      <c r="AR207" s="3" t="n"/>
      <c r="AS207" s="3" t="n"/>
      <c r="AT207" s="3">
        <f>AR207-AS207</f>
        <v/>
      </c>
    </row>
    <row r="208">
      <c r="A208" s="2" t="n"/>
      <c r="B208" s="3" t="n"/>
      <c r="C208" s="4" t="n"/>
      <c r="D208" s="5" t="n"/>
      <c r="E208" s="3" t="n"/>
      <c r="F208" s="3">
        <f>IF(C208=0,0,IF(E208="",B208*D208/100,E208))</f>
        <v/>
      </c>
      <c r="G208" s="4" t="n"/>
      <c r="H208" s="5" t="n"/>
      <c r="I208" s="3" t="n"/>
      <c r="J208" s="3">
        <f>IF(G208=0,0,IF(I208="",B208*H208/100,I208))</f>
        <v/>
      </c>
      <c r="K208" s="4" t="n"/>
      <c r="L208" s="5" t="n"/>
      <c r="M208" s="3" t="n"/>
      <c r="N208" s="3">
        <f>IF(K208=0,0,IF(M208="",B208*L208/100,M208))</f>
        <v/>
      </c>
      <c r="O208" s="4" t="n"/>
      <c r="P208" s="5" t="n"/>
      <c r="Q208" s="3" t="n"/>
      <c r="R208" s="3">
        <f>IF(O208=0,0,IF(Q208="",B208*P208/100,Q208))</f>
        <v/>
      </c>
      <c r="S208" s="4" t="n"/>
      <c r="T208" s="5" t="n"/>
      <c r="U208" s="3" t="n"/>
      <c r="V208" s="3">
        <f>IF(S208=0,0,IF(U208="",B208*T208/100,U208))</f>
        <v/>
      </c>
      <c r="W208" s="4" t="n"/>
      <c r="X208" s="5" t="n"/>
      <c r="Y208" s="3" t="n"/>
      <c r="Z208" s="3">
        <f>IF(W208=0,0,IF(Y208="",B208*X208/100,Y208))</f>
        <v/>
      </c>
      <c r="AA208" s="3" t="n"/>
      <c r="AB208" s="3" t="n"/>
      <c r="AC208" s="3">
        <f>B208*0.035</f>
        <v/>
      </c>
      <c r="AD208" s="3">
        <f>B208*0.065</f>
        <v/>
      </c>
      <c r="AE208" s="3">
        <f>SUM(B208,F208,J208,N208,R208,V208,Z208,AA208,AB208,AC208,AD208)</f>
        <v/>
      </c>
      <c r="AF208" s="3">
        <f>B208*0.055</f>
        <v/>
      </c>
      <c r="AG208" s="3">
        <f>B208*0.035</f>
        <v/>
      </c>
      <c r="AH208" s="3">
        <f>B208*0.165</f>
        <v/>
      </c>
      <c r="AI208" s="3">
        <f>MAX(0,AE208-AF208-AH208)</f>
        <v/>
      </c>
      <c r="AJ208" s="3">
        <f>IF(AI208&lt;=490,0,IF(AI208&lt;=600,(AI208-490)*0.05,IF(AI208&lt;=730,5.5+(AI208-600)*0.10,IF(AI208&lt;=3896.67,18.5+(AI208-730)*0.175,IF(AI208&lt;=19896.67,572.67+(AI208-3896.67)*0.25,IF(AI208&lt;=50416.67,4572.67+(AI208-19896.67)*0.30,13728.67+(AI208-50416.67)*0.35))))))</f>
        <v/>
      </c>
      <c r="AK208" s="3" t="n"/>
      <c r="AL208" s="3" t="n"/>
      <c r="AM208" s="3" t="n"/>
      <c r="AN208" s="3" t="n"/>
      <c r="AO208" s="3" t="n"/>
      <c r="AP208" s="3">
        <f>SUM(AF208,AJ208,AK208,AL208,AM208,AN208,AO208,AG208,AH208)</f>
        <v/>
      </c>
      <c r="AQ208" s="3">
        <f>AE208-AP208</f>
        <v/>
      </c>
      <c r="AR208" s="3" t="n"/>
      <c r="AS208" s="3" t="n"/>
      <c r="AT208" s="3">
        <f>AR208-AS208</f>
        <v/>
      </c>
    </row>
    <row r="209">
      <c r="A209" s="2" t="n"/>
      <c r="B209" s="3" t="n"/>
      <c r="C209" s="4" t="n"/>
      <c r="D209" s="5" t="n"/>
      <c r="E209" s="3" t="n"/>
      <c r="F209" s="3">
        <f>IF(C209=0,0,IF(E209="",B209*D209/100,E209))</f>
        <v/>
      </c>
      <c r="G209" s="4" t="n"/>
      <c r="H209" s="5" t="n"/>
      <c r="I209" s="3" t="n"/>
      <c r="J209" s="3">
        <f>IF(G209=0,0,IF(I209="",B209*H209/100,I209))</f>
        <v/>
      </c>
      <c r="K209" s="4" t="n"/>
      <c r="L209" s="5" t="n"/>
      <c r="M209" s="3" t="n"/>
      <c r="N209" s="3">
        <f>IF(K209=0,0,IF(M209="",B209*L209/100,M209))</f>
        <v/>
      </c>
      <c r="O209" s="4" t="n"/>
      <c r="P209" s="5" t="n"/>
      <c r="Q209" s="3" t="n"/>
      <c r="R209" s="3">
        <f>IF(O209=0,0,IF(Q209="",B209*P209/100,Q209))</f>
        <v/>
      </c>
      <c r="S209" s="4" t="n"/>
      <c r="T209" s="5" t="n"/>
      <c r="U209" s="3" t="n"/>
      <c r="V209" s="3">
        <f>IF(S209=0,0,IF(U209="",B209*T209/100,U209))</f>
        <v/>
      </c>
      <c r="W209" s="4" t="n"/>
      <c r="X209" s="5" t="n"/>
      <c r="Y209" s="3" t="n"/>
      <c r="Z209" s="3">
        <f>IF(W209=0,0,IF(Y209="",B209*X209/100,Y209))</f>
        <v/>
      </c>
      <c r="AA209" s="3" t="n"/>
      <c r="AB209" s="3" t="n"/>
      <c r="AC209" s="3">
        <f>B209*0.035</f>
        <v/>
      </c>
      <c r="AD209" s="3">
        <f>B209*0.065</f>
        <v/>
      </c>
      <c r="AE209" s="3">
        <f>SUM(B209,F209,J209,N209,R209,V209,Z209,AA209,AB209,AC209,AD209)</f>
        <v/>
      </c>
      <c r="AF209" s="3">
        <f>B209*0.055</f>
        <v/>
      </c>
      <c r="AG209" s="3">
        <f>B209*0.035</f>
        <v/>
      </c>
      <c r="AH209" s="3">
        <f>B209*0.165</f>
        <v/>
      </c>
      <c r="AI209" s="3">
        <f>MAX(0,AE209-AF209-AH209)</f>
        <v/>
      </c>
      <c r="AJ209" s="3">
        <f>IF(AI209&lt;=490,0,IF(AI209&lt;=600,(AI209-490)*0.05,IF(AI209&lt;=730,5.5+(AI209-600)*0.10,IF(AI209&lt;=3896.67,18.5+(AI209-730)*0.175,IF(AI209&lt;=19896.67,572.67+(AI209-3896.67)*0.25,IF(AI209&lt;=50416.67,4572.67+(AI209-19896.67)*0.30,13728.67+(AI209-50416.67)*0.35))))))</f>
        <v/>
      </c>
      <c r="AK209" s="3" t="n"/>
      <c r="AL209" s="3" t="n"/>
      <c r="AM209" s="3" t="n"/>
      <c r="AN209" s="3" t="n"/>
      <c r="AO209" s="3" t="n"/>
      <c r="AP209" s="3">
        <f>SUM(AF209,AJ209,AK209,AL209,AM209,AN209,AO209,AG209,AH209)</f>
        <v/>
      </c>
      <c r="AQ209" s="3">
        <f>AE209-AP209</f>
        <v/>
      </c>
      <c r="AR209" s="3" t="n"/>
      <c r="AS209" s="3" t="n"/>
      <c r="AT209" s="3">
        <f>AR209-AS209</f>
        <v/>
      </c>
    </row>
    <row r="210">
      <c r="A210" s="2" t="n"/>
      <c r="B210" s="3" t="n"/>
      <c r="C210" s="4" t="n"/>
      <c r="D210" s="5" t="n"/>
      <c r="E210" s="3" t="n"/>
      <c r="F210" s="3">
        <f>IF(C210=0,0,IF(E210="",B210*D210/100,E210))</f>
        <v/>
      </c>
      <c r="G210" s="4" t="n"/>
      <c r="H210" s="5" t="n"/>
      <c r="I210" s="3" t="n"/>
      <c r="J210" s="3">
        <f>IF(G210=0,0,IF(I210="",B210*H210/100,I210))</f>
        <v/>
      </c>
      <c r="K210" s="4" t="n"/>
      <c r="L210" s="5" t="n"/>
      <c r="M210" s="3" t="n"/>
      <c r="N210" s="3">
        <f>IF(K210=0,0,IF(M210="",B210*L210/100,M210))</f>
        <v/>
      </c>
      <c r="O210" s="4" t="n"/>
      <c r="P210" s="5" t="n"/>
      <c r="Q210" s="3" t="n"/>
      <c r="R210" s="3">
        <f>IF(O210=0,0,IF(Q210="",B210*P210/100,Q210))</f>
        <v/>
      </c>
      <c r="S210" s="4" t="n"/>
      <c r="T210" s="5" t="n"/>
      <c r="U210" s="3" t="n"/>
      <c r="V210" s="3">
        <f>IF(S210=0,0,IF(U210="",B210*T210/100,U210))</f>
        <v/>
      </c>
      <c r="W210" s="4" t="n"/>
      <c r="X210" s="5" t="n"/>
      <c r="Y210" s="3" t="n"/>
      <c r="Z210" s="3">
        <f>IF(W210=0,0,IF(Y210="",B210*X210/100,Y210))</f>
        <v/>
      </c>
      <c r="AA210" s="3" t="n"/>
      <c r="AB210" s="3" t="n"/>
      <c r="AC210" s="3">
        <f>B210*0.035</f>
        <v/>
      </c>
      <c r="AD210" s="3">
        <f>B210*0.065</f>
        <v/>
      </c>
      <c r="AE210" s="3">
        <f>SUM(B210,F210,J210,N210,R210,V210,Z210,AA210,AB210,AC210,AD210)</f>
        <v/>
      </c>
      <c r="AF210" s="3">
        <f>B210*0.055</f>
        <v/>
      </c>
      <c r="AG210" s="3">
        <f>B210*0.035</f>
        <v/>
      </c>
      <c r="AH210" s="3">
        <f>B210*0.165</f>
        <v/>
      </c>
      <c r="AI210" s="3">
        <f>MAX(0,AE210-AF210-AH210)</f>
        <v/>
      </c>
      <c r="AJ210" s="3">
        <f>IF(AI210&lt;=490,0,IF(AI210&lt;=600,(AI210-490)*0.05,IF(AI210&lt;=730,5.5+(AI210-600)*0.10,IF(AI210&lt;=3896.67,18.5+(AI210-730)*0.175,IF(AI210&lt;=19896.67,572.67+(AI210-3896.67)*0.25,IF(AI210&lt;=50416.67,4572.67+(AI210-19896.67)*0.30,13728.67+(AI210-50416.67)*0.35))))))</f>
        <v/>
      </c>
      <c r="AK210" s="3" t="n"/>
      <c r="AL210" s="3" t="n"/>
      <c r="AM210" s="3" t="n"/>
      <c r="AN210" s="3" t="n"/>
      <c r="AO210" s="3" t="n"/>
      <c r="AP210" s="3">
        <f>SUM(AF210,AJ210,AK210,AL210,AM210,AN210,AO210,AG210,AH210)</f>
        <v/>
      </c>
      <c r="AQ210" s="3">
        <f>AE210-AP210</f>
        <v/>
      </c>
      <c r="AR210" s="3" t="n"/>
      <c r="AS210" s="3" t="n"/>
      <c r="AT210" s="3">
        <f>AR210-AS210</f>
        <v/>
      </c>
    </row>
    <row r="211">
      <c r="A211" s="2" t="n"/>
      <c r="B211" s="3" t="n"/>
      <c r="C211" s="4" t="n"/>
      <c r="D211" s="5" t="n"/>
      <c r="E211" s="3" t="n"/>
      <c r="F211" s="3">
        <f>IF(C211=0,0,IF(E211="",B211*D211/100,E211))</f>
        <v/>
      </c>
      <c r="G211" s="4" t="n"/>
      <c r="H211" s="5" t="n"/>
      <c r="I211" s="3" t="n"/>
      <c r="J211" s="3">
        <f>IF(G211=0,0,IF(I211="",B211*H211/100,I211))</f>
        <v/>
      </c>
      <c r="K211" s="4" t="n"/>
      <c r="L211" s="5" t="n"/>
      <c r="M211" s="3" t="n"/>
      <c r="N211" s="3">
        <f>IF(K211=0,0,IF(M211="",B211*L211/100,M211))</f>
        <v/>
      </c>
      <c r="O211" s="4" t="n"/>
      <c r="P211" s="5" t="n"/>
      <c r="Q211" s="3" t="n"/>
      <c r="R211" s="3">
        <f>IF(O211=0,0,IF(Q211="",B211*P211/100,Q211))</f>
        <v/>
      </c>
      <c r="S211" s="4" t="n"/>
      <c r="T211" s="5" t="n"/>
      <c r="U211" s="3" t="n"/>
      <c r="V211" s="3">
        <f>IF(S211=0,0,IF(U211="",B211*T211/100,U211))</f>
        <v/>
      </c>
      <c r="W211" s="4" t="n"/>
      <c r="X211" s="5" t="n"/>
      <c r="Y211" s="3" t="n"/>
      <c r="Z211" s="3">
        <f>IF(W211=0,0,IF(Y211="",B211*X211/100,Y211))</f>
        <v/>
      </c>
      <c r="AA211" s="3" t="n"/>
      <c r="AB211" s="3" t="n"/>
      <c r="AC211" s="3">
        <f>B211*0.035</f>
        <v/>
      </c>
      <c r="AD211" s="3">
        <f>B211*0.065</f>
        <v/>
      </c>
      <c r="AE211" s="3">
        <f>SUM(B211,F211,J211,N211,R211,V211,Z211,AA211,AB211,AC211,AD211)</f>
        <v/>
      </c>
      <c r="AF211" s="3">
        <f>B211*0.055</f>
        <v/>
      </c>
      <c r="AG211" s="3">
        <f>B211*0.035</f>
        <v/>
      </c>
      <c r="AH211" s="3">
        <f>B211*0.165</f>
        <v/>
      </c>
      <c r="AI211" s="3">
        <f>MAX(0,AE211-AF211-AH211)</f>
        <v/>
      </c>
      <c r="AJ211" s="3">
        <f>IF(AI211&lt;=490,0,IF(AI211&lt;=600,(AI211-490)*0.05,IF(AI211&lt;=730,5.5+(AI211-600)*0.10,IF(AI211&lt;=3896.67,18.5+(AI211-730)*0.175,IF(AI211&lt;=19896.67,572.67+(AI211-3896.67)*0.25,IF(AI211&lt;=50416.67,4572.67+(AI211-19896.67)*0.30,13728.67+(AI211-50416.67)*0.35))))))</f>
        <v/>
      </c>
      <c r="AK211" s="3" t="n"/>
      <c r="AL211" s="3" t="n"/>
      <c r="AM211" s="3" t="n"/>
      <c r="AN211" s="3" t="n"/>
      <c r="AO211" s="3" t="n"/>
      <c r="AP211" s="3">
        <f>SUM(AF211,AJ211,AK211,AL211,AM211,AN211,AO211,AG211,AH211)</f>
        <v/>
      </c>
      <c r="AQ211" s="3">
        <f>AE211-AP211</f>
        <v/>
      </c>
      <c r="AR211" s="3" t="n"/>
      <c r="AS211" s="3" t="n"/>
      <c r="AT211" s="3">
        <f>AR211-AS211</f>
        <v/>
      </c>
    </row>
    <row r="212">
      <c r="A212" s="2" t="n"/>
      <c r="B212" s="3" t="n"/>
      <c r="C212" s="4" t="n"/>
      <c r="D212" s="5" t="n"/>
      <c r="E212" s="3" t="n"/>
      <c r="F212" s="3">
        <f>IF(C212=0,0,IF(E212="",B212*D212/100,E212))</f>
        <v/>
      </c>
      <c r="G212" s="4" t="n"/>
      <c r="H212" s="5" t="n"/>
      <c r="I212" s="3" t="n"/>
      <c r="J212" s="3">
        <f>IF(G212=0,0,IF(I212="",B212*H212/100,I212))</f>
        <v/>
      </c>
      <c r="K212" s="4" t="n"/>
      <c r="L212" s="5" t="n"/>
      <c r="M212" s="3" t="n"/>
      <c r="N212" s="3">
        <f>IF(K212=0,0,IF(M212="",B212*L212/100,M212))</f>
        <v/>
      </c>
      <c r="O212" s="4" t="n"/>
      <c r="P212" s="5" t="n"/>
      <c r="Q212" s="3" t="n"/>
      <c r="R212" s="3">
        <f>IF(O212=0,0,IF(Q212="",B212*P212/100,Q212))</f>
        <v/>
      </c>
      <c r="S212" s="4" t="n"/>
      <c r="T212" s="5" t="n"/>
      <c r="U212" s="3" t="n"/>
      <c r="V212" s="3">
        <f>IF(S212=0,0,IF(U212="",B212*T212/100,U212))</f>
        <v/>
      </c>
      <c r="W212" s="4" t="n"/>
      <c r="X212" s="5" t="n"/>
      <c r="Y212" s="3" t="n"/>
      <c r="Z212" s="3">
        <f>IF(W212=0,0,IF(Y212="",B212*X212/100,Y212))</f>
        <v/>
      </c>
      <c r="AA212" s="3" t="n"/>
      <c r="AB212" s="3" t="n"/>
      <c r="AC212" s="3">
        <f>B212*0.035</f>
        <v/>
      </c>
      <c r="AD212" s="3">
        <f>B212*0.065</f>
        <v/>
      </c>
      <c r="AE212" s="3">
        <f>SUM(B212,F212,J212,N212,R212,V212,Z212,AA212,AB212,AC212,AD212)</f>
        <v/>
      </c>
      <c r="AF212" s="3">
        <f>B212*0.055</f>
        <v/>
      </c>
      <c r="AG212" s="3">
        <f>B212*0.035</f>
        <v/>
      </c>
      <c r="AH212" s="3">
        <f>B212*0.165</f>
        <v/>
      </c>
      <c r="AI212" s="3">
        <f>MAX(0,AE212-AF212-AH212)</f>
        <v/>
      </c>
      <c r="AJ212" s="3">
        <f>IF(AI212&lt;=490,0,IF(AI212&lt;=600,(AI212-490)*0.05,IF(AI212&lt;=730,5.5+(AI212-600)*0.10,IF(AI212&lt;=3896.67,18.5+(AI212-730)*0.175,IF(AI212&lt;=19896.67,572.67+(AI212-3896.67)*0.25,IF(AI212&lt;=50416.67,4572.67+(AI212-19896.67)*0.30,13728.67+(AI212-50416.67)*0.35))))))</f>
        <v/>
      </c>
      <c r="AK212" s="3" t="n"/>
      <c r="AL212" s="3" t="n"/>
      <c r="AM212" s="3" t="n"/>
      <c r="AN212" s="3" t="n"/>
      <c r="AO212" s="3" t="n"/>
      <c r="AP212" s="3">
        <f>SUM(AF212,AJ212,AK212,AL212,AM212,AN212,AO212,AG212,AH212)</f>
        <v/>
      </c>
      <c r="AQ212" s="3">
        <f>AE212-AP212</f>
        <v/>
      </c>
      <c r="AR212" s="3" t="n"/>
      <c r="AS212" s="3" t="n"/>
      <c r="AT212" s="3">
        <f>AR212-AS212</f>
        <v/>
      </c>
    </row>
    <row r="213">
      <c r="A213" s="2" t="n"/>
      <c r="B213" s="3" t="n"/>
      <c r="C213" s="4" t="n"/>
      <c r="D213" s="5" t="n"/>
      <c r="E213" s="3" t="n"/>
      <c r="F213" s="3">
        <f>IF(C213=0,0,IF(E213="",B213*D213/100,E213))</f>
        <v/>
      </c>
      <c r="G213" s="4" t="n"/>
      <c r="H213" s="5" t="n"/>
      <c r="I213" s="3" t="n"/>
      <c r="J213" s="3">
        <f>IF(G213=0,0,IF(I213="",B213*H213/100,I213))</f>
        <v/>
      </c>
      <c r="K213" s="4" t="n"/>
      <c r="L213" s="5" t="n"/>
      <c r="M213" s="3" t="n"/>
      <c r="N213" s="3">
        <f>IF(K213=0,0,IF(M213="",B213*L213/100,M213))</f>
        <v/>
      </c>
      <c r="O213" s="4" t="n"/>
      <c r="P213" s="5" t="n"/>
      <c r="Q213" s="3" t="n"/>
      <c r="R213" s="3">
        <f>IF(O213=0,0,IF(Q213="",B213*P213/100,Q213))</f>
        <v/>
      </c>
      <c r="S213" s="4" t="n"/>
      <c r="T213" s="5" t="n"/>
      <c r="U213" s="3" t="n"/>
      <c r="V213" s="3">
        <f>IF(S213=0,0,IF(U213="",B213*T213/100,U213))</f>
        <v/>
      </c>
      <c r="W213" s="4" t="n"/>
      <c r="X213" s="5" t="n"/>
      <c r="Y213" s="3" t="n"/>
      <c r="Z213" s="3">
        <f>IF(W213=0,0,IF(Y213="",B213*X213/100,Y213))</f>
        <v/>
      </c>
      <c r="AA213" s="3" t="n"/>
      <c r="AB213" s="3" t="n"/>
      <c r="AC213" s="3">
        <f>B213*0.035</f>
        <v/>
      </c>
      <c r="AD213" s="3">
        <f>B213*0.065</f>
        <v/>
      </c>
      <c r="AE213" s="3">
        <f>SUM(B213,F213,J213,N213,R213,V213,Z213,AA213,AB213,AC213,AD213)</f>
        <v/>
      </c>
      <c r="AF213" s="3">
        <f>B213*0.055</f>
        <v/>
      </c>
      <c r="AG213" s="3">
        <f>B213*0.035</f>
        <v/>
      </c>
      <c r="AH213" s="3">
        <f>B213*0.165</f>
        <v/>
      </c>
      <c r="AI213" s="3">
        <f>MAX(0,AE213-AF213-AH213)</f>
        <v/>
      </c>
      <c r="AJ213" s="3">
        <f>IF(AI213&lt;=490,0,IF(AI213&lt;=600,(AI213-490)*0.05,IF(AI213&lt;=730,5.5+(AI213-600)*0.10,IF(AI213&lt;=3896.67,18.5+(AI213-730)*0.175,IF(AI213&lt;=19896.67,572.67+(AI213-3896.67)*0.25,IF(AI213&lt;=50416.67,4572.67+(AI213-19896.67)*0.30,13728.67+(AI213-50416.67)*0.35))))))</f>
        <v/>
      </c>
      <c r="AK213" s="3" t="n"/>
      <c r="AL213" s="3" t="n"/>
      <c r="AM213" s="3" t="n"/>
      <c r="AN213" s="3" t="n"/>
      <c r="AO213" s="3" t="n"/>
      <c r="AP213" s="3">
        <f>SUM(AF213,AJ213,AK213,AL213,AM213,AN213,AO213,AG213,AH213)</f>
        <v/>
      </c>
      <c r="AQ213" s="3">
        <f>AE213-AP213</f>
        <v/>
      </c>
      <c r="AR213" s="3" t="n"/>
      <c r="AS213" s="3" t="n"/>
      <c r="AT213" s="3">
        <f>AR213-AS213</f>
        <v/>
      </c>
    </row>
    <row r="214">
      <c r="A214" s="2" t="n"/>
      <c r="B214" s="3" t="n"/>
      <c r="C214" s="4" t="n"/>
      <c r="D214" s="5" t="n"/>
      <c r="E214" s="3" t="n"/>
      <c r="F214" s="3">
        <f>IF(C214=0,0,IF(E214="",B214*D214/100,E214))</f>
        <v/>
      </c>
      <c r="G214" s="4" t="n"/>
      <c r="H214" s="5" t="n"/>
      <c r="I214" s="3" t="n"/>
      <c r="J214" s="3">
        <f>IF(G214=0,0,IF(I214="",B214*H214/100,I214))</f>
        <v/>
      </c>
      <c r="K214" s="4" t="n"/>
      <c r="L214" s="5" t="n"/>
      <c r="M214" s="3" t="n"/>
      <c r="N214" s="3">
        <f>IF(K214=0,0,IF(M214="",B214*L214/100,M214))</f>
        <v/>
      </c>
      <c r="O214" s="4" t="n"/>
      <c r="P214" s="5" t="n"/>
      <c r="Q214" s="3" t="n"/>
      <c r="R214" s="3">
        <f>IF(O214=0,0,IF(Q214="",B214*P214/100,Q214))</f>
        <v/>
      </c>
      <c r="S214" s="4" t="n"/>
      <c r="T214" s="5" t="n"/>
      <c r="U214" s="3" t="n"/>
      <c r="V214" s="3">
        <f>IF(S214=0,0,IF(U214="",B214*T214/100,U214))</f>
        <v/>
      </c>
      <c r="W214" s="4" t="n"/>
      <c r="X214" s="5" t="n"/>
      <c r="Y214" s="3" t="n"/>
      <c r="Z214" s="3">
        <f>IF(W214=0,0,IF(Y214="",B214*X214/100,Y214))</f>
        <v/>
      </c>
      <c r="AA214" s="3" t="n"/>
      <c r="AB214" s="3" t="n"/>
      <c r="AC214" s="3">
        <f>B214*0.035</f>
        <v/>
      </c>
      <c r="AD214" s="3">
        <f>B214*0.065</f>
        <v/>
      </c>
      <c r="AE214" s="3">
        <f>SUM(B214,F214,J214,N214,R214,V214,Z214,AA214,AB214,AC214,AD214)</f>
        <v/>
      </c>
      <c r="AF214" s="3">
        <f>B214*0.055</f>
        <v/>
      </c>
      <c r="AG214" s="3">
        <f>B214*0.035</f>
        <v/>
      </c>
      <c r="AH214" s="3">
        <f>B214*0.165</f>
        <v/>
      </c>
      <c r="AI214" s="3">
        <f>MAX(0,AE214-AF214-AH214)</f>
        <v/>
      </c>
      <c r="AJ214" s="3">
        <f>IF(AI214&lt;=490,0,IF(AI214&lt;=600,(AI214-490)*0.05,IF(AI214&lt;=730,5.5+(AI214-600)*0.10,IF(AI214&lt;=3896.67,18.5+(AI214-730)*0.175,IF(AI214&lt;=19896.67,572.67+(AI214-3896.67)*0.25,IF(AI214&lt;=50416.67,4572.67+(AI214-19896.67)*0.30,13728.67+(AI214-50416.67)*0.35))))))</f>
        <v/>
      </c>
      <c r="AK214" s="3" t="n"/>
      <c r="AL214" s="3" t="n"/>
      <c r="AM214" s="3" t="n"/>
      <c r="AN214" s="3" t="n"/>
      <c r="AO214" s="3" t="n"/>
      <c r="AP214" s="3">
        <f>SUM(AF214,AJ214,AK214,AL214,AM214,AN214,AO214,AG214,AH214)</f>
        <v/>
      </c>
      <c r="AQ214" s="3">
        <f>AE214-AP214</f>
        <v/>
      </c>
      <c r="AR214" s="3" t="n"/>
      <c r="AS214" s="3" t="n"/>
      <c r="AT214" s="3">
        <f>AR214-AS214</f>
        <v/>
      </c>
    </row>
    <row r="215">
      <c r="A215" s="2" t="n"/>
      <c r="B215" s="3" t="n"/>
      <c r="C215" s="4" t="n"/>
      <c r="D215" s="5" t="n"/>
      <c r="E215" s="3" t="n"/>
      <c r="F215" s="3">
        <f>IF(C215=0,0,IF(E215="",B215*D215/100,E215))</f>
        <v/>
      </c>
      <c r="G215" s="4" t="n"/>
      <c r="H215" s="5" t="n"/>
      <c r="I215" s="3" t="n"/>
      <c r="J215" s="3">
        <f>IF(G215=0,0,IF(I215="",B215*H215/100,I215))</f>
        <v/>
      </c>
      <c r="K215" s="4" t="n"/>
      <c r="L215" s="5" t="n"/>
      <c r="M215" s="3" t="n"/>
      <c r="N215" s="3">
        <f>IF(K215=0,0,IF(M215="",B215*L215/100,M215))</f>
        <v/>
      </c>
      <c r="O215" s="4" t="n"/>
      <c r="P215" s="5" t="n"/>
      <c r="Q215" s="3" t="n"/>
      <c r="R215" s="3">
        <f>IF(O215=0,0,IF(Q215="",B215*P215/100,Q215))</f>
        <v/>
      </c>
      <c r="S215" s="4" t="n"/>
      <c r="T215" s="5" t="n"/>
      <c r="U215" s="3" t="n"/>
      <c r="V215" s="3">
        <f>IF(S215=0,0,IF(U215="",B215*T215/100,U215))</f>
        <v/>
      </c>
      <c r="W215" s="4" t="n"/>
      <c r="X215" s="5" t="n"/>
      <c r="Y215" s="3" t="n"/>
      <c r="Z215" s="3">
        <f>IF(W215=0,0,IF(Y215="",B215*X215/100,Y215))</f>
        <v/>
      </c>
      <c r="AA215" s="3" t="n"/>
      <c r="AB215" s="3" t="n"/>
      <c r="AC215" s="3">
        <f>B215*0.035</f>
        <v/>
      </c>
      <c r="AD215" s="3">
        <f>B215*0.065</f>
        <v/>
      </c>
      <c r="AE215" s="3">
        <f>SUM(B215,F215,J215,N215,R215,V215,Z215,AA215,AB215,AC215,AD215)</f>
        <v/>
      </c>
      <c r="AF215" s="3">
        <f>B215*0.055</f>
        <v/>
      </c>
      <c r="AG215" s="3">
        <f>B215*0.035</f>
        <v/>
      </c>
      <c r="AH215" s="3">
        <f>B215*0.165</f>
        <v/>
      </c>
      <c r="AI215" s="3">
        <f>MAX(0,AE215-AF215-AH215)</f>
        <v/>
      </c>
      <c r="AJ215" s="3">
        <f>IF(AI215&lt;=490,0,IF(AI215&lt;=600,(AI215-490)*0.05,IF(AI215&lt;=730,5.5+(AI215-600)*0.10,IF(AI215&lt;=3896.67,18.5+(AI215-730)*0.175,IF(AI215&lt;=19896.67,572.67+(AI215-3896.67)*0.25,IF(AI215&lt;=50416.67,4572.67+(AI215-19896.67)*0.30,13728.67+(AI215-50416.67)*0.35))))))</f>
        <v/>
      </c>
      <c r="AK215" s="3" t="n"/>
      <c r="AL215" s="3" t="n"/>
      <c r="AM215" s="3" t="n"/>
      <c r="AN215" s="3" t="n"/>
      <c r="AO215" s="3" t="n"/>
      <c r="AP215" s="3">
        <f>SUM(AF215,AJ215,AK215,AL215,AM215,AN215,AO215,AG215,AH215)</f>
        <v/>
      </c>
      <c r="AQ215" s="3">
        <f>AE215-AP215</f>
        <v/>
      </c>
      <c r="AR215" s="3" t="n"/>
      <c r="AS215" s="3" t="n"/>
      <c r="AT215" s="3">
        <f>AR215-AS215</f>
        <v/>
      </c>
    </row>
    <row r="216">
      <c r="A216" s="2" t="n"/>
      <c r="B216" s="3" t="n"/>
      <c r="C216" s="4" t="n"/>
      <c r="D216" s="5" t="n"/>
      <c r="E216" s="3" t="n"/>
      <c r="F216" s="3">
        <f>IF(C216=0,0,IF(E216="",B216*D216/100,E216))</f>
        <v/>
      </c>
      <c r="G216" s="4" t="n"/>
      <c r="H216" s="5" t="n"/>
      <c r="I216" s="3" t="n"/>
      <c r="J216" s="3">
        <f>IF(G216=0,0,IF(I216="",B216*H216/100,I216))</f>
        <v/>
      </c>
      <c r="K216" s="4" t="n"/>
      <c r="L216" s="5" t="n"/>
      <c r="M216" s="3" t="n"/>
      <c r="N216" s="3">
        <f>IF(K216=0,0,IF(M216="",B216*L216/100,M216))</f>
        <v/>
      </c>
      <c r="O216" s="4" t="n"/>
      <c r="P216" s="5" t="n"/>
      <c r="Q216" s="3" t="n"/>
      <c r="R216" s="3">
        <f>IF(O216=0,0,IF(Q216="",B216*P216/100,Q216))</f>
        <v/>
      </c>
      <c r="S216" s="4" t="n"/>
      <c r="T216" s="5" t="n"/>
      <c r="U216" s="3" t="n"/>
      <c r="V216" s="3">
        <f>IF(S216=0,0,IF(U216="",B216*T216/100,U216))</f>
        <v/>
      </c>
      <c r="W216" s="4" t="n"/>
      <c r="X216" s="5" t="n"/>
      <c r="Y216" s="3" t="n"/>
      <c r="Z216" s="3">
        <f>IF(W216=0,0,IF(Y216="",B216*X216/100,Y216))</f>
        <v/>
      </c>
      <c r="AA216" s="3" t="n"/>
      <c r="AB216" s="3" t="n"/>
      <c r="AC216" s="3">
        <f>B216*0.035</f>
        <v/>
      </c>
      <c r="AD216" s="3">
        <f>B216*0.065</f>
        <v/>
      </c>
      <c r="AE216" s="3">
        <f>SUM(B216,F216,J216,N216,R216,V216,Z216,AA216,AB216,AC216,AD216)</f>
        <v/>
      </c>
      <c r="AF216" s="3">
        <f>B216*0.055</f>
        <v/>
      </c>
      <c r="AG216" s="3">
        <f>B216*0.035</f>
        <v/>
      </c>
      <c r="AH216" s="3">
        <f>B216*0.165</f>
        <v/>
      </c>
      <c r="AI216" s="3">
        <f>MAX(0,AE216-AF216-AH216)</f>
        <v/>
      </c>
      <c r="AJ216" s="3">
        <f>IF(AI216&lt;=490,0,IF(AI216&lt;=600,(AI216-490)*0.05,IF(AI216&lt;=730,5.5+(AI216-600)*0.10,IF(AI216&lt;=3896.67,18.5+(AI216-730)*0.175,IF(AI216&lt;=19896.67,572.67+(AI216-3896.67)*0.25,IF(AI216&lt;=50416.67,4572.67+(AI216-19896.67)*0.30,13728.67+(AI216-50416.67)*0.35))))))</f>
        <v/>
      </c>
      <c r="AK216" s="3" t="n"/>
      <c r="AL216" s="3" t="n"/>
      <c r="AM216" s="3" t="n"/>
      <c r="AN216" s="3" t="n"/>
      <c r="AO216" s="3" t="n"/>
      <c r="AP216" s="3">
        <f>SUM(AF216,AJ216,AK216,AL216,AM216,AN216,AO216,AG216,AH216)</f>
        <v/>
      </c>
      <c r="AQ216" s="3">
        <f>AE216-AP216</f>
        <v/>
      </c>
      <c r="AR216" s="3" t="n"/>
      <c r="AS216" s="3" t="n"/>
      <c r="AT216" s="3">
        <f>AR216-AS216</f>
        <v/>
      </c>
    </row>
    <row r="217">
      <c r="A217" s="2" t="n"/>
      <c r="B217" s="3" t="n"/>
      <c r="C217" s="4" t="n"/>
      <c r="D217" s="5" t="n"/>
      <c r="E217" s="3" t="n"/>
      <c r="F217" s="3">
        <f>IF(C217=0,0,IF(E217="",B217*D217/100,E217))</f>
        <v/>
      </c>
      <c r="G217" s="4" t="n"/>
      <c r="H217" s="5" t="n"/>
      <c r="I217" s="3" t="n"/>
      <c r="J217" s="3">
        <f>IF(G217=0,0,IF(I217="",B217*H217/100,I217))</f>
        <v/>
      </c>
      <c r="K217" s="4" t="n"/>
      <c r="L217" s="5" t="n"/>
      <c r="M217" s="3" t="n"/>
      <c r="N217" s="3">
        <f>IF(K217=0,0,IF(M217="",B217*L217/100,M217))</f>
        <v/>
      </c>
      <c r="O217" s="4" t="n"/>
      <c r="P217" s="5" t="n"/>
      <c r="Q217" s="3" t="n"/>
      <c r="R217" s="3">
        <f>IF(O217=0,0,IF(Q217="",B217*P217/100,Q217))</f>
        <v/>
      </c>
      <c r="S217" s="4" t="n"/>
      <c r="T217" s="5" t="n"/>
      <c r="U217" s="3" t="n"/>
      <c r="V217" s="3">
        <f>IF(S217=0,0,IF(U217="",B217*T217/100,U217))</f>
        <v/>
      </c>
      <c r="W217" s="4" t="n"/>
      <c r="X217" s="5" t="n"/>
      <c r="Y217" s="3" t="n"/>
      <c r="Z217" s="3">
        <f>IF(W217=0,0,IF(Y217="",B217*X217/100,Y217))</f>
        <v/>
      </c>
      <c r="AA217" s="3" t="n"/>
      <c r="AB217" s="3" t="n"/>
      <c r="AC217" s="3">
        <f>B217*0.035</f>
        <v/>
      </c>
      <c r="AD217" s="3">
        <f>B217*0.065</f>
        <v/>
      </c>
      <c r="AE217" s="3">
        <f>SUM(B217,F217,J217,N217,R217,V217,Z217,AA217,AB217,AC217,AD217)</f>
        <v/>
      </c>
      <c r="AF217" s="3">
        <f>B217*0.055</f>
        <v/>
      </c>
      <c r="AG217" s="3">
        <f>B217*0.035</f>
        <v/>
      </c>
      <c r="AH217" s="3">
        <f>B217*0.165</f>
        <v/>
      </c>
      <c r="AI217" s="3">
        <f>MAX(0,AE217-AF217-AH217)</f>
        <v/>
      </c>
      <c r="AJ217" s="3">
        <f>IF(AI217&lt;=490,0,IF(AI217&lt;=600,(AI217-490)*0.05,IF(AI217&lt;=730,5.5+(AI217-600)*0.10,IF(AI217&lt;=3896.67,18.5+(AI217-730)*0.175,IF(AI217&lt;=19896.67,572.67+(AI217-3896.67)*0.25,IF(AI217&lt;=50416.67,4572.67+(AI217-19896.67)*0.30,13728.67+(AI217-50416.67)*0.35))))))</f>
        <v/>
      </c>
      <c r="AK217" s="3" t="n"/>
      <c r="AL217" s="3" t="n"/>
      <c r="AM217" s="3" t="n"/>
      <c r="AN217" s="3" t="n"/>
      <c r="AO217" s="3" t="n"/>
      <c r="AP217" s="3">
        <f>SUM(AF217,AJ217,AK217,AL217,AM217,AN217,AO217,AG217,AH217)</f>
        <v/>
      </c>
      <c r="AQ217" s="3">
        <f>AE217-AP217</f>
        <v/>
      </c>
      <c r="AR217" s="3" t="n"/>
      <c r="AS217" s="3" t="n"/>
      <c r="AT217" s="3">
        <f>AR217-AS217</f>
        <v/>
      </c>
    </row>
    <row r="218">
      <c r="A218" s="2" t="n"/>
      <c r="B218" s="3" t="n"/>
      <c r="C218" s="4" t="n"/>
      <c r="D218" s="5" t="n"/>
      <c r="E218" s="3" t="n"/>
      <c r="F218" s="3">
        <f>IF(C218=0,0,IF(E218="",B218*D218/100,E218))</f>
        <v/>
      </c>
      <c r="G218" s="4" t="n"/>
      <c r="H218" s="5" t="n"/>
      <c r="I218" s="3" t="n"/>
      <c r="J218" s="3">
        <f>IF(G218=0,0,IF(I218="",B218*H218/100,I218))</f>
        <v/>
      </c>
      <c r="K218" s="4" t="n"/>
      <c r="L218" s="5" t="n"/>
      <c r="M218" s="3" t="n"/>
      <c r="N218" s="3">
        <f>IF(K218=0,0,IF(M218="",B218*L218/100,M218))</f>
        <v/>
      </c>
      <c r="O218" s="4" t="n"/>
      <c r="P218" s="5" t="n"/>
      <c r="Q218" s="3" t="n"/>
      <c r="R218" s="3">
        <f>IF(O218=0,0,IF(Q218="",B218*P218/100,Q218))</f>
        <v/>
      </c>
      <c r="S218" s="4" t="n"/>
      <c r="T218" s="5" t="n"/>
      <c r="U218" s="3" t="n"/>
      <c r="V218" s="3">
        <f>IF(S218=0,0,IF(U218="",B218*T218/100,U218))</f>
        <v/>
      </c>
      <c r="W218" s="4" t="n"/>
      <c r="X218" s="5" t="n"/>
      <c r="Y218" s="3" t="n"/>
      <c r="Z218" s="3">
        <f>IF(W218=0,0,IF(Y218="",B218*X218/100,Y218))</f>
        <v/>
      </c>
      <c r="AA218" s="3" t="n"/>
      <c r="AB218" s="3" t="n"/>
      <c r="AC218" s="3">
        <f>B218*0.035</f>
        <v/>
      </c>
      <c r="AD218" s="3">
        <f>B218*0.065</f>
        <v/>
      </c>
      <c r="AE218" s="3">
        <f>SUM(B218,F218,J218,N218,R218,V218,Z218,AA218,AB218,AC218,AD218)</f>
        <v/>
      </c>
      <c r="AF218" s="3">
        <f>B218*0.055</f>
        <v/>
      </c>
      <c r="AG218" s="3">
        <f>B218*0.035</f>
        <v/>
      </c>
      <c r="AH218" s="3">
        <f>B218*0.165</f>
        <v/>
      </c>
      <c r="AI218" s="3">
        <f>MAX(0,AE218-AF218-AH218)</f>
        <v/>
      </c>
      <c r="AJ218" s="3">
        <f>IF(AI218&lt;=490,0,IF(AI218&lt;=600,(AI218-490)*0.05,IF(AI218&lt;=730,5.5+(AI218-600)*0.10,IF(AI218&lt;=3896.67,18.5+(AI218-730)*0.175,IF(AI218&lt;=19896.67,572.67+(AI218-3896.67)*0.25,IF(AI218&lt;=50416.67,4572.67+(AI218-19896.67)*0.30,13728.67+(AI218-50416.67)*0.35))))))</f>
        <v/>
      </c>
      <c r="AK218" s="3" t="n"/>
      <c r="AL218" s="3" t="n"/>
      <c r="AM218" s="3" t="n"/>
      <c r="AN218" s="3" t="n"/>
      <c r="AO218" s="3" t="n"/>
      <c r="AP218" s="3">
        <f>SUM(AF218,AJ218,AK218,AL218,AM218,AN218,AO218,AG218,AH218)</f>
        <v/>
      </c>
      <c r="AQ218" s="3">
        <f>AE218-AP218</f>
        <v/>
      </c>
      <c r="AR218" s="3" t="n"/>
      <c r="AS218" s="3" t="n"/>
      <c r="AT218" s="3">
        <f>AR218-AS218</f>
        <v/>
      </c>
    </row>
    <row r="219">
      <c r="A219" s="2" t="n"/>
      <c r="B219" s="3" t="n"/>
      <c r="C219" s="4" t="n"/>
      <c r="D219" s="5" t="n"/>
      <c r="E219" s="3" t="n"/>
      <c r="F219" s="3">
        <f>IF(C219=0,0,IF(E219="",B219*D219/100,E219))</f>
        <v/>
      </c>
      <c r="G219" s="4" t="n"/>
      <c r="H219" s="5" t="n"/>
      <c r="I219" s="3" t="n"/>
      <c r="J219" s="3">
        <f>IF(G219=0,0,IF(I219="",B219*H219/100,I219))</f>
        <v/>
      </c>
      <c r="K219" s="4" t="n"/>
      <c r="L219" s="5" t="n"/>
      <c r="M219" s="3" t="n"/>
      <c r="N219" s="3">
        <f>IF(K219=0,0,IF(M219="",B219*L219/100,M219))</f>
        <v/>
      </c>
      <c r="O219" s="4" t="n"/>
      <c r="P219" s="5" t="n"/>
      <c r="Q219" s="3" t="n"/>
      <c r="R219" s="3">
        <f>IF(O219=0,0,IF(Q219="",B219*P219/100,Q219))</f>
        <v/>
      </c>
      <c r="S219" s="4" t="n"/>
      <c r="T219" s="5" t="n"/>
      <c r="U219" s="3" t="n"/>
      <c r="V219" s="3">
        <f>IF(S219=0,0,IF(U219="",B219*T219/100,U219))</f>
        <v/>
      </c>
      <c r="W219" s="4" t="n"/>
      <c r="X219" s="5" t="n"/>
      <c r="Y219" s="3" t="n"/>
      <c r="Z219" s="3">
        <f>IF(W219=0,0,IF(Y219="",B219*X219/100,Y219))</f>
        <v/>
      </c>
      <c r="AA219" s="3" t="n"/>
      <c r="AB219" s="3" t="n"/>
      <c r="AC219" s="3">
        <f>B219*0.035</f>
        <v/>
      </c>
      <c r="AD219" s="3">
        <f>B219*0.065</f>
        <v/>
      </c>
      <c r="AE219" s="3">
        <f>SUM(B219,F219,J219,N219,R219,V219,Z219,AA219,AB219,AC219,AD219)</f>
        <v/>
      </c>
      <c r="AF219" s="3">
        <f>B219*0.055</f>
        <v/>
      </c>
      <c r="AG219" s="3">
        <f>B219*0.035</f>
        <v/>
      </c>
      <c r="AH219" s="3">
        <f>B219*0.165</f>
        <v/>
      </c>
      <c r="AI219" s="3">
        <f>MAX(0,AE219-AF219-AH219)</f>
        <v/>
      </c>
      <c r="AJ219" s="3">
        <f>IF(AI219&lt;=490,0,IF(AI219&lt;=600,(AI219-490)*0.05,IF(AI219&lt;=730,5.5+(AI219-600)*0.10,IF(AI219&lt;=3896.67,18.5+(AI219-730)*0.175,IF(AI219&lt;=19896.67,572.67+(AI219-3896.67)*0.25,IF(AI219&lt;=50416.67,4572.67+(AI219-19896.67)*0.30,13728.67+(AI219-50416.67)*0.35))))))</f>
        <v/>
      </c>
      <c r="AK219" s="3" t="n"/>
      <c r="AL219" s="3" t="n"/>
      <c r="AM219" s="3" t="n"/>
      <c r="AN219" s="3" t="n"/>
      <c r="AO219" s="3" t="n"/>
      <c r="AP219" s="3">
        <f>SUM(AF219,AJ219,AK219,AL219,AM219,AN219,AO219,AG219,AH219)</f>
        <v/>
      </c>
      <c r="AQ219" s="3">
        <f>AE219-AP219</f>
        <v/>
      </c>
      <c r="AR219" s="3" t="n"/>
      <c r="AS219" s="3" t="n"/>
      <c r="AT219" s="3">
        <f>AR219-AS219</f>
        <v/>
      </c>
    </row>
    <row r="220">
      <c r="A220" s="2" t="n"/>
      <c r="B220" s="3" t="n"/>
      <c r="C220" s="4" t="n"/>
      <c r="D220" s="5" t="n"/>
      <c r="E220" s="3" t="n"/>
      <c r="F220" s="3">
        <f>IF(C220=0,0,IF(E220="",B220*D220/100,E220))</f>
        <v/>
      </c>
      <c r="G220" s="4" t="n"/>
      <c r="H220" s="5" t="n"/>
      <c r="I220" s="3" t="n"/>
      <c r="J220" s="3">
        <f>IF(G220=0,0,IF(I220="",B220*H220/100,I220))</f>
        <v/>
      </c>
      <c r="K220" s="4" t="n"/>
      <c r="L220" s="5" t="n"/>
      <c r="M220" s="3" t="n"/>
      <c r="N220" s="3">
        <f>IF(K220=0,0,IF(M220="",B220*L220/100,M220))</f>
        <v/>
      </c>
      <c r="O220" s="4" t="n"/>
      <c r="P220" s="5" t="n"/>
      <c r="Q220" s="3" t="n"/>
      <c r="R220" s="3">
        <f>IF(O220=0,0,IF(Q220="",B220*P220/100,Q220))</f>
        <v/>
      </c>
      <c r="S220" s="4" t="n"/>
      <c r="T220" s="5" t="n"/>
      <c r="U220" s="3" t="n"/>
      <c r="V220" s="3">
        <f>IF(S220=0,0,IF(U220="",B220*T220/100,U220))</f>
        <v/>
      </c>
      <c r="W220" s="4" t="n"/>
      <c r="X220" s="5" t="n"/>
      <c r="Y220" s="3" t="n"/>
      <c r="Z220" s="3">
        <f>IF(W220=0,0,IF(Y220="",B220*X220/100,Y220))</f>
        <v/>
      </c>
      <c r="AA220" s="3" t="n"/>
      <c r="AB220" s="3" t="n"/>
      <c r="AC220" s="3">
        <f>B220*0.035</f>
        <v/>
      </c>
      <c r="AD220" s="3">
        <f>B220*0.065</f>
        <v/>
      </c>
      <c r="AE220" s="3">
        <f>SUM(B220,F220,J220,N220,R220,V220,Z220,AA220,AB220,AC220,AD220)</f>
        <v/>
      </c>
      <c r="AF220" s="3">
        <f>B220*0.055</f>
        <v/>
      </c>
      <c r="AG220" s="3">
        <f>B220*0.035</f>
        <v/>
      </c>
      <c r="AH220" s="3">
        <f>B220*0.165</f>
        <v/>
      </c>
      <c r="AI220" s="3">
        <f>MAX(0,AE220-AF220-AH220)</f>
        <v/>
      </c>
      <c r="AJ220" s="3">
        <f>IF(AI220&lt;=490,0,IF(AI220&lt;=600,(AI220-490)*0.05,IF(AI220&lt;=730,5.5+(AI220-600)*0.10,IF(AI220&lt;=3896.67,18.5+(AI220-730)*0.175,IF(AI220&lt;=19896.67,572.67+(AI220-3896.67)*0.25,IF(AI220&lt;=50416.67,4572.67+(AI220-19896.67)*0.30,13728.67+(AI220-50416.67)*0.35))))))</f>
        <v/>
      </c>
      <c r="AK220" s="3" t="n"/>
      <c r="AL220" s="3" t="n"/>
      <c r="AM220" s="3" t="n"/>
      <c r="AN220" s="3" t="n"/>
      <c r="AO220" s="3" t="n"/>
      <c r="AP220" s="3">
        <f>SUM(AF220,AJ220,AK220,AL220,AM220,AN220,AO220,AG220,AH220)</f>
        <v/>
      </c>
      <c r="AQ220" s="3">
        <f>AE220-AP220</f>
        <v/>
      </c>
      <c r="AR220" s="3" t="n"/>
      <c r="AS220" s="3" t="n"/>
      <c r="AT220" s="3">
        <f>AR220-AS220</f>
        <v/>
      </c>
    </row>
    <row r="221">
      <c r="A221" s="2" t="n"/>
      <c r="B221" s="3" t="n"/>
      <c r="C221" s="4" t="n"/>
      <c r="D221" s="5" t="n"/>
      <c r="E221" s="3" t="n"/>
      <c r="F221" s="3">
        <f>IF(C221=0,0,IF(E221="",B221*D221/100,E221))</f>
        <v/>
      </c>
      <c r="G221" s="4" t="n"/>
      <c r="H221" s="5" t="n"/>
      <c r="I221" s="3" t="n"/>
      <c r="J221" s="3">
        <f>IF(G221=0,0,IF(I221="",B221*H221/100,I221))</f>
        <v/>
      </c>
      <c r="K221" s="4" t="n"/>
      <c r="L221" s="5" t="n"/>
      <c r="M221" s="3" t="n"/>
      <c r="N221" s="3">
        <f>IF(K221=0,0,IF(M221="",B221*L221/100,M221))</f>
        <v/>
      </c>
      <c r="O221" s="4" t="n"/>
      <c r="P221" s="5" t="n"/>
      <c r="Q221" s="3" t="n"/>
      <c r="R221" s="3">
        <f>IF(O221=0,0,IF(Q221="",B221*P221/100,Q221))</f>
        <v/>
      </c>
      <c r="S221" s="4" t="n"/>
      <c r="T221" s="5" t="n"/>
      <c r="U221" s="3" t="n"/>
      <c r="V221" s="3">
        <f>IF(S221=0,0,IF(U221="",B221*T221/100,U221))</f>
        <v/>
      </c>
      <c r="W221" s="4" t="n"/>
      <c r="X221" s="5" t="n"/>
      <c r="Y221" s="3" t="n"/>
      <c r="Z221" s="3">
        <f>IF(W221=0,0,IF(Y221="",B221*X221/100,Y221))</f>
        <v/>
      </c>
      <c r="AA221" s="3" t="n"/>
      <c r="AB221" s="3" t="n"/>
      <c r="AC221" s="3">
        <f>B221*0.035</f>
        <v/>
      </c>
      <c r="AD221" s="3">
        <f>B221*0.065</f>
        <v/>
      </c>
      <c r="AE221" s="3">
        <f>SUM(B221,F221,J221,N221,R221,V221,Z221,AA221,AB221,AC221,AD221)</f>
        <v/>
      </c>
      <c r="AF221" s="3">
        <f>B221*0.055</f>
        <v/>
      </c>
      <c r="AG221" s="3">
        <f>B221*0.035</f>
        <v/>
      </c>
      <c r="AH221" s="3">
        <f>B221*0.165</f>
        <v/>
      </c>
      <c r="AI221" s="3">
        <f>MAX(0,AE221-AF221-AH221)</f>
        <v/>
      </c>
      <c r="AJ221" s="3">
        <f>IF(AI221&lt;=490,0,IF(AI221&lt;=600,(AI221-490)*0.05,IF(AI221&lt;=730,5.5+(AI221-600)*0.10,IF(AI221&lt;=3896.67,18.5+(AI221-730)*0.175,IF(AI221&lt;=19896.67,572.67+(AI221-3896.67)*0.25,IF(AI221&lt;=50416.67,4572.67+(AI221-19896.67)*0.30,13728.67+(AI221-50416.67)*0.35))))))</f>
        <v/>
      </c>
      <c r="AK221" s="3" t="n"/>
      <c r="AL221" s="3" t="n"/>
      <c r="AM221" s="3" t="n"/>
      <c r="AN221" s="3" t="n"/>
      <c r="AO221" s="3" t="n"/>
      <c r="AP221" s="3">
        <f>SUM(AF221,AJ221,AK221,AL221,AM221,AN221,AO221,AG221,AH221)</f>
        <v/>
      </c>
      <c r="AQ221" s="3">
        <f>AE221-AP221</f>
        <v/>
      </c>
      <c r="AR221" s="3" t="n"/>
      <c r="AS221" s="3" t="n"/>
      <c r="AT221" s="3">
        <f>AR221-AS221</f>
        <v/>
      </c>
    </row>
    <row r="222">
      <c r="A222" s="2" t="n"/>
      <c r="B222" s="3" t="n"/>
      <c r="C222" s="4" t="n"/>
      <c r="D222" s="5" t="n"/>
      <c r="E222" s="3" t="n"/>
      <c r="F222" s="3">
        <f>IF(C222=0,0,IF(E222="",B222*D222/100,E222))</f>
        <v/>
      </c>
      <c r="G222" s="4" t="n"/>
      <c r="H222" s="5" t="n"/>
      <c r="I222" s="3" t="n"/>
      <c r="J222" s="3">
        <f>IF(G222=0,0,IF(I222="",B222*H222/100,I222))</f>
        <v/>
      </c>
      <c r="K222" s="4" t="n"/>
      <c r="L222" s="5" t="n"/>
      <c r="M222" s="3" t="n"/>
      <c r="N222" s="3">
        <f>IF(K222=0,0,IF(M222="",B222*L222/100,M222))</f>
        <v/>
      </c>
      <c r="O222" s="4" t="n"/>
      <c r="P222" s="5" t="n"/>
      <c r="Q222" s="3" t="n"/>
      <c r="R222" s="3">
        <f>IF(O222=0,0,IF(Q222="",B222*P222/100,Q222))</f>
        <v/>
      </c>
      <c r="S222" s="4" t="n"/>
      <c r="T222" s="5" t="n"/>
      <c r="U222" s="3" t="n"/>
      <c r="V222" s="3">
        <f>IF(S222=0,0,IF(U222="",B222*T222/100,U222))</f>
        <v/>
      </c>
      <c r="W222" s="4" t="n"/>
      <c r="X222" s="5" t="n"/>
      <c r="Y222" s="3" t="n"/>
      <c r="Z222" s="3">
        <f>IF(W222=0,0,IF(Y222="",B222*X222/100,Y222))</f>
        <v/>
      </c>
      <c r="AA222" s="3" t="n"/>
      <c r="AB222" s="3" t="n"/>
      <c r="AC222" s="3">
        <f>B222*0.035</f>
        <v/>
      </c>
      <c r="AD222" s="3">
        <f>B222*0.065</f>
        <v/>
      </c>
      <c r="AE222" s="3">
        <f>SUM(B222,F222,J222,N222,R222,V222,Z222,AA222,AB222,AC222,AD222)</f>
        <v/>
      </c>
      <c r="AF222" s="3">
        <f>B222*0.055</f>
        <v/>
      </c>
      <c r="AG222" s="3">
        <f>B222*0.035</f>
        <v/>
      </c>
      <c r="AH222" s="3">
        <f>B222*0.165</f>
        <v/>
      </c>
      <c r="AI222" s="3">
        <f>MAX(0,AE222-AF222-AH222)</f>
        <v/>
      </c>
      <c r="AJ222" s="3">
        <f>IF(AI222&lt;=490,0,IF(AI222&lt;=600,(AI222-490)*0.05,IF(AI222&lt;=730,5.5+(AI222-600)*0.10,IF(AI222&lt;=3896.67,18.5+(AI222-730)*0.175,IF(AI222&lt;=19896.67,572.67+(AI222-3896.67)*0.25,IF(AI222&lt;=50416.67,4572.67+(AI222-19896.67)*0.30,13728.67+(AI222-50416.67)*0.35))))))</f>
        <v/>
      </c>
      <c r="AK222" s="3" t="n"/>
      <c r="AL222" s="3" t="n"/>
      <c r="AM222" s="3" t="n"/>
      <c r="AN222" s="3" t="n"/>
      <c r="AO222" s="3" t="n"/>
      <c r="AP222" s="3">
        <f>SUM(AF222,AJ222,AK222,AL222,AM222,AN222,AO222,AG222,AH222)</f>
        <v/>
      </c>
      <c r="AQ222" s="3">
        <f>AE222-AP222</f>
        <v/>
      </c>
      <c r="AR222" s="3" t="n"/>
      <c r="AS222" s="3" t="n"/>
      <c r="AT222" s="3">
        <f>AR222-AS222</f>
        <v/>
      </c>
    </row>
    <row r="223">
      <c r="A223" s="2" t="n"/>
      <c r="B223" s="3" t="n"/>
      <c r="C223" s="4" t="n"/>
      <c r="D223" s="5" t="n"/>
      <c r="E223" s="3" t="n"/>
      <c r="F223" s="3">
        <f>IF(C223=0,0,IF(E223="",B223*D223/100,E223))</f>
        <v/>
      </c>
      <c r="G223" s="4" t="n"/>
      <c r="H223" s="5" t="n"/>
      <c r="I223" s="3" t="n"/>
      <c r="J223" s="3">
        <f>IF(G223=0,0,IF(I223="",B223*H223/100,I223))</f>
        <v/>
      </c>
      <c r="K223" s="4" t="n"/>
      <c r="L223" s="5" t="n"/>
      <c r="M223" s="3" t="n"/>
      <c r="N223" s="3">
        <f>IF(K223=0,0,IF(M223="",B223*L223/100,M223))</f>
        <v/>
      </c>
      <c r="O223" s="4" t="n"/>
      <c r="P223" s="5" t="n"/>
      <c r="Q223" s="3" t="n"/>
      <c r="R223" s="3">
        <f>IF(O223=0,0,IF(Q223="",B223*P223/100,Q223))</f>
        <v/>
      </c>
      <c r="S223" s="4" t="n"/>
      <c r="T223" s="5" t="n"/>
      <c r="U223" s="3" t="n"/>
      <c r="V223" s="3">
        <f>IF(S223=0,0,IF(U223="",B223*T223/100,U223))</f>
        <v/>
      </c>
      <c r="W223" s="4" t="n"/>
      <c r="X223" s="5" t="n"/>
      <c r="Y223" s="3" t="n"/>
      <c r="Z223" s="3">
        <f>IF(W223=0,0,IF(Y223="",B223*X223/100,Y223))</f>
        <v/>
      </c>
      <c r="AA223" s="3" t="n"/>
      <c r="AB223" s="3" t="n"/>
      <c r="AC223" s="3">
        <f>B223*0.035</f>
        <v/>
      </c>
      <c r="AD223" s="3">
        <f>B223*0.065</f>
        <v/>
      </c>
      <c r="AE223" s="3">
        <f>SUM(B223,F223,J223,N223,R223,V223,Z223,AA223,AB223,AC223,AD223)</f>
        <v/>
      </c>
      <c r="AF223" s="3">
        <f>B223*0.055</f>
        <v/>
      </c>
      <c r="AG223" s="3">
        <f>B223*0.035</f>
        <v/>
      </c>
      <c r="AH223" s="3">
        <f>B223*0.165</f>
        <v/>
      </c>
      <c r="AI223" s="3">
        <f>MAX(0,AE223-AF223-AH223)</f>
        <v/>
      </c>
      <c r="AJ223" s="3">
        <f>IF(AI223&lt;=490,0,IF(AI223&lt;=600,(AI223-490)*0.05,IF(AI223&lt;=730,5.5+(AI223-600)*0.10,IF(AI223&lt;=3896.67,18.5+(AI223-730)*0.175,IF(AI223&lt;=19896.67,572.67+(AI223-3896.67)*0.25,IF(AI223&lt;=50416.67,4572.67+(AI223-19896.67)*0.30,13728.67+(AI223-50416.67)*0.35))))))</f>
        <v/>
      </c>
      <c r="AK223" s="3" t="n"/>
      <c r="AL223" s="3" t="n"/>
      <c r="AM223" s="3" t="n"/>
      <c r="AN223" s="3" t="n"/>
      <c r="AO223" s="3" t="n"/>
      <c r="AP223" s="3">
        <f>SUM(AF223,AJ223,AK223,AL223,AM223,AN223,AO223,AG223,AH223)</f>
        <v/>
      </c>
      <c r="AQ223" s="3">
        <f>AE223-AP223</f>
        <v/>
      </c>
      <c r="AR223" s="3" t="n"/>
      <c r="AS223" s="3" t="n"/>
      <c r="AT223" s="3">
        <f>AR223-AS223</f>
        <v/>
      </c>
    </row>
    <row r="224">
      <c r="A224" s="2" t="n"/>
      <c r="B224" s="3" t="n"/>
      <c r="C224" s="4" t="n"/>
      <c r="D224" s="5" t="n"/>
      <c r="E224" s="3" t="n"/>
      <c r="F224" s="3">
        <f>IF(C224=0,0,IF(E224="",B224*D224/100,E224))</f>
        <v/>
      </c>
      <c r="G224" s="4" t="n"/>
      <c r="H224" s="5" t="n"/>
      <c r="I224" s="3" t="n"/>
      <c r="J224" s="3">
        <f>IF(G224=0,0,IF(I224="",B224*H224/100,I224))</f>
        <v/>
      </c>
      <c r="K224" s="4" t="n"/>
      <c r="L224" s="5" t="n"/>
      <c r="M224" s="3" t="n"/>
      <c r="N224" s="3">
        <f>IF(K224=0,0,IF(M224="",B224*L224/100,M224))</f>
        <v/>
      </c>
      <c r="O224" s="4" t="n"/>
      <c r="P224" s="5" t="n"/>
      <c r="Q224" s="3" t="n"/>
      <c r="R224" s="3">
        <f>IF(O224=0,0,IF(Q224="",B224*P224/100,Q224))</f>
        <v/>
      </c>
      <c r="S224" s="4" t="n"/>
      <c r="T224" s="5" t="n"/>
      <c r="U224" s="3" t="n"/>
      <c r="V224" s="3">
        <f>IF(S224=0,0,IF(U224="",B224*T224/100,U224))</f>
        <v/>
      </c>
      <c r="W224" s="4" t="n"/>
      <c r="X224" s="5" t="n"/>
      <c r="Y224" s="3" t="n"/>
      <c r="Z224" s="3">
        <f>IF(W224=0,0,IF(Y224="",B224*X224/100,Y224))</f>
        <v/>
      </c>
      <c r="AA224" s="3" t="n"/>
      <c r="AB224" s="3" t="n"/>
      <c r="AC224" s="3">
        <f>B224*0.035</f>
        <v/>
      </c>
      <c r="AD224" s="3">
        <f>B224*0.065</f>
        <v/>
      </c>
      <c r="AE224" s="3">
        <f>SUM(B224,F224,J224,N224,R224,V224,Z224,AA224,AB224,AC224,AD224)</f>
        <v/>
      </c>
      <c r="AF224" s="3">
        <f>B224*0.055</f>
        <v/>
      </c>
      <c r="AG224" s="3">
        <f>B224*0.035</f>
        <v/>
      </c>
      <c r="AH224" s="3">
        <f>B224*0.165</f>
        <v/>
      </c>
      <c r="AI224" s="3">
        <f>MAX(0,AE224-AF224-AH224)</f>
        <v/>
      </c>
      <c r="AJ224" s="3">
        <f>IF(AI224&lt;=490,0,IF(AI224&lt;=600,(AI224-490)*0.05,IF(AI224&lt;=730,5.5+(AI224-600)*0.10,IF(AI224&lt;=3896.67,18.5+(AI224-730)*0.175,IF(AI224&lt;=19896.67,572.67+(AI224-3896.67)*0.25,IF(AI224&lt;=50416.67,4572.67+(AI224-19896.67)*0.30,13728.67+(AI224-50416.67)*0.35))))))</f>
        <v/>
      </c>
      <c r="AK224" s="3" t="n"/>
      <c r="AL224" s="3" t="n"/>
      <c r="AM224" s="3" t="n"/>
      <c r="AN224" s="3" t="n"/>
      <c r="AO224" s="3" t="n"/>
      <c r="AP224" s="3">
        <f>SUM(AF224,AJ224,AK224,AL224,AM224,AN224,AO224,AG224,AH224)</f>
        <v/>
      </c>
      <c r="AQ224" s="3">
        <f>AE224-AP224</f>
        <v/>
      </c>
      <c r="AR224" s="3" t="n"/>
      <c r="AS224" s="3" t="n"/>
      <c r="AT224" s="3">
        <f>AR224-AS224</f>
        <v/>
      </c>
    </row>
    <row r="225">
      <c r="A225" s="2" t="n"/>
      <c r="B225" s="3" t="n"/>
      <c r="C225" s="4" t="n"/>
      <c r="D225" s="5" t="n"/>
      <c r="E225" s="3" t="n"/>
      <c r="F225" s="3">
        <f>IF(C225=0,0,IF(E225="",B225*D225/100,E225))</f>
        <v/>
      </c>
      <c r="G225" s="4" t="n"/>
      <c r="H225" s="5" t="n"/>
      <c r="I225" s="3" t="n"/>
      <c r="J225" s="3">
        <f>IF(G225=0,0,IF(I225="",B225*H225/100,I225))</f>
        <v/>
      </c>
      <c r="K225" s="4" t="n"/>
      <c r="L225" s="5" t="n"/>
      <c r="M225" s="3" t="n"/>
      <c r="N225" s="3">
        <f>IF(K225=0,0,IF(M225="",B225*L225/100,M225))</f>
        <v/>
      </c>
      <c r="O225" s="4" t="n"/>
      <c r="P225" s="5" t="n"/>
      <c r="Q225" s="3" t="n"/>
      <c r="R225" s="3">
        <f>IF(O225=0,0,IF(Q225="",B225*P225/100,Q225))</f>
        <v/>
      </c>
      <c r="S225" s="4" t="n"/>
      <c r="T225" s="5" t="n"/>
      <c r="U225" s="3" t="n"/>
      <c r="V225" s="3">
        <f>IF(S225=0,0,IF(U225="",B225*T225/100,U225))</f>
        <v/>
      </c>
      <c r="W225" s="4" t="n"/>
      <c r="X225" s="5" t="n"/>
      <c r="Y225" s="3" t="n"/>
      <c r="Z225" s="3">
        <f>IF(W225=0,0,IF(Y225="",B225*X225/100,Y225))</f>
        <v/>
      </c>
      <c r="AA225" s="3" t="n"/>
      <c r="AB225" s="3" t="n"/>
      <c r="AC225" s="3">
        <f>B225*0.035</f>
        <v/>
      </c>
      <c r="AD225" s="3">
        <f>B225*0.065</f>
        <v/>
      </c>
      <c r="AE225" s="3">
        <f>SUM(B225,F225,J225,N225,R225,V225,Z225,AA225,AB225,AC225,AD225)</f>
        <v/>
      </c>
      <c r="AF225" s="3">
        <f>B225*0.055</f>
        <v/>
      </c>
      <c r="AG225" s="3">
        <f>B225*0.035</f>
        <v/>
      </c>
      <c r="AH225" s="3">
        <f>B225*0.165</f>
        <v/>
      </c>
      <c r="AI225" s="3">
        <f>MAX(0,AE225-AF225-AH225)</f>
        <v/>
      </c>
      <c r="AJ225" s="3">
        <f>IF(AI225&lt;=490,0,IF(AI225&lt;=600,(AI225-490)*0.05,IF(AI225&lt;=730,5.5+(AI225-600)*0.10,IF(AI225&lt;=3896.67,18.5+(AI225-730)*0.175,IF(AI225&lt;=19896.67,572.67+(AI225-3896.67)*0.25,IF(AI225&lt;=50416.67,4572.67+(AI225-19896.67)*0.30,13728.67+(AI225-50416.67)*0.35))))))</f>
        <v/>
      </c>
      <c r="AK225" s="3" t="n"/>
      <c r="AL225" s="3" t="n"/>
      <c r="AM225" s="3" t="n"/>
      <c r="AN225" s="3" t="n"/>
      <c r="AO225" s="3" t="n"/>
      <c r="AP225" s="3">
        <f>SUM(AF225,AJ225,AK225,AL225,AM225,AN225,AO225,AG225,AH225)</f>
        <v/>
      </c>
      <c r="AQ225" s="3">
        <f>AE225-AP225</f>
        <v/>
      </c>
      <c r="AR225" s="3" t="n"/>
      <c r="AS225" s="3" t="n"/>
      <c r="AT225" s="3">
        <f>AR225-AS225</f>
        <v/>
      </c>
    </row>
    <row r="226">
      <c r="A226" s="2" t="n"/>
      <c r="B226" s="3" t="n"/>
      <c r="C226" s="4" t="n"/>
      <c r="D226" s="5" t="n"/>
      <c r="E226" s="3" t="n"/>
      <c r="F226" s="3">
        <f>IF(C226=0,0,IF(E226="",B226*D226/100,E226))</f>
        <v/>
      </c>
      <c r="G226" s="4" t="n"/>
      <c r="H226" s="5" t="n"/>
      <c r="I226" s="3" t="n"/>
      <c r="J226" s="3">
        <f>IF(G226=0,0,IF(I226="",B226*H226/100,I226))</f>
        <v/>
      </c>
      <c r="K226" s="4" t="n"/>
      <c r="L226" s="5" t="n"/>
      <c r="M226" s="3" t="n"/>
      <c r="N226" s="3">
        <f>IF(K226=0,0,IF(M226="",B226*L226/100,M226))</f>
        <v/>
      </c>
      <c r="O226" s="4" t="n"/>
      <c r="P226" s="5" t="n"/>
      <c r="Q226" s="3" t="n"/>
      <c r="R226" s="3">
        <f>IF(O226=0,0,IF(Q226="",B226*P226/100,Q226))</f>
        <v/>
      </c>
      <c r="S226" s="4" t="n"/>
      <c r="T226" s="5" t="n"/>
      <c r="U226" s="3" t="n"/>
      <c r="V226" s="3">
        <f>IF(S226=0,0,IF(U226="",B226*T226/100,U226))</f>
        <v/>
      </c>
      <c r="W226" s="4" t="n"/>
      <c r="X226" s="5" t="n"/>
      <c r="Y226" s="3" t="n"/>
      <c r="Z226" s="3">
        <f>IF(W226=0,0,IF(Y226="",B226*X226/100,Y226))</f>
        <v/>
      </c>
      <c r="AA226" s="3" t="n"/>
      <c r="AB226" s="3" t="n"/>
      <c r="AC226" s="3">
        <f>B226*0.035</f>
        <v/>
      </c>
      <c r="AD226" s="3">
        <f>B226*0.065</f>
        <v/>
      </c>
      <c r="AE226" s="3">
        <f>SUM(B226,F226,J226,N226,R226,V226,Z226,AA226,AB226,AC226,AD226)</f>
        <v/>
      </c>
      <c r="AF226" s="3">
        <f>B226*0.055</f>
        <v/>
      </c>
      <c r="AG226" s="3">
        <f>B226*0.035</f>
        <v/>
      </c>
      <c r="AH226" s="3">
        <f>B226*0.165</f>
        <v/>
      </c>
      <c r="AI226" s="3">
        <f>MAX(0,AE226-AF226-AH226)</f>
        <v/>
      </c>
      <c r="AJ226" s="3">
        <f>IF(AI226&lt;=490,0,IF(AI226&lt;=600,(AI226-490)*0.05,IF(AI226&lt;=730,5.5+(AI226-600)*0.10,IF(AI226&lt;=3896.67,18.5+(AI226-730)*0.175,IF(AI226&lt;=19896.67,572.67+(AI226-3896.67)*0.25,IF(AI226&lt;=50416.67,4572.67+(AI226-19896.67)*0.30,13728.67+(AI226-50416.67)*0.35))))))</f>
        <v/>
      </c>
      <c r="AK226" s="3" t="n"/>
      <c r="AL226" s="3" t="n"/>
      <c r="AM226" s="3" t="n"/>
      <c r="AN226" s="3" t="n"/>
      <c r="AO226" s="3" t="n"/>
      <c r="AP226" s="3">
        <f>SUM(AF226,AJ226,AK226,AL226,AM226,AN226,AO226,AG226,AH226)</f>
        <v/>
      </c>
      <c r="AQ226" s="3">
        <f>AE226-AP226</f>
        <v/>
      </c>
      <c r="AR226" s="3" t="n"/>
      <c r="AS226" s="3" t="n"/>
      <c r="AT226" s="3">
        <f>AR226-AS226</f>
        <v/>
      </c>
    </row>
    <row r="227">
      <c r="A227" s="2" t="n"/>
      <c r="B227" s="3" t="n"/>
      <c r="C227" s="4" t="n"/>
      <c r="D227" s="5" t="n"/>
      <c r="E227" s="3" t="n"/>
      <c r="F227" s="3">
        <f>IF(C227=0,0,IF(E227="",B227*D227/100,E227))</f>
        <v/>
      </c>
      <c r="G227" s="4" t="n"/>
      <c r="H227" s="5" t="n"/>
      <c r="I227" s="3" t="n"/>
      <c r="J227" s="3">
        <f>IF(G227=0,0,IF(I227="",B227*H227/100,I227))</f>
        <v/>
      </c>
      <c r="K227" s="4" t="n"/>
      <c r="L227" s="5" t="n"/>
      <c r="M227" s="3" t="n"/>
      <c r="N227" s="3">
        <f>IF(K227=0,0,IF(M227="",B227*L227/100,M227))</f>
        <v/>
      </c>
      <c r="O227" s="4" t="n"/>
      <c r="P227" s="5" t="n"/>
      <c r="Q227" s="3" t="n"/>
      <c r="R227" s="3">
        <f>IF(O227=0,0,IF(Q227="",B227*P227/100,Q227))</f>
        <v/>
      </c>
      <c r="S227" s="4" t="n"/>
      <c r="T227" s="5" t="n"/>
      <c r="U227" s="3" t="n"/>
      <c r="V227" s="3">
        <f>IF(S227=0,0,IF(U227="",B227*T227/100,U227))</f>
        <v/>
      </c>
      <c r="W227" s="4" t="n"/>
      <c r="X227" s="5" t="n"/>
      <c r="Y227" s="3" t="n"/>
      <c r="Z227" s="3">
        <f>IF(W227=0,0,IF(Y227="",B227*X227/100,Y227))</f>
        <v/>
      </c>
      <c r="AA227" s="3" t="n"/>
      <c r="AB227" s="3" t="n"/>
      <c r="AC227" s="3">
        <f>B227*0.035</f>
        <v/>
      </c>
      <c r="AD227" s="3">
        <f>B227*0.065</f>
        <v/>
      </c>
      <c r="AE227" s="3">
        <f>SUM(B227,F227,J227,N227,R227,V227,Z227,AA227,AB227,AC227,AD227)</f>
        <v/>
      </c>
      <c r="AF227" s="3">
        <f>B227*0.055</f>
        <v/>
      </c>
      <c r="AG227" s="3">
        <f>B227*0.035</f>
        <v/>
      </c>
      <c r="AH227" s="3">
        <f>B227*0.165</f>
        <v/>
      </c>
      <c r="AI227" s="3">
        <f>MAX(0,AE227-AF227-AH227)</f>
        <v/>
      </c>
      <c r="AJ227" s="3">
        <f>IF(AI227&lt;=490,0,IF(AI227&lt;=600,(AI227-490)*0.05,IF(AI227&lt;=730,5.5+(AI227-600)*0.10,IF(AI227&lt;=3896.67,18.5+(AI227-730)*0.175,IF(AI227&lt;=19896.67,572.67+(AI227-3896.67)*0.25,IF(AI227&lt;=50416.67,4572.67+(AI227-19896.67)*0.30,13728.67+(AI227-50416.67)*0.35))))))</f>
        <v/>
      </c>
      <c r="AK227" s="3" t="n"/>
      <c r="AL227" s="3" t="n"/>
      <c r="AM227" s="3" t="n"/>
      <c r="AN227" s="3" t="n"/>
      <c r="AO227" s="3" t="n"/>
      <c r="AP227" s="3">
        <f>SUM(AF227,AJ227,AK227,AL227,AM227,AN227,AO227,AG227,AH227)</f>
        <v/>
      </c>
      <c r="AQ227" s="3">
        <f>AE227-AP227</f>
        <v/>
      </c>
      <c r="AR227" s="3" t="n"/>
      <c r="AS227" s="3" t="n"/>
      <c r="AT227" s="3">
        <f>AR227-AS227</f>
        <v/>
      </c>
    </row>
    <row r="228">
      <c r="A228" s="2" t="n"/>
      <c r="B228" s="3" t="n"/>
      <c r="C228" s="4" t="n"/>
      <c r="D228" s="5" t="n"/>
      <c r="E228" s="3" t="n"/>
      <c r="F228" s="3">
        <f>IF(C228=0,0,IF(E228="",B228*D228/100,E228))</f>
        <v/>
      </c>
      <c r="G228" s="4" t="n"/>
      <c r="H228" s="5" t="n"/>
      <c r="I228" s="3" t="n"/>
      <c r="J228" s="3">
        <f>IF(G228=0,0,IF(I228="",B228*H228/100,I228))</f>
        <v/>
      </c>
      <c r="K228" s="4" t="n"/>
      <c r="L228" s="5" t="n"/>
      <c r="M228" s="3" t="n"/>
      <c r="N228" s="3">
        <f>IF(K228=0,0,IF(M228="",B228*L228/100,M228))</f>
        <v/>
      </c>
      <c r="O228" s="4" t="n"/>
      <c r="P228" s="5" t="n"/>
      <c r="Q228" s="3" t="n"/>
      <c r="R228" s="3">
        <f>IF(O228=0,0,IF(Q228="",B228*P228/100,Q228))</f>
        <v/>
      </c>
      <c r="S228" s="4" t="n"/>
      <c r="T228" s="5" t="n"/>
      <c r="U228" s="3" t="n"/>
      <c r="V228" s="3">
        <f>IF(S228=0,0,IF(U228="",B228*T228/100,U228))</f>
        <v/>
      </c>
      <c r="W228" s="4" t="n"/>
      <c r="X228" s="5" t="n"/>
      <c r="Y228" s="3" t="n"/>
      <c r="Z228" s="3">
        <f>IF(W228=0,0,IF(Y228="",B228*X228/100,Y228))</f>
        <v/>
      </c>
      <c r="AA228" s="3" t="n"/>
      <c r="AB228" s="3" t="n"/>
      <c r="AC228" s="3">
        <f>B228*0.035</f>
        <v/>
      </c>
      <c r="AD228" s="3">
        <f>B228*0.065</f>
        <v/>
      </c>
      <c r="AE228" s="3">
        <f>SUM(B228,F228,J228,N228,R228,V228,Z228,AA228,AB228,AC228,AD228)</f>
        <v/>
      </c>
      <c r="AF228" s="3">
        <f>B228*0.055</f>
        <v/>
      </c>
      <c r="AG228" s="3">
        <f>B228*0.035</f>
        <v/>
      </c>
      <c r="AH228" s="3">
        <f>B228*0.165</f>
        <v/>
      </c>
      <c r="AI228" s="3">
        <f>MAX(0,AE228-AF228-AH228)</f>
        <v/>
      </c>
      <c r="AJ228" s="3">
        <f>IF(AI228&lt;=490,0,IF(AI228&lt;=600,(AI228-490)*0.05,IF(AI228&lt;=730,5.5+(AI228-600)*0.10,IF(AI228&lt;=3896.67,18.5+(AI228-730)*0.175,IF(AI228&lt;=19896.67,572.67+(AI228-3896.67)*0.25,IF(AI228&lt;=50416.67,4572.67+(AI228-19896.67)*0.30,13728.67+(AI228-50416.67)*0.35))))))</f>
        <v/>
      </c>
      <c r="AK228" s="3" t="n"/>
      <c r="AL228" s="3" t="n"/>
      <c r="AM228" s="3" t="n"/>
      <c r="AN228" s="3" t="n"/>
      <c r="AO228" s="3" t="n"/>
      <c r="AP228" s="3">
        <f>SUM(AF228,AJ228,AK228,AL228,AM228,AN228,AO228,AG228,AH228)</f>
        <v/>
      </c>
      <c r="AQ228" s="3">
        <f>AE228-AP228</f>
        <v/>
      </c>
      <c r="AR228" s="3" t="n"/>
      <c r="AS228" s="3" t="n"/>
      <c r="AT228" s="3">
        <f>AR228-AS228</f>
        <v/>
      </c>
    </row>
    <row r="229">
      <c r="A229" s="2" t="n"/>
      <c r="B229" s="3" t="n"/>
      <c r="C229" s="4" t="n"/>
      <c r="D229" s="5" t="n"/>
      <c r="E229" s="3" t="n"/>
      <c r="F229" s="3">
        <f>IF(C229=0,0,IF(E229="",B229*D229/100,E229))</f>
        <v/>
      </c>
      <c r="G229" s="4" t="n"/>
      <c r="H229" s="5" t="n"/>
      <c r="I229" s="3" t="n"/>
      <c r="J229" s="3">
        <f>IF(G229=0,0,IF(I229="",B229*H229/100,I229))</f>
        <v/>
      </c>
      <c r="K229" s="4" t="n"/>
      <c r="L229" s="5" t="n"/>
      <c r="M229" s="3" t="n"/>
      <c r="N229" s="3">
        <f>IF(K229=0,0,IF(M229="",B229*L229/100,M229))</f>
        <v/>
      </c>
      <c r="O229" s="4" t="n"/>
      <c r="P229" s="5" t="n"/>
      <c r="Q229" s="3" t="n"/>
      <c r="R229" s="3">
        <f>IF(O229=0,0,IF(Q229="",B229*P229/100,Q229))</f>
        <v/>
      </c>
      <c r="S229" s="4" t="n"/>
      <c r="T229" s="5" t="n"/>
      <c r="U229" s="3" t="n"/>
      <c r="V229" s="3">
        <f>IF(S229=0,0,IF(U229="",B229*T229/100,U229))</f>
        <v/>
      </c>
      <c r="W229" s="4" t="n"/>
      <c r="X229" s="5" t="n"/>
      <c r="Y229" s="3" t="n"/>
      <c r="Z229" s="3">
        <f>IF(W229=0,0,IF(Y229="",B229*X229/100,Y229))</f>
        <v/>
      </c>
      <c r="AA229" s="3" t="n"/>
      <c r="AB229" s="3" t="n"/>
      <c r="AC229" s="3">
        <f>B229*0.035</f>
        <v/>
      </c>
      <c r="AD229" s="3">
        <f>B229*0.065</f>
        <v/>
      </c>
      <c r="AE229" s="3">
        <f>SUM(B229,F229,J229,N229,R229,V229,Z229,AA229,AB229,AC229,AD229)</f>
        <v/>
      </c>
      <c r="AF229" s="3">
        <f>B229*0.055</f>
        <v/>
      </c>
      <c r="AG229" s="3">
        <f>B229*0.035</f>
        <v/>
      </c>
      <c r="AH229" s="3">
        <f>B229*0.165</f>
        <v/>
      </c>
      <c r="AI229" s="3">
        <f>MAX(0,AE229-AF229-AH229)</f>
        <v/>
      </c>
      <c r="AJ229" s="3">
        <f>IF(AI229&lt;=490,0,IF(AI229&lt;=600,(AI229-490)*0.05,IF(AI229&lt;=730,5.5+(AI229-600)*0.10,IF(AI229&lt;=3896.67,18.5+(AI229-730)*0.175,IF(AI229&lt;=19896.67,572.67+(AI229-3896.67)*0.25,IF(AI229&lt;=50416.67,4572.67+(AI229-19896.67)*0.30,13728.67+(AI229-50416.67)*0.35))))))</f>
        <v/>
      </c>
      <c r="AK229" s="3" t="n"/>
      <c r="AL229" s="3" t="n"/>
      <c r="AM229" s="3" t="n"/>
      <c r="AN229" s="3" t="n"/>
      <c r="AO229" s="3" t="n"/>
      <c r="AP229" s="3">
        <f>SUM(AF229,AJ229,AK229,AL229,AM229,AN229,AO229,AG229,AH229)</f>
        <v/>
      </c>
      <c r="AQ229" s="3">
        <f>AE229-AP229</f>
        <v/>
      </c>
      <c r="AR229" s="3" t="n"/>
      <c r="AS229" s="3" t="n"/>
      <c r="AT229" s="3">
        <f>AR229-AS229</f>
        <v/>
      </c>
    </row>
    <row r="230">
      <c r="A230" s="2" t="n"/>
      <c r="B230" s="3" t="n"/>
      <c r="C230" s="4" t="n"/>
      <c r="D230" s="5" t="n"/>
      <c r="E230" s="3" t="n"/>
      <c r="F230" s="3">
        <f>IF(C230=0,0,IF(E230="",B230*D230/100,E230))</f>
        <v/>
      </c>
      <c r="G230" s="4" t="n"/>
      <c r="H230" s="5" t="n"/>
      <c r="I230" s="3" t="n"/>
      <c r="J230" s="3">
        <f>IF(G230=0,0,IF(I230="",B230*H230/100,I230))</f>
        <v/>
      </c>
      <c r="K230" s="4" t="n"/>
      <c r="L230" s="5" t="n"/>
      <c r="M230" s="3" t="n"/>
      <c r="N230" s="3">
        <f>IF(K230=0,0,IF(M230="",B230*L230/100,M230))</f>
        <v/>
      </c>
      <c r="O230" s="4" t="n"/>
      <c r="P230" s="5" t="n"/>
      <c r="Q230" s="3" t="n"/>
      <c r="R230" s="3">
        <f>IF(O230=0,0,IF(Q230="",B230*P230/100,Q230))</f>
        <v/>
      </c>
      <c r="S230" s="4" t="n"/>
      <c r="T230" s="5" t="n"/>
      <c r="U230" s="3" t="n"/>
      <c r="V230" s="3">
        <f>IF(S230=0,0,IF(U230="",B230*T230/100,U230))</f>
        <v/>
      </c>
      <c r="W230" s="4" t="n"/>
      <c r="X230" s="5" t="n"/>
      <c r="Y230" s="3" t="n"/>
      <c r="Z230" s="3">
        <f>IF(W230=0,0,IF(Y230="",B230*X230/100,Y230))</f>
        <v/>
      </c>
      <c r="AA230" s="3" t="n"/>
      <c r="AB230" s="3" t="n"/>
      <c r="AC230" s="3">
        <f>B230*0.035</f>
        <v/>
      </c>
      <c r="AD230" s="3">
        <f>B230*0.065</f>
        <v/>
      </c>
      <c r="AE230" s="3">
        <f>SUM(B230,F230,J230,N230,R230,V230,Z230,AA230,AB230,AC230,AD230)</f>
        <v/>
      </c>
      <c r="AF230" s="3">
        <f>B230*0.055</f>
        <v/>
      </c>
      <c r="AG230" s="3">
        <f>B230*0.035</f>
        <v/>
      </c>
      <c r="AH230" s="3">
        <f>B230*0.165</f>
        <v/>
      </c>
      <c r="AI230" s="3">
        <f>MAX(0,AE230-AF230-AH230)</f>
        <v/>
      </c>
      <c r="AJ230" s="3">
        <f>IF(AI230&lt;=490,0,IF(AI230&lt;=600,(AI230-490)*0.05,IF(AI230&lt;=730,5.5+(AI230-600)*0.10,IF(AI230&lt;=3896.67,18.5+(AI230-730)*0.175,IF(AI230&lt;=19896.67,572.67+(AI230-3896.67)*0.25,IF(AI230&lt;=50416.67,4572.67+(AI230-19896.67)*0.30,13728.67+(AI230-50416.67)*0.35))))))</f>
        <v/>
      </c>
      <c r="AK230" s="3" t="n"/>
      <c r="AL230" s="3" t="n"/>
      <c r="AM230" s="3" t="n"/>
      <c r="AN230" s="3" t="n"/>
      <c r="AO230" s="3" t="n"/>
      <c r="AP230" s="3">
        <f>SUM(AF230,AJ230,AK230,AL230,AM230,AN230,AO230,AG230,AH230)</f>
        <v/>
      </c>
      <c r="AQ230" s="3">
        <f>AE230-AP230</f>
        <v/>
      </c>
      <c r="AR230" s="3" t="n"/>
      <c r="AS230" s="3" t="n"/>
      <c r="AT230" s="3">
        <f>AR230-AS230</f>
        <v/>
      </c>
    </row>
    <row r="231">
      <c r="A231" s="2" t="n"/>
      <c r="B231" s="3" t="n"/>
      <c r="C231" s="4" t="n"/>
      <c r="D231" s="5" t="n"/>
      <c r="E231" s="3" t="n"/>
      <c r="F231" s="3">
        <f>IF(C231=0,0,IF(E231="",B231*D231/100,E231))</f>
        <v/>
      </c>
      <c r="G231" s="4" t="n"/>
      <c r="H231" s="5" t="n"/>
      <c r="I231" s="3" t="n"/>
      <c r="J231" s="3">
        <f>IF(G231=0,0,IF(I231="",B231*H231/100,I231))</f>
        <v/>
      </c>
      <c r="K231" s="4" t="n"/>
      <c r="L231" s="5" t="n"/>
      <c r="M231" s="3" t="n"/>
      <c r="N231" s="3">
        <f>IF(K231=0,0,IF(M231="",B231*L231/100,M231))</f>
        <v/>
      </c>
      <c r="O231" s="4" t="n"/>
      <c r="P231" s="5" t="n"/>
      <c r="Q231" s="3" t="n"/>
      <c r="R231" s="3">
        <f>IF(O231=0,0,IF(Q231="",B231*P231/100,Q231))</f>
        <v/>
      </c>
      <c r="S231" s="4" t="n"/>
      <c r="T231" s="5" t="n"/>
      <c r="U231" s="3" t="n"/>
      <c r="V231" s="3">
        <f>IF(S231=0,0,IF(U231="",B231*T231/100,U231))</f>
        <v/>
      </c>
      <c r="W231" s="4" t="n"/>
      <c r="X231" s="5" t="n"/>
      <c r="Y231" s="3" t="n"/>
      <c r="Z231" s="3">
        <f>IF(W231=0,0,IF(Y231="",B231*X231/100,Y231))</f>
        <v/>
      </c>
      <c r="AA231" s="3" t="n"/>
      <c r="AB231" s="3" t="n"/>
      <c r="AC231" s="3">
        <f>B231*0.035</f>
        <v/>
      </c>
      <c r="AD231" s="3">
        <f>B231*0.065</f>
        <v/>
      </c>
      <c r="AE231" s="3">
        <f>SUM(B231,F231,J231,N231,R231,V231,Z231,AA231,AB231,AC231,AD231)</f>
        <v/>
      </c>
      <c r="AF231" s="3">
        <f>B231*0.055</f>
        <v/>
      </c>
      <c r="AG231" s="3">
        <f>B231*0.035</f>
        <v/>
      </c>
      <c r="AH231" s="3">
        <f>B231*0.165</f>
        <v/>
      </c>
      <c r="AI231" s="3">
        <f>MAX(0,AE231-AF231-AH231)</f>
        <v/>
      </c>
      <c r="AJ231" s="3">
        <f>IF(AI231&lt;=490,0,IF(AI231&lt;=600,(AI231-490)*0.05,IF(AI231&lt;=730,5.5+(AI231-600)*0.10,IF(AI231&lt;=3896.67,18.5+(AI231-730)*0.175,IF(AI231&lt;=19896.67,572.67+(AI231-3896.67)*0.25,IF(AI231&lt;=50416.67,4572.67+(AI231-19896.67)*0.30,13728.67+(AI231-50416.67)*0.35))))))</f>
        <v/>
      </c>
      <c r="AK231" s="3" t="n"/>
      <c r="AL231" s="3" t="n"/>
      <c r="AM231" s="3" t="n"/>
      <c r="AN231" s="3" t="n"/>
      <c r="AO231" s="3" t="n"/>
      <c r="AP231" s="3">
        <f>SUM(AF231,AJ231,AK231,AL231,AM231,AN231,AO231,AG231,AH231)</f>
        <v/>
      </c>
      <c r="AQ231" s="3">
        <f>AE231-AP231</f>
        <v/>
      </c>
      <c r="AR231" s="3" t="n"/>
      <c r="AS231" s="3" t="n"/>
      <c r="AT231" s="3">
        <f>AR231-AS231</f>
        <v/>
      </c>
    </row>
    <row r="232">
      <c r="A232" s="2" t="n"/>
      <c r="B232" s="3" t="n"/>
      <c r="C232" s="4" t="n"/>
      <c r="D232" s="5" t="n"/>
      <c r="E232" s="3" t="n"/>
      <c r="F232" s="3">
        <f>IF(C232=0,0,IF(E232="",B232*D232/100,E232))</f>
        <v/>
      </c>
      <c r="G232" s="4" t="n"/>
      <c r="H232" s="5" t="n"/>
      <c r="I232" s="3" t="n"/>
      <c r="J232" s="3">
        <f>IF(G232=0,0,IF(I232="",B232*H232/100,I232))</f>
        <v/>
      </c>
      <c r="K232" s="4" t="n"/>
      <c r="L232" s="5" t="n"/>
      <c r="M232" s="3" t="n"/>
      <c r="N232" s="3">
        <f>IF(K232=0,0,IF(M232="",B232*L232/100,M232))</f>
        <v/>
      </c>
      <c r="O232" s="4" t="n"/>
      <c r="P232" s="5" t="n"/>
      <c r="Q232" s="3" t="n"/>
      <c r="R232" s="3">
        <f>IF(O232=0,0,IF(Q232="",B232*P232/100,Q232))</f>
        <v/>
      </c>
      <c r="S232" s="4" t="n"/>
      <c r="T232" s="5" t="n"/>
      <c r="U232" s="3" t="n"/>
      <c r="V232" s="3">
        <f>IF(S232=0,0,IF(U232="",B232*T232/100,U232))</f>
        <v/>
      </c>
      <c r="W232" s="4" t="n"/>
      <c r="X232" s="5" t="n"/>
      <c r="Y232" s="3" t="n"/>
      <c r="Z232" s="3">
        <f>IF(W232=0,0,IF(Y232="",B232*X232/100,Y232))</f>
        <v/>
      </c>
      <c r="AA232" s="3" t="n"/>
      <c r="AB232" s="3" t="n"/>
      <c r="AC232" s="3">
        <f>B232*0.035</f>
        <v/>
      </c>
      <c r="AD232" s="3">
        <f>B232*0.065</f>
        <v/>
      </c>
      <c r="AE232" s="3">
        <f>SUM(B232,F232,J232,N232,R232,V232,Z232,AA232,AB232,AC232,AD232)</f>
        <v/>
      </c>
      <c r="AF232" s="3">
        <f>B232*0.055</f>
        <v/>
      </c>
      <c r="AG232" s="3">
        <f>B232*0.035</f>
        <v/>
      </c>
      <c r="AH232" s="3">
        <f>B232*0.165</f>
        <v/>
      </c>
      <c r="AI232" s="3">
        <f>MAX(0,AE232-AF232-AH232)</f>
        <v/>
      </c>
      <c r="AJ232" s="3">
        <f>IF(AI232&lt;=490,0,IF(AI232&lt;=600,(AI232-490)*0.05,IF(AI232&lt;=730,5.5+(AI232-600)*0.10,IF(AI232&lt;=3896.67,18.5+(AI232-730)*0.175,IF(AI232&lt;=19896.67,572.67+(AI232-3896.67)*0.25,IF(AI232&lt;=50416.67,4572.67+(AI232-19896.67)*0.30,13728.67+(AI232-50416.67)*0.35))))))</f>
        <v/>
      </c>
      <c r="AK232" s="3" t="n"/>
      <c r="AL232" s="3" t="n"/>
      <c r="AM232" s="3" t="n"/>
      <c r="AN232" s="3" t="n"/>
      <c r="AO232" s="3" t="n"/>
      <c r="AP232" s="3">
        <f>SUM(AF232,AJ232,AK232,AL232,AM232,AN232,AO232,AG232,AH232)</f>
        <v/>
      </c>
      <c r="AQ232" s="3">
        <f>AE232-AP232</f>
        <v/>
      </c>
      <c r="AR232" s="3" t="n"/>
      <c r="AS232" s="3" t="n"/>
      <c r="AT232" s="3">
        <f>AR232-AS232</f>
        <v/>
      </c>
    </row>
    <row r="233">
      <c r="A233" s="2" t="n"/>
      <c r="B233" s="3" t="n"/>
      <c r="C233" s="4" t="n"/>
      <c r="D233" s="5" t="n"/>
      <c r="E233" s="3" t="n"/>
      <c r="F233" s="3">
        <f>IF(C233=0,0,IF(E233="",B233*D233/100,E233))</f>
        <v/>
      </c>
      <c r="G233" s="4" t="n"/>
      <c r="H233" s="5" t="n"/>
      <c r="I233" s="3" t="n"/>
      <c r="J233" s="3">
        <f>IF(G233=0,0,IF(I233="",B233*H233/100,I233))</f>
        <v/>
      </c>
      <c r="K233" s="4" t="n"/>
      <c r="L233" s="5" t="n"/>
      <c r="M233" s="3" t="n"/>
      <c r="N233" s="3">
        <f>IF(K233=0,0,IF(M233="",B233*L233/100,M233))</f>
        <v/>
      </c>
      <c r="O233" s="4" t="n"/>
      <c r="P233" s="5" t="n"/>
      <c r="Q233" s="3" t="n"/>
      <c r="R233" s="3">
        <f>IF(O233=0,0,IF(Q233="",B233*P233/100,Q233))</f>
        <v/>
      </c>
      <c r="S233" s="4" t="n"/>
      <c r="T233" s="5" t="n"/>
      <c r="U233" s="3" t="n"/>
      <c r="V233" s="3">
        <f>IF(S233=0,0,IF(U233="",B233*T233/100,U233))</f>
        <v/>
      </c>
      <c r="W233" s="4" t="n"/>
      <c r="X233" s="5" t="n"/>
      <c r="Y233" s="3" t="n"/>
      <c r="Z233" s="3">
        <f>IF(W233=0,0,IF(Y233="",B233*X233/100,Y233))</f>
        <v/>
      </c>
      <c r="AA233" s="3" t="n"/>
      <c r="AB233" s="3" t="n"/>
      <c r="AC233" s="3">
        <f>B233*0.035</f>
        <v/>
      </c>
      <c r="AD233" s="3">
        <f>B233*0.065</f>
        <v/>
      </c>
      <c r="AE233" s="3">
        <f>SUM(B233,F233,J233,N233,R233,V233,Z233,AA233,AB233,AC233,AD233)</f>
        <v/>
      </c>
      <c r="AF233" s="3">
        <f>B233*0.055</f>
        <v/>
      </c>
      <c r="AG233" s="3">
        <f>B233*0.035</f>
        <v/>
      </c>
      <c r="AH233" s="3">
        <f>B233*0.165</f>
        <v/>
      </c>
      <c r="AI233" s="3">
        <f>MAX(0,AE233-AF233-AH233)</f>
        <v/>
      </c>
      <c r="AJ233" s="3">
        <f>IF(AI233&lt;=490,0,IF(AI233&lt;=600,(AI233-490)*0.05,IF(AI233&lt;=730,5.5+(AI233-600)*0.10,IF(AI233&lt;=3896.67,18.5+(AI233-730)*0.175,IF(AI233&lt;=19896.67,572.67+(AI233-3896.67)*0.25,IF(AI233&lt;=50416.67,4572.67+(AI233-19896.67)*0.30,13728.67+(AI233-50416.67)*0.35))))))</f>
        <v/>
      </c>
      <c r="AK233" s="3" t="n"/>
      <c r="AL233" s="3" t="n"/>
      <c r="AM233" s="3" t="n"/>
      <c r="AN233" s="3" t="n"/>
      <c r="AO233" s="3" t="n"/>
      <c r="AP233" s="3">
        <f>SUM(AF233,AJ233,AK233,AL233,AM233,AN233,AO233,AG233,AH233)</f>
        <v/>
      </c>
      <c r="AQ233" s="3">
        <f>AE233-AP233</f>
        <v/>
      </c>
      <c r="AR233" s="3" t="n"/>
      <c r="AS233" s="3" t="n"/>
      <c r="AT233" s="3">
        <f>AR233-AS233</f>
        <v/>
      </c>
    </row>
    <row r="234">
      <c r="A234" s="2" t="n"/>
      <c r="B234" s="3" t="n"/>
      <c r="C234" s="4" t="n"/>
      <c r="D234" s="5" t="n"/>
      <c r="E234" s="3" t="n"/>
      <c r="F234" s="3">
        <f>IF(C234=0,0,IF(E234="",B234*D234/100,E234))</f>
        <v/>
      </c>
      <c r="G234" s="4" t="n"/>
      <c r="H234" s="5" t="n"/>
      <c r="I234" s="3" t="n"/>
      <c r="J234" s="3">
        <f>IF(G234=0,0,IF(I234="",B234*H234/100,I234))</f>
        <v/>
      </c>
      <c r="K234" s="4" t="n"/>
      <c r="L234" s="5" t="n"/>
      <c r="M234" s="3" t="n"/>
      <c r="N234" s="3">
        <f>IF(K234=0,0,IF(M234="",B234*L234/100,M234))</f>
        <v/>
      </c>
      <c r="O234" s="4" t="n"/>
      <c r="P234" s="5" t="n"/>
      <c r="Q234" s="3" t="n"/>
      <c r="R234" s="3">
        <f>IF(O234=0,0,IF(Q234="",B234*P234/100,Q234))</f>
        <v/>
      </c>
      <c r="S234" s="4" t="n"/>
      <c r="T234" s="5" t="n"/>
      <c r="U234" s="3" t="n"/>
      <c r="V234" s="3">
        <f>IF(S234=0,0,IF(U234="",B234*T234/100,U234))</f>
        <v/>
      </c>
      <c r="W234" s="4" t="n"/>
      <c r="X234" s="5" t="n"/>
      <c r="Y234" s="3" t="n"/>
      <c r="Z234" s="3">
        <f>IF(W234=0,0,IF(Y234="",B234*X234/100,Y234))</f>
        <v/>
      </c>
      <c r="AA234" s="3" t="n"/>
      <c r="AB234" s="3" t="n"/>
      <c r="AC234" s="3">
        <f>B234*0.035</f>
        <v/>
      </c>
      <c r="AD234" s="3">
        <f>B234*0.065</f>
        <v/>
      </c>
      <c r="AE234" s="3">
        <f>SUM(B234,F234,J234,N234,R234,V234,Z234,AA234,AB234,AC234,AD234)</f>
        <v/>
      </c>
      <c r="AF234" s="3">
        <f>B234*0.055</f>
        <v/>
      </c>
      <c r="AG234" s="3">
        <f>B234*0.035</f>
        <v/>
      </c>
      <c r="AH234" s="3">
        <f>B234*0.165</f>
        <v/>
      </c>
      <c r="AI234" s="3">
        <f>MAX(0,AE234-AF234-AH234)</f>
        <v/>
      </c>
      <c r="AJ234" s="3">
        <f>IF(AI234&lt;=490,0,IF(AI234&lt;=600,(AI234-490)*0.05,IF(AI234&lt;=730,5.5+(AI234-600)*0.10,IF(AI234&lt;=3896.67,18.5+(AI234-730)*0.175,IF(AI234&lt;=19896.67,572.67+(AI234-3896.67)*0.25,IF(AI234&lt;=50416.67,4572.67+(AI234-19896.67)*0.30,13728.67+(AI234-50416.67)*0.35))))))</f>
        <v/>
      </c>
      <c r="AK234" s="3" t="n"/>
      <c r="AL234" s="3" t="n"/>
      <c r="AM234" s="3" t="n"/>
      <c r="AN234" s="3" t="n"/>
      <c r="AO234" s="3" t="n"/>
      <c r="AP234" s="3">
        <f>SUM(AF234,AJ234,AK234,AL234,AM234,AN234,AO234,AG234,AH234)</f>
        <v/>
      </c>
      <c r="AQ234" s="3">
        <f>AE234-AP234</f>
        <v/>
      </c>
      <c r="AR234" s="3" t="n"/>
      <c r="AS234" s="3" t="n"/>
      <c r="AT234" s="3">
        <f>AR234-AS234</f>
        <v/>
      </c>
    </row>
    <row r="235">
      <c r="A235" s="2" t="n"/>
      <c r="B235" s="3" t="n"/>
      <c r="C235" s="4" t="n"/>
      <c r="D235" s="5" t="n"/>
      <c r="E235" s="3" t="n"/>
      <c r="F235" s="3">
        <f>IF(C235=0,0,IF(E235="",B235*D235/100,E235))</f>
        <v/>
      </c>
      <c r="G235" s="4" t="n"/>
      <c r="H235" s="5" t="n"/>
      <c r="I235" s="3" t="n"/>
      <c r="J235" s="3">
        <f>IF(G235=0,0,IF(I235="",B235*H235/100,I235))</f>
        <v/>
      </c>
      <c r="K235" s="4" t="n"/>
      <c r="L235" s="5" t="n"/>
      <c r="M235" s="3" t="n"/>
      <c r="N235" s="3">
        <f>IF(K235=0,0,IF(M235="",B235*L235/100,M235))</f>
        <v/>
      </c>
      <c r="O235" s="4" t="n"/>
      <c r="P235" s="5" t="n"/>
      <c r="Q235" s="3" t="n"/>
      <c r="R235" s="3">
        <f>IF(O235=0,0,IF(Q235="",B235*P235/100,Q235))</f>
        <v/>
      </c>
      <c r="S235" s="4" t="n"/>
      <c r="T235" s="5" t="n"/>
      <c r="U235" s="3" t="n"/>
      <c r="V235" s="3">
        <f>IF(S235=0,0,IF(U235="",B235*T235/100,U235))</f>
        <v/>
      </c>
      <c r="W235" s="4" t="n"/>
      <c r="X235" s="5" t="n"/>
      <c r="Y235" s="3" t="n"/>
      <c r="Z235" s="3">
        <f>IF(W235=0,0,IF(Y235="",B235*X235/100,Y235))</f>
        <v/>
      </c>
      <c r="AA235" s="3" t="n"/>
      <c r="AB235" s="3" t="n"/>
      <c r="AC235" s="3">
        <f>B235*0.035</f>
        <v/>
      </c>
      <c r="AD235" s="3">
        <f>B235*0.065</f>
        <v/>
      </c>
      <c r="AE235" s="3">
        <f>SUM(B235,F235,J235,N235,R235,V235,Z235,AA235,AB235,AC235,AD235)</f>
        <v/>
      </c>
      <c r="AF235" s="3">
        <f>B235*0.055</f>
        <v/>
      </c>
      <c r="AG235" s="3">
        <f>B235*0.035</f>
        <v/>
      </c>
      <c r="AH235" s="3">
        <f>B235*0.165</f>
        <v/>
      </c>
      <c r="AI235" s="3">
        <f>MAX(0,AE235-AF235-AH235)</f>
        <v/>
      </c>
      <c r="AJ235" s="3">
        <f>IF(AI235&lt;=490,0,IF(AI235&lt;=600,(AI235-490)*0.05,IF(AI235&lt;=730,5.5+(AI235-600)*0.10,IF(AI235&lt;=3896.67,18.5+(AI235-730)*0.175,IF(AI235&lt;=19896.67,572.67+(AI235-3896.67)*0.25,IF(AI235&lt;=50416.67,4572.67+(AI235-19896.67)*0.30,13728.67+(AI235-50416.67)*0.35))))))</f>
        <v/>
      </c>
      <c r="AK235" s="3" t="n"/>
      <c r="AL235" s="3" t="n"/>
      <c r="AM235" s="3" t="n"/>
      <c r="AN235" s="3" t="n"/>
      <c r="AO235" s="3" t="n"/>
      <c r="AP235" s="3">
        <f>SUM(AF235,AJ235,AK235,AL235,AM235,AN235,AO235,AG235,AH235)</f>
        <v/>
      </c>
      <c r="AQ235" s="3">
        <f>AE235-AP235</f>
        <v/>
      </c>
      <c r="AR235" s="3" t="n"/>
      <c r="AS235" s="3" t="n"/>
      <c r="AT235" s="3">
        <f>AR235-AS235</f>
        <v/>
      </c>
    </row>
    <row r="236">
      <c r="A236" s="2" t="n"/>
      <c r="B236" s="3" t="n"/>
      <c r="C236" s="4" t="n"/>
      <c r="D236" s="5" t="n"/>
      <c r="E236" s="3" t="n"/>
      <c r="F236" s="3">
        <f>IF(C236=0,0,IF(E236="",B236*D236/100,E236))</f>
        <v/>
      </c>
      <c r="G236" s="4" t="n"/>
      <c r="H236" s="5" t="n"/>
      <c r="I236" s="3" t="n"/>
      <c r="J236" s="3">
        <f>IF(G236=0,0,IF(I236="",B236*H236/100,I236))</f>
        <v/>
      </c>
      <c r="K236" s="4" t="n"/>
      <c r="L236" s="5" t="n"/>
      <c r="M236" s="3" t="n"/>
      <c r="N236" s="3">
        <f>IF(K236=0,0,IF(M236="",B236*L236/100,M236))</f>
        <v/>
      </c>
      <c r="O236" s="4" t="n"/>
      <c r="P236" s="5" t="n"/>
      <c r="Q236" s="3" t="n"/>
      <c r="R236" s="3">
        <f>IF(O236=0,0,IF(Q236="",B236*P236/100,Q236))</f>
        <v/>
      </c>
      <c r="S236" s="4" t="n"/>
      <c r="T236" s="5" t="n"/>
      <c r="U236" s="3" t="n"/>
      <c r="V236" s="3">
        <f>IF(S236=0,0,IF(U236="",B236*T236/100,U236))</f>
        <v/>
      </c>
      <c r="W236" s="4" t="n"/>
      <c r="X236" s="5" t="n"/>
      <c r="Y236" s="3" t="n"/>
      <c r="Z236" s="3">
        <f>IF(W236=0,0,IF(Y236="",B236*X236/100,Y236))</f>
        <v/>
      </c>
      <c r="AA236" s="3" t="n"/>
      <c r="AB236" s="3" t="n"/>
      <c r="AC236" s="3">
        <f>B236*0.035</f>
        <v/>
      </c>
      <c r="AD236" s="3">
        <f>B236*0.065</f>
        <v/>
      </c>
      <c r="AE236" s="3">
        <f>SUM(B236,F236,J236,N236,R236,V236,Z236,AA236,AB236,AC236,AD236)</f>
        <v/>
      </c>
      <c r="AF236" s="3">
        <f>B236*0.055</f>
        <v/>
      </c>
      <c r="AG236" s="3">
        <f>B236*0.035</f>
        <v/>
      </c>
      <c r="AH236" s="3">
        <f>B236*0.165</f>
        <v/>
      </c>
      <c r="AI236" s="3">
        <f>MAX(0,AE236-AF236-AH236)</f>
        <v/>
      </c>
      <c r="AJ236" s="3">
        <f>IF(AI236&lt;=490,0,IF(AI236&lt;=600,(AI236-490)*0.05,IF(AI236&lt;=730,5.5+(AI236-600)*0.10,IF(AI236&lt;=3896.67,18.5+(AI236-730)*0.175,IF(AI236&lt;=19896.67,572.67+(AI236-3896.67)*0.25,IF(AI236&lt;=50416.67,4572.67+(AI236-19896.67)*0.30,13728.67+(AI236-50416.67)*0.35))))))</f>
        <v/>
      </c>
      <c r="AK236" s="3" t="n"/>
      <c r="AL236" s="3" t="n"/>
      <c r="AM236" s="3" t="n"/>
      <c r="AN236" s="3" t="n"/>
      <c r="AO236" s="3" t="n"/>
      <c r="AP236" s="3">
        <f>SUM(AF236,AJ236,AK236,AL236,AM236,AN236,AO236,AG236,AH236)</f>
        <v/>
      </c>
      <c r="AQ236" s="3">
        <f>AE236-AP236</f>
        <v/>
      </c>
      <c r="AR236" s="3" t="n"/>
      <c r="AS236" s="3" t="n"/>
      <c r="AT236" s="3">
        <f>AR236-AS236</f>
        <v/>
      </c>
    </row>
    <row r="237">
      <c r="A237" s="2" t="n"/>
      <c r="B237" s="3" t="n"/>
      <c r="C237" s="4" t="n"/>
      <c r="D237" s="5" t="n"/>
      <c r="E237" s="3" t="n"/>
      <c r="F237" s="3">
        <f>IF(C237=0,0,IF(E237="",B237*D237/100,E237))</f>
        <v/>
      </c>
      <c r="G237" s="4" t="n"/>
      <c r="H237" s="5" t="n"/>
      <c r="I237" s="3" t="n"/>
      <c r="J237" s="3">
        <f>IF(G237=0,0,IF(I237="",B237*H237/100,I237))</f>
        <v/>
      </c>
      <c r="K237" s="4" t="n"/>
      <c r="L237" s="5" t="n"/>
      <c r="M237" s="3" t="n"/>
      <c r="N237" s="3">
        <f>IF(K237=0,0,IF(M237="",B237*L237/100,M237))</f>
        <v/>
      </c>
      <c r="O237" s="4" t="n"/>
      <c r="P237" s="5" t="n"/>
      <c r="Q237" s="3" t="n"/>
      <c r="R237" s="3">
        <f>IF(O237=0,0,IF(Q237="",B237*P237/100,Q237))</f>
        <v/>
      </c>
      <c r="S237" s="4" t="n"/>
      <c r="T237" s="5" t="n"/>
      <c r="U237" s="3" t="n"/>
      <c r="V237" s="3">
        <f>IF(S237=0,0,IF(U237="",B237*T237/100,U237))</f>
        <v/>
      </c>
      <c r="W237" s="4" t="n"/>
      <c r="X237" s="5" t="n"/>
      <c r="Y237" s="3" t="n"/>
      <c r="Z237" s="3">
        <f>IF(W237=0,0,IF(Y237="",B237*X237/100,Y237))</f>
        <v/>
      </c>
      <c r="AA237" s="3" t="n"/>
      <c r="AB237" s="3" t="n"/>
      <c r="AC237" s="3">
        <f>B237*0.035</f>
        <v/>
      </c>
      <c r="AD237" s="3">
        <f>B237*0.065</f>
        <v/>
      </c>
      <c r="AE237" s="3">
        <f>SUM(B237,F237,J237,N237,R237,V237,Z237,AA237,AB237,AC237,AD237)</f>
        <v/>
      </c>
      <c r="AF237" s="3">
        <f>B237*0.055</f>
        <v/>
      </c>
      <c r="AG237" s="3">
        <f>B237*0.035</f>
        <v/>
      </c>
      <c r="AH237" s="3">
        <f>B237*0.165</f>
        <v/>
      </c>
      <c r="AI237" s="3">
        <f>MAX(0,AE237-AF237-AH237)</f>
        <v/>
      </c>
      <c r="AJ237" s="3">
        <f>IF(AI237&lt;=490,0,IF(AI237&lt;=600,(AI237-490)*0.05,IF(AI237&lt;=730,5.5+(AI237-600)*0.10,IF(AI237&lt;=3896.67,18.5+(AI237-730)*0.175,IF(AI237&lt;=19896.67,572.67+(AI237-3896.67)*0.25,IF(AI237&lt;=50416.67,4572.67+(AI237-19896.67)*0.30,13728.67+(AI237-50416.67)*0.35))))))</f>
        <v/>
      </c>
      <c r="AK237" s="3" t="n"/>
      <c r="AL237" s="3" t="n"/>
      <c r="AM237" s="3" t="n"/>
      <c r="AN237" s="3" t="n"/>
      <c r="AO237" s="3" t="n"/>
      <c r="AP237" s="3">
        <f>SUM(AF237,AJ237,AK237,AL237,AM237,AN237,AO237,AG237,AH237)</f>
        <v/>
      </c>
      <c r="AQ237" s="3">
        <f>AE237-AP237</f>
        <v/>
      </c>
      <c r="AR237" s="3" t="n"/>
      <c r="AS237" s="3" t="n"/>
      <c r="AT237" s="3">
        <f>AR237-AS237</f>
        <v/>
      </c>
    </row>
    <row r="238">
      <c r="A238" s="2" t="n"/>
      <c r="B238" s="3" t="n"/>
      <c r="C238" s="4" t="n"/>
      <c r="D238" s="5" t="n"/>
      <c r="E238" s="3" t="n"/>
      <c r="F238" s="3">
        <f>IF(C238=0,0,IF(E238="",B238*D238/100,E238))</f>
        <v/>
      </c>
      <c r="G238" s="4" t="n"/>
      <c r="H238" s="5" t="n"/>
      <c r="I238" s="3" t="n"/>
      <c r="J238" s="3">
        <f>IF(G238=0,0,IF(I238="",B238*H238/100,I238))</f>
        <v/>
      </c>
      <c r="K238" s="4" t="n"/>
      <c r="L238" s="5" t="n"/>
      <c r="M238" s="3" t="n"/>
      <c r="N238" s="3">
        <f>IF(K238=0,0,IF(M238="",B238*L238/100,M238))</f>
        <v/>
      </c>
      <c r="O238" s="4" t="n"/>
      <c r="P238" s="5" t="n"/>
      <c r="Q238" s="3" t="n"/>
      <c r="R238" s="3">
        <f>IF(O238=0,0,IF(Q238="",B238*P238/100,Q238))</f>
        <v/>
      </c>
      <c r="S238" s="4" t="n"/>
      <c r="T238" s="5" t="n"/>
      <c r="U238" s="3" t="n"/>
      <c r="V238" s="3">
        <f>IF(S238=0,0,IF(U238="",B238*T238/100,U238))</f>
        <v/>
      </c>
      <c r="W238" s="4" t="n"/>
      <c r="X238" s="5" t="n"/>
      <c r="Y238" s="3" t="n"/>
      <c r="Z238" s="3">
        <f>IF(W238=0,0,IF(Y238="",B238*X238/100,Y238))</f>
        <v/>
      </c>
      <c r="AA238" s="3" t="n"/>
      <c r="AB238" s="3" t="n"/>
      <c r="AC238" s="3">
        <f>B238*0.035</f>
        <v/>
      </c>
      <c r="AD238" s="3">
        <f>B238*0.065</f>
        <v/>
      </c>
      <c r="AE238" s="3">
        <f>SUM(B238,F238,J238,N238,R238,V238,Z238,AA238,AB238,AC238,AD238)</f>
        <v/>
      </c>
      <c r="AF238" s="3">
        <f>B238*0.055</f>
        <v/>
      </c>
      <c r="AG238" s="3">
        <f>B238*0.035</f>
        <v/>
      </c>
      <c r="AH238" s="3">
        <f>B238*0.165</f>
        <v/>
      </c>
      <c r="AI238" s="3">
        <f>MAX(0,AE238-AF238-AH238)</f>
        <v/>
      </c>
      <c r="AJ238" s="3">
        <f>IF(AI238&lt;=490,0,IF(AI238&lt;=600,(AI238-490)*0.05,IF(AI238&lt;=730,5.5+(AI238-600)*0.10,IF(AI238&lt;=3896.67,18.5+(AI238-730)*0.175,IF(AI238&lt;=19896.67,572.67+(AI238-3896.67)*0.25,IF(AI238&lt;=50416.67,4572.67+(AI238-19896.67)*0.30,13728.67+(AI238-50416.67)*0.35))))))</f>
        <v/>
      </c>
      <c r="AK238" s="3" t="n"/>
      <c r="AL238" s="3" t="n"/>
      <c r="AM238" s="3" t="n"/>
      <c r="AN238" s="3" t="n"/>
      <c r="AO238" s="3" t="n"/>
      <c r="AP238" s="3">
        <f>SUM(AF238,AJ238,AK238,AL238,AM238,AN238,AO238,AG238,AH238)</f>
        <v/>
      </c>
      <c r="AQ238" s="3">
        <f>AE238-AP238</f>
        <v/>
      </c>
      <c r="AR238" s="3" t="n"/>
      <c r="AS238" s="3" t="n"/>
      <c r="AT238" s="3">
        <f>AR238-AS238</f>
        <v/>
      </c>
    </row>
    <row r="239">
      <c r="A239" s="2" t="n"/>
      <c r="B239" s="3" t="n"/>
      <c r="C239" s="4" t="n"/>
      <c r="D239" s="5" t="n"/>
      <c r="E239" s="3" t="n"/>
      <c r="F239" s="3">
        <f>IF(C239=0,0,IF(E239="",B239*D239/100,E239))</f>
        <v/>
      </c>
      <c r="G239" s="4" t="n"/>
      <c r="H239" s="5" t="n"/>
      <c r="I239" s="3" t="n"/>
      <c r="J239" s="3">
        <f>IF(G239=0,0,IF(I239="",B239*H239/100,I239))</f>
        <v/>
      </c>
      <c r="K239" s="4" t="n"/>
      <c r="L239" s="5" t="n"/>
      <c r="M239" s="3" t="n"/>
      <c r="N239" s="3">
        <f>IF(K239=0,0,IF(M239="",B239*L239/100,M239))</f>
        <v/>
      </c>
      <c r="O239" s="4" t="n"/>
      <c r="P239" s="5" t="n"/>
      <c r="Q239" s="3" t="n"/>
      <c r="R239" s="3">
        <f>IF(O239=0,0,IF(Q239="",B239*P239/100,Q239))</f>
        <v/>
      </c>
      <c r="S239" s="4" t="n"/>
      <c r="T239" s="5" t="n"/>
      <c r="U239" s="3" t="n"/>
      <c r="V239" s="3">
        <f>IF(S239=0,0,IF(U239="",B239*T239/100,U239))</f>
        <v/>
      </c>
      <c r="W239" s="4" t="n"/>
      <c r="X239" s="5" t="n"/>
      <c r="Y239" s="3" t="n"/>
      <c r="Z239" s="3">
        <f>IF(W239=0,0,IF(Y239="",B239*X239/100,Y239))</f>
        <v/>
      </c>
      <c r="AA239" s="3" t="n"/>
      <c r="AB239" s="3" t="n"/>
      <c r="AC239" s="3">
        <f>B239*0.035</f>
        <v/>
      </c>
      <c r="AD239" s="3">
        <f>B239*0.065</f>
        <v/>
      </c>
      <c r="AE239" s="3">
        <f>SUM(B239,F239,J239,N239,R239,V239,Z239,AA239,AB239,AC239,AD239)</f>
        <v/>
      </c>
      <c r="AF239" s="3">
        <f>B239*0.055</f>
        <v/>
      </c>
      <c r="AG239" s="3">
        <f>B239*0.035</f>
        <v/>
      </c>
      <c r="AH239" s="3">
        <f>B239*0.165</f>
        <v/>
      </c>
      <c r="AI239" s="3">
        <f>MAX(0,AE239-AF239-AH239)</f>
        <v/>
      </c>
      <c r="AJ239" s="3">
        <f>IF(AI239&lt;=490,0,IF(AI239&lt;=600,(AI239-490)*0.05,IF(AI239&lt;=730,5.5+(AI239-600)*0.10,IF(AI239&lt;=3896.67,18.5+(AI239-730)*0.175,IF(AI239&lt;=19896.67,572.67+(AI239-3896.67)*0.25,IF(AI239&lt;=50416.67,4572.67+(AI239-19896.67)*0.30,13728.67+(AI239-50416.67)*0.35))))))</f>
        <v/>
      </c>
      <c r="AK239" s="3" t="n"/>
      <c r="AL239" s="3" t="n"/>
      <c r="AM239" s="3" t="n"/>
      <c r="AN239" s="3" t="n"/>
      <c r="AO239" s="3" t="n"/>
      <c r="AP239" s="3">
        <f>SUM(AF239,AJ239,AK239,AL239,AM239,AN239,AO239,AG239,AH239)</f>
        <v/>
      </c>
      <c r="AQ239" s="3">
        <f>AE239-AP239</f>
        <v/>
      </c>
      <c r="AR239" s="3" t="n"/>
      <c r="AS239" s="3" t="n"/>
      <c r="AT239" s="3">
        <f>AR239-AS239</f>
        <v/>
      </c>
    </row>
    <row r="240">
      <c r="A240" s="2" t="n"/>
      <c r="B240" s="3" t="n"/>
      <c r="C240" s="4" t="n"/>
      <c r="D240" s="5" t="n"/>
      <c r="E240" s="3" t="n"/>
      <c r="F240" s="3">
        <f>IF(C240=0,0,IF(E240="",B240*D240/100,E240))</f>
        <v/>
      </c>
      <c r="G240" s="4" t="n"/>
      <c r="H240" s="5" t="n"/>
      <c r="I240" s="3" t="n"/>
      <c r="J240" s="3">
        <f>IF(G240=0,0,IF(I240="",B240*H240/100,I240))</f>
        <v/>
      </c>
      <c r="K240" s="4" t="n"/>
      <c r="L240" s="5" t="n"/>
      <c r="M240" s="3" t="n"/>
      <c r="N240" s="3">
        <f>IF(K240=0,0,IF(M240="",B240*L240/100,M240))</f>
        <v/>
      </c>
      <c r="O240" s="4" t="n"/>
      <c r="P240" s="5" t="n"/>
      <c r="Q240" s="3" t="n"/>
      <c r="R240" s="3">
        <f>IF(O240=0,0,IF(Q240="",B240*P240/100,Q240))</f>
        <v/>
      </c>
      <c r="S240" s="4" t="n"/>
      <c r="T240" s="5" t="n"/>
      <c r="U240" s="3" t="n"/>
      <c r="V240" s="3">
        <f>IF(S240=0,0,IF(U240="",B240*T240/100,U240))</f>
        <v/>
      </c>
      <c r="W240" s="4" t="n"/>
      <c r="X240" s="5" t="n"/>
      <c r="Y240" s="3" t="n"/>
      <c r="Z240" s="3">
        <f>IF(W240=0,0,IF(Y240="",B240*X240/100,Y240))</f>
        <v/>
      </c>
      <c r="AA240" s="3" t="n"/>
      <c r="AB240" s="3" t="n"/>
      <c r="AC240" s="3">
        <f>B240*0.035</f>
        <v/>
      </c>
      <c r="AD240" s="3">
        <f>B240*0.065</f>
        <v/>
      </c>
      <c r="AE240" s="3">
        <f>SUM(B240,F240,J240,N240,R240,V240,Z240,AA240,AB240,AC240,AD240)</f>
        <v/>
      </c>
      <c r="AF240" s="3">
        <f>B240*0.055</f>
        <v/>
      </c>
      <c r="AG240" s="3">
        <f>B240*0.035</f>
        <v/>
      </c>
      <c r="AH240" s="3">
        <f>B240*0.165</f>
        <v/>
      </c>
      <c r="AI240" s="3">
        <f>MAX(0,AE240-AF240-AH240)</f>
        <v/>
      </c>
      <c r="AJ240" s="3">
        <f>IF(AI240&lt;=490,0,IF(AI240&lt;=600,(AI240-490)*0.05,IF(AI240&lt;=730,5.5+(AI240-600)*0.10,IF(AI240&lt;=3896.67,18.5+(AI240-730)*0.175,IF(AI240&lt;=19896.67,572.67+(AI240-3896.67)*0.25,IF(AI240&lt;=50416.67,4572.67+(AI240-19896.67)*0.30,13728.67+(AI240-50416.67)*0.35))))))</f>
        <v/>
      </c>
      <c r="AK240" s="3" t="n"/>
      <c r="AL240" s="3" t="n"/>
      <c r="AM240" s="3" t="n"/>
      <c r="AN240" s="3" t="n"/>
      <c r="AO240" s="3" t="n"/>
      <c r="AP240" s="3">
        <f>SUM(AF240,AJ240,AK240,AL240,AM240,AN240,AO240,AG240,AH240)</f>
        <v/>
      </c>
      <c r="AQ240" s="3">
        <f>AE240-AP240</f>
        <v/>
      </c>
      <c r="AR240" s="3" t="n"/>
      <c r="AS240" s="3" t="n"/>
      <c r="AT240" s="3">
        <f>AR240-AS240</f>
        <v/>
      </c>
    </row>
    <row r="241">
      <c r="A241" s="2" t="n"/>
      <c r="B241" s="3" t="n"/>
      <c r="C241" s="4" t="n"/>
      <c r="D241" s="5" t="n"/>
      <c r="E241" s="3" t="n"/>
      <c r="F241" s="3">
        <f>IF(C241=0,0,IF(E241="",B241*D241/100,E241))</f>
        <v/>
      </c>
      <c r="G241" s="4" t="n"/>
      <c r="H241" s="5" t="n"/>
      <c r="I241" s="3" t="n"/>
      <c r="J241" s="3">
        <f>IF(G241=0,0,IF(I241="",B241*H241/100,I241))</f>
        <v/>
      </c>
      <c r="K241" s="4" t="n"/>
      <c r="L241" s="5" t="n"/>
      <c r="M241" s="3" t="n"/>
      <c r="N241" s="3">
        <f>IF(K241=0,0,IF(M241="",B241*L241/100,M241))</f>
        <v/>
      </c>
      <c r="O241" s="4" t="n"/>
      <c r="P241" s="5" t="n"/>
      <c r="Q241" s="3" t="n"/>
      <c r="R241" s="3">
        <f>IF(O241=0,0,IF(Q241="",B241*P241/100,Q241))</f>
        <v/>
      </c>
      <c r="S241" s="4" t="n"/>
      <c r="T241" s="5" t="n"/>
      <c r="U241" s="3" t="n"/>
      <c r="V241" s="3">
        <f>IF(S241=0,0,IF(U241="",B241*T241/100,U241))</f>
        <v/>
      </c>
      <c r="W241" s="4" t="n"/>
      <c r="X241" s="5" t="n"/>
      <c r="Y241" s="3" t="n"/>
      <c r="Z241" s="3">
        <f>IF(W241=0,0,IF(Y241="",B241*X241/100,Y241))</f>
        <v/>
      </c>
      <c r="AA241" s="3" t="n"/>
      <c r="AB241" s="3" t="n"/>
      <c r="AC241" s="3">
        <f>B241*0.035</f>
        <v/>
      </c>
      <c r="AD241" s="3">
        <f>B241*0.065</f>
        <v/>
      </c>
      <c r="AE241" s="3">
        <f>SUM(B241,F241,J241,N241,R241,V241,Z241,AA241,AB241,AC241,AD241)</f>
        <v/>
      </c>
      <c r="AF241" s="3">
        <f>B241*0.055</f>
        <v/>
      </c>
      <c r="AG241" s="3">
        <f>B241*0.035</f>
        <v/>
      </c>
      <c r="AH241" s="3">
        <f>B241*0.165</f>
        <v/>
      </c>
      <c r="AI241" s="3">
        <f>MAX(0,AE241-AF241-AH241)</f>
        <v/>
      </c>
      <c r="AJ241" s="3">
        <f>IF(AI241&lt;=490,0,IF(AI241&lt;=600,(AI241-490)*0.05,IF(AI241&lt;=730,5.5+(AI241-600)*0.10,IF(AI241&lt;=3896.67,18.5+(AI241-730)*0.175,IF(AI241&lt;=19896.67,572.67+(AI241-3896.67)*0.25,IF(AI241&lt;=50416.67,4572.67+(AI241-19896.67)*0.30,13728.67+(AI241-50416.67)*0.35))))))</f>
        <v/>
      </c>
      <c r="AK241" s="3" t="n"/>
      <c r="AL241" s="3" t="n"/>
      <c r="AM241" s="3" t="n"/>
      <c r="AN241" s="3" t="n"/>
      <c r="AO241" s="3" t="n"/>
      <c r="AP241" s="3">
        <f>SUM(AF241,AJ241,AK241,AL241,AM241,AN241,AO241,AG241,AH241)</f>
        <v/>
      </c>
      <c r="AQ241" s="3">
        <f>AE241-AP241</f>
        <v/>
      </c>
      <c r="AR241" s="3" t="n"/>
      <c r="AS241" s="3" t="n"/>
      <c r="AT241" s="3">
        <f>AR241-AS241</f>
        <v/>
      </c>
    </row>
    <row r="242">
      <c r="A242" s="2" t="n"/>
      <c r="B242" s="3" t="n"/>
      <c r="C242" s="4" t="n"/>
      <c r="D242" s="5" t="n"/>
      <c r="E242" s="3" t="n"/>
      <c r="F242" s="3">
        <f>IF(C242=0,0,IF(E242="",B242*D242/100,E242))</f>
        <v/>
      </c>
      <c r="G242" s="4" t="n"/>
      <c r="H242" s="5" t="n"/>
      <c r="I242" s="3" t="n"/>
      <c r="J242" s="3">
        <f>IF(G242=0,0,IF(I242="",B242*H242/100,I242))</f>
        <v/>
      </c>
      <c r="K242" s="4" t="n"/>
      <c r="L242" s="5" t="n"/>
      <c r="M242" s="3" t="n"/>
      <c r="N242" s="3">
        <f>IF(K242=0,0,IF(M242="",B242*L242/100,M242))</f>
        <v/>
      </c>
      <c r="O242" s="4" t="n"/>
      <c r="P242" s="5" t="n"/>
      <c r="Q242" s="3" t="n"/>
      <c r="R242" s="3">
        <f>IF(O242=0,0,IF(Q242="",B242*P242/100,Q242))</f>
        <v/>
      </c>
      <c r="S242" s="4" t="n"/>
      <c r="T242" s="5" t="n"/>
      <c r="U242" s="3" t="n"/>
      <c r="V242" s="3">
        <f>IF(S242=0,0,IF(U242="",B242*T242/100,U242))</f>
        <v/>
      </c>
      <c r="W242" s="4" t="n"/>
      <c r="X242" s="5" t="n"/>
      <c r="Y242" s="3" t="n"/>
      <c r="Z242" s="3">
        <f>IF(W242=0,0,IF(Y242="",B242*X242/100,Y242))</f>
        <v/>
      </c>
      <c r="AA242" s="3" t="n"/>
      <c r="AB242" s="3" t="n"/>
      <c r="AC242" s="3">
        <f>B242*0.035</f>
        <v/>
      </c>
      <c r="AD242" s="3">
        <f>B242*0.065</f>
        <v/>
      </c>
      <c r="AE242" s="3">
        <f>SUM(B242,F242,J242,N242,R242,V242,Z242,AA242,AB242,AC242,AD242)</f>
        <v/>
      </c>
      <c r="AF242" s="3">
        <f>B242*0.055</f>
        <v/>
      </c>
      <c r="AG242" s="3">
        <f>B242*0.035</f>
        <v/>
      </c>
      <c r="AH242" s="3">
        <f>B242*0.165</f>
        <v/>
      </c>
      <c r="AI242" s="3">
        <f>MAX(0,AE242-AF242-AH242)</f>
        <v/>
      </c>
      <c r="AJ242" s="3">
        <f>IF(AI242&lt;=490,0,IF(AI242&lt;=600,(AI242-490)*0.05,IF(AI242&lt;=730,5.5+(AI242-600)*0.10,IF(AI242&lt;=3896.67,18.5+(AI242-730)*0.175,IF(AI242&lt;=19896.67,572.67+(AI242-3896.67)*0.25,IF(AI242&lt;=50416.67,4572.67+(AI242-19896.67)*0.30,13728.67+(AI242-50416.67)*0.35))))))</f>
        <v/>
      </c>
      <c r="AK242" s="3" t="n"/>
      <c r="AL242" s="3" t="n"/>
      <c r="AM242" s="3" t="n"/>
      <c r="AN242" s="3" t="n"/>
      <c r="AO242" s="3" t="n"/>
      <c r="AP242" s="3">
        <f>SUM(AF242,AJ242,AK242,AL242,AM242,AN242,AO242,AG242,AH242)</f>
        <v/>
      </c>
      <c r="AQ242" s="3">
        <f>AE242-AP242</f>
        <v/>
      </c>
      <c r="AR242" s="3" t="n"/>
      <c r="AS242" s="3" t="n"/>
      <c r="AT242" s="3">
        <f>AR242-AS242</f>
        <v/>
      </c>
    </row>
    <row r="243">
      <c r="A243" s="2" t="n"/>
      <c r="B243" s="3" t="n"/>
      <c r="C243" s="4" t="n"/>
      <c r="D243" s="5" t="n"/>
      <c r="E243" s="3" t="n"/>
      <c r="F243" s="3">
        <f>IF(C243=0,0,IF(E243="",B243*D243/100,E243))</f>
        <v/>
      </c>
      <c r="G243" s="4" t="n"/>
      <c r="H243" s="5" t="n"/>
      <c r="I243" s="3" t="n"/>
      <c r="J243" s="3">
        <f>IF(G243=0,0,IF(I243="",B243*H243/100,I243))</f>
        <v/>
      </c>
      <c r="K243" s="4" t="n"/>
      <c r="L243" s="5" t="n"/>
      <c r="M243" s="3" t="n"/>
      <c r="N243" s="3">
        <f>IF(K243=0,0,IF(M243="",B243*L243/100,M243))</f>
        <v/>
      </c>
      <c r="O243" s="4" t="n"/>
      <c r="P243" s="5" t="n"/>
      <c r="Q243" s="3" t="n"/>
      <c r="R243" s="3">
        <f>IF(O243=0,0,IF(Q243="",B243*P243/100,Q243))</f>
        <v/>
      </c>
      <c r="S243" s="4" t="n"/>
      <c r="T243" s="5" t="n"/>
      <c r="U243" s="3" t="n"/>
      <c r="V243" s="3">
        <f>IF(S243=0,0,IF(U243="",B243*T243/100,U243))</f>
        <v/>
      </c>
      <c r="W243" s="4" t="n"/>
      <c r="X243" s="5" t="n"/>
      <c r="Y243" s="3" t="n"/>
      <c r="Z243" s="3">
        <f>IF(W243=0,0,IF(Y243="",B243*X243/100,Y243))</f>
        <v/>
      </c>
      <c r="AA243" s="3" t="n"/>
      <c r="AB243" s="3" t="n"/>
      <c r="AC243" s="3">
        <f>B243*0.035</f>
        <v/>
      </c>
      <c r="AD243" s="3">
        <f>B243*0.065</f>
        <v/>
      </c>
      <c r="AE243" s="3">
        <f>SUM(B243,F243,J243,N243,R243,V243,Z243,AA243,AB243,AC243,AD243)</f>
        <v/>
      </c>
      <c r="AF243" s="3">
        <f>B243*0.055</f>
        <v/>
      </c>
      <c r="AG243" s="3">
        <f>B243*0.035</f>
        <v/>
      </c>
      <c r="AH243" s="3">
        <f>B243*0.165</f>
        <v/>
      </c>
      <c r="AI243" s="3">
        <f>MAX(0,AE243-AF243-AH243)</f>
        <v/>
      </c>
      <c r="AJ243" s="3">
        <f>IF(AI243&lt;=490,0,IF(AI243&lt;=600,(AI243-490)*0.05,IF(AI243&lt;=730,5.5+(AI243-600)*0.10,IF(AI243&lt;=3896.67,18.5+(AI243-730)*0.175,IF(AI243&lt;=19896.67,572.67+(AI243-3896.67)*0.25,IF(AI243&lt;=50416.67,4572.67+(AI243-19896.67)*0.30,13728.67+(AI243-50416.67)*0.35))))))</f>
        <v/>
      </c>
      <c r="AK243" s="3" t="n"/>
      <c r="AL243" s="3" t="n"/>
      <c r="AM243" s="3" t="n"/>
      <c r="AN243" s="3" t="n"/>
      <c r="AO243" s="3" t="n"/>
      <c r="AP243" s="3">
        <f>SUM(AF243,AJ243,AK243,AL243,AM243,AN243,AO243,AG243,AH243)</f>
        <v/>
      </c>
      <c r="AQ243" s="3">
        <f>AE243-AP243</f>
        <v/>
      </c>
      <c r="AR243" s="3" t="n"/>
      <c r="AS243" s="3" t="n"/>
      <c r="AT243" s="3">
        <f>AR243-AS243</f>
        <v/>
      </c>
    </row>
    <row r="244">
      <c r="A244" s="2" t="n"/>
      <c r="B244" s="3" t="n"/>
      <c r="C244" s="4" t="n"/>
      <c r="D244" s="5" t="n"/>
      <c r="E244" s="3" t="n"/>
      <c r="F244" s="3">
        <f>IF(C244=0,0,IF(E244="",B244*D244/100,E244))</f>
        <v/>
      </c>
      <c r="G244" s="4" t="n"/>
      <c r="H244" s="5" t="n"/>
      <c r="I244" s="3" t="n"/>
      <c r="J244" s="3">
        <f>IF(G244=0,0,IF(I244="",B244*H244/100,I244))</f>
        <v/>
      </c>
      <c r="K244" s="4" t="n"/>
      <c r="L244" s="5" t="n"/>
      <c r="M244" s="3" t="n"/>
      <c r="N244" s="3">
        <f>IF(K244=0,0,IF(M244="",B244*L244/100,M244))</f>
        <v/>
      </c>
      <c r="O244" s="4" t="n"/>
      <c r="P244" s="5" t="n"/>
      <c r="Q244" s="3" t="n"/>
      <c r="R244" s="3">
        <f>IF(O244=0,0,IF(Q244="",B244*P244/100,Q244))</f>
        <v/>
      </c>
      <c r="S244" s="4" t="n"/>
      <c r="T244" s="5" t="n"/>
      <c r="U244" s="3" t="n"/>
      <c r="V244" s="3">
        <f>IF(S244=0,0,IF(U244="",B244*T244/100,U244))</f>
        <v/>
      </c>
      <c r="W244" s="4" t="n"/>
      <c r="X244" s="5" t="n"/>
      <c r="Y244" s="3" t="n"/>
      <c r="Z244" s="3">
        <f>IF(W244=0,0,IF(Y244="",B244*X244/100,Y244))</f>
        <v/>
      </c>
      <c r="AA244" s="3" t="n"/>
      <c r="AB244" s="3" t="n"/>
      <c r="AC244" s="3">
        <f>B244*0.035</f>
        <v/>
      </c>
      <c r="AD244" s="3">
        <f>B244*0.065</f>
        <v/>
      </c>
      <c r="AE244" s="3">
        <f>SUM(B244,F244,J244,N244,R244,V244,Z244,AA244,AB244,AC244,AD244)</f>
        <v/>
      </c>
      <c r="AF244" s="3">
        <f>B244*0.055</f>
        <v/>
      </c>
      <c r="AG244" s="3">
        <f>B244*0.035</f>
        <v/>
      </c>
      <c r="AH244" s="3">
        <f>B244*0.165</f>
        <v/>
      </c>
      <c r="AI244" s="3">
        <f>MAX(0,AE244-AF244-AH244)</f>
        <v/>
      </c>
      <c r="AJ244" s="3">
        <f>IF(AI244&lt;=490,0,IF(AI244&lt;=600,(AI244-490)*0.05,IF(AI244&lt;=730,5.5+(AI244-600)*0.10,IF(AI244&lt;=3896.67,18.5+(AI244-730)*0.175,IF(AI244&lt;=19896.67,572.67+(AI244-3896.67)*0.25,IF(AI244&lt;=50416.67,4572.67+(AI244-19896.67)*0.30,13728.67+(AI244-50416.67)*0.35))))))</f>
        <v/>
      </c>
      <c r="AK244" s="3" t="n"/>
      <c r="AL244" s="3" t="n"/>
      <c r="AM244" s="3" t="n"/>
      <c r="AN244" s="3" t="n"/>
      <c r="AO244" s="3" t="n"/>
      <c r="AP244" s="3">
        <f>SUM(AF244,AJ244,AK244,AL244,AM244,AN244,AO244,AG244,AH244)</f>
        <v/>
      </c>
      <c r="AQ244" s="3">
        <f>AE244-AP244</f>
        <v/>
      </c>
      <c r="AR244" s="3" t="n"/>
      <c r="AS244" s="3" t="n"/>
      <c r="AT244" s="3">
        <f>AR244-AS244</f>
        <v/>
      </c>
    </row>
    <row r="245">
      <c r="A245" s="2" t="n"/>
      <c r="B245" s="3" t="n"/>
      <c r="C245" s="4" t="n"/>
      <c r="D245" s="5" t="n"/>
      <c r="E245" s="3" t="n"/>
      <c r="F245" s="3">
        <f>IF(C245=0,0,IF(E245="",B245*D245/100,E245))</f>
        <v/>
      </c>
      <c r="G245" s="4" t="n"/>
      <c r="H245" s="5" t="n"/>
      <c r="I245" s="3" t="n"/>
      <c r="J245" s="3">
        <f>IF(G245=0,0,IF(I245="",B245*H245/100,I245))</f>
        <v/>
      </c>
      <c r="K245" s="4" t="n"/>
      <c r="L245" s="5" t="n"/>
      <c r="M245" s="3" t="n"/>
      <c r="N245" s="3">
        <f>IF(K245=0,0,IF(M245="",B245*L245/100,M245))</f>
        <v/>
      </c>
      <c r="O245" s="4" t="n"/>
      <c r="P245" s="5" t="n"/>
      <c r="Q245" s="3" t="n"/>
      <c r="R245" s="3">
        <f>IF(O245=0,0,IF(Q245="",B245*P245/100,Q245))</f>
        <v/>
      </c>
      <c r="S245" s="4" t="n"/>
      <c r="T245" s="5" t="n"/>
      <c r="U245" s="3" t="n"/>
      <c r="V245" s="3">
        <f>IF(S245=0,0,IF(U245="",B245*T245/100,U245))</f>
        <v/>
      </c>
      <c r="W245" s="4" t="n"/>
      <c r="X245" s="5" t="n"/>
      <c r="Y245" s="3" t="n"/>
      <c r="Z245" s="3">
        <f>IF(W245=0,0,IF(Y245="",B245*X245/100,Y245))</f>
        <v/>
      </c>
      <c r="AA245" s="3" t="n"/>
      <c r="AB245" s="3" t="n"/>
      <c r="AC245" s="3">
        <f>B245*0.035</f>
        <v/>
      </c>
      <c r="AD245" s="3">
        <f>B245*0.065</f>
        <v/>
      </c>
      <c r="AE245" s="3">
        <f>SUM(B245,F245,J245,N245,R245,V245,Z245,AA245,AB245,AC245,AD245)</f>
        <v/>
      </c>
      <c r="AF245" s="3">
        <f>B245*0.055</f>
        <v/>
      </c>
      <c r="AG245" s="3">
        <f>B245*0.035</f>
        <v/>
      </c>
      <c r="AH245" s="3">
        <f>B245*0.165</f>
        <v/>
      </c>
      <c r="AI245" s="3">
        <f>MAX(0,AE245-AF245-AH245)</f>
        <v/>
      </c>
      <c r="AJ245" s="3">
        <f>IF(AI245&lt;=490,0,IF(AI245&lt;=600,(AI245-490)*0.05,IF(AI245&lt;=730,5.5+(AI245-600)*0.10,IF(AI245&lt;=3896.67,18.5+(AI245-730)*0.175,IF(AI245&lt;=19896.67,572.67+(AI245-3896.67)*0.25,IF(AI245&lt;=50416.67,4572.67+(AI245-19896.67)*0.30,13728.67+(AI245-50416.67)*0.35))))))</f>
        <v/>
      </c>
      <c r="AK245" s="3" t="n"/>
      <c r="AL245" s="3" t="n"/>
      <c r="AM245" s="3" t="n"/>
      <c r="AN245" s="3" t="n"/>
      <c r="AO245" s="3" t="n"/>
      <c r="AP245" s="3">
        <f>SUM(AF245,AJ245,AK245,AL245,AM245,AN245,AO245,AG245,AH245)</f>
        <v/>
      </c>
      <c r="AQ245" s="3">
        <f>AE245-AP245</f>
        <v/>
      </c>
      <c r="AR245" s="3" t="n"/>
      <c r="AS245" s="3" t="n"/>
      <c r="AT245" s="3">
        <f>AR245-AS245</f>
        <v/>
      </c>
    </row>
    <row r="246">
      <c r="A246" s="2" t="n"/>
      <c r="B246" s="3" t="n"/>
      <c r="C246" s="4" t="n"/>
      <c r="D246" s="5" t="n"/>
      <c r="E246" s="3" t="n"/>
      <c r="F246" s="3">
        <f>IF(C246=0,0,IF(E246="",B246*D246/100,E246))</f>
        <v/>
      </c>
      <c r="G246" s="4" t="n"/>
      <c r="H246" s="5" t="n"/>
      <c r="I246" s="3" t="n"/>
      <c r="J246" s="3">
        <f>IF(G246=0,0,IF(I246="",B246*H246/100,I246))</f>
        <v/>
      </c>
      <c r="K246" s="4" t="n"/>
      <c r="L246" s="5" t="n"/>
      <c r="M246" s="3" t="n"/>
      <c r="N246" s="3">
        <f>IF(K246=0,0,IF(M246="",B246*L246/100,M246))</f>
        <v/>
      </c>
      <c r="O246" s="4" t="n"/>
      <c r="P246" s="5" t="n"/>
      <c r="Q246" s="3" t="n"/>
      <c r="R246" s="3">
        <f>IF(O246=0,0,IF(Q246="",B246*P246/100,Q246))</f>
        <v/>
      </c>
      <c r="S246" s="4" t="n"/>
      <c r="T246" s="5" t="n"/>
      <c r="U246" s="3" t="n"/>
      <c r="V246" s="3">
        <f>IF(S246=0,0,IF(U246="",B246*T246/100,U246))</f>
        <v/>
      </c>
      <c r="W246" s="4" t="n"/>
      <c r="X246" s="5" t="n"/>
      <c r="Y246" s="3" t="n"/>
      <c r="Z246" s="3">
        <f>IF(W246=0,0,IF(Y246="",B246*X246/100,Y246))</f>
        <v/>
      </c>
      <c r="AA246" s="3" t="n"/>
      <c r="AB246" s="3" t="n"/>
      <c r="AC246" s="3">
        <f>B246*0.035</f>
        <v/>
      </c>
      <c r="AD246" s="3">
        <f>B246*0.065</f>
        <v/>
      </c>
      <c r="AE246" s="3">
        <f>SUM(B246,F246,J246,N246,R246,V246,Z246,AA246,AB246,AC246,AD246)</f>
        <v/>
      </c>
      <c r="AF246" s="3">
        <f>B246*0.055</f>
        <v/>
      </c>
      <c r="AG246" s="3">
        <f>B246*0.035</f>
        <v/>
      </c>
      <c r="AH246" s="3">
        <f>B246*0.165</f>
        <v/>
      </c>
      <c r="AI246" s="3">
        <f>MAX(0,AE246-AF246-AH246)</f>
        <v/>
      </c>
      <c r="AJ246" s="3">
        <f>IF(AI246&lt;=490,0,IF(AI246&lt;=600,(AI246-490)*0.05,IF(AI246&lt;=730,5.5+(AI246-600)*0.10,IF(AI246&lt;=3896.67,18.5+(AI246-730)*0.175,IF(AI246&lt;=19896.67,572.67+(AI246-3896.67)*0.25,IF(AI246&lt;=50416.67,4572.67+(AI246-19896.67)*0.30,13728.67+(AI246-50416.67)*0.35))))))</f>
        <v/>
      </c>
      <c r="AK246" s="3" t="n"/>
      <c r="AL246" s="3" t="n"/>
      <c r="AM246" s="3" t="n"/>
      <c r="AN246" s="3" t="n"/>
      <c r="AO246" s="3" t="n"/>
      <c r="AP246" s="3">
        <f>SUM(AF246,AJ246,AK246,AL246,AM246,AN246,AO246,AG246,AH246)</f>
        <v/>
      </c>
      <c r="AQ246" s="3">
        <f>AE246-AP246</f>
        <v/>
      </c>
      <c r="AR246" s="3" t="n"/>
      <c r="AS246" s="3" t="n"/>
      <c r="AT246" s="3">
        <f>AR246-AS246</f>
        <v/>
      </c>
    </row>
    <row r="247">
      <c r="A247" s="2" t="n"/>
      <c r="B247" s="3" t="n"/>
      <c r="C247" s="4" t="n"/>
      <c r="D247" s="5" t="n"/>
      <c r="E247" s="3" t="n"/>
      <c r="F247" s="3">
        <f>IF(C247=0,0,IF(E247="",B247*D247/100,E247))</f>
        <v/>
      </c>
      <c r="G247" s="4" t="n"/>
      <c r="H247" s="5" t="n"/>
      <c r="I247" s="3" t="n"/>
      <c r="J247" s="3">
        <f>IF(G247=0,0,IF(I247="",B247*H247/100,I247))</f>
        <v/>
      </c>
      <c r="K247" s="4" t="n"/>
      <c r="L247" s="5" t="n"/>
      <c r="M247" s="3" t="n"/>
      <c r="N247" s="3">
        <f>IF(K247=0,0,IF(M247="",B247*L247/100,M247))</f>
        <v/>
      </c>
      <c r="O247" s="4" t="n"/>
      <c r="P247" s="5" t="n"/>
      <c r="Q247" s="3" t="n"/>
      <c r="R247" s="3">
        <f>IF(O247=0,0,IF(Q247="",B247*P247/100,Q247))</f>
        <v/>
      </c>
      <c r="S247" s="4" t="n"/>
      <c r="T247" s="5" t="n"/>
      <c r="U247" s="3" t="n"/>
      <c r="V247" s="3">
        <f>IF(S247=0,0,IF(U247="",B247*T247/100,U247))</f>
        <v/>
      </c>
      <c r="W247" s="4" t="n"/>
      <c r="X247" s="5" t="n"/>
      <c r="Y247" s="3" t="n"/>
      <c r="Z247" s="3">
        <f>IF(W247=0,0,IF(Y247="",B247*X247/100,Y247))</f>
        <v/>
      </c>
      <c r="AA247" s="3" t="n"/>
      <c r="AB247" s="3" t="n"/>
      <c r="AC247" s="3">
        <f>B247*0.035</f>
        <v/>
      </c>
      <c r="AD247" s="3">
        <f>B247*0.065</f>
        <v/>
      </c>
      <c r="AE247" s="3">
        <f>SUM(B247,F247,J247,N247,R247,V247,Z247,AA247,AB247,AC247,AD247)</f>
        <v/>
      </c>
      <c r="AF247" s="3">
        <f>B247*0.055</f>
        <v/>
      </c>
      <c r="AG247" s="3">
        <f>B247*0.035</f>
        <v/>
      </c>
      <c r="AH247" s="3">
        <f>B247*0.165</f>
        <v/>
      </c>
      <c r="AI247" s="3">
        <f>MAX(0,AE247-AF247-AH247)</f>
        <v/>
      </c>
      <c r="AJ247" s="3">
        <f>IF(AI247&lt;=490,0,IF(AI247&lt;=600,(AI247-490)*0.05,IF(AI247&lt;=730,5.5+(AI247-600)*0.10,IF(AI247&lt;=3896.67,18.5+(AI247-730)*0.175,IF(AI247&lt;=19896.67,572.67+(AI247-3896.67)*0.25,IF(AI247&lt;=50416.67,4572.67+(AI247-19896.67)*0.30,13728.67+(AI247-50416.67)*0.35))))))</f>
        <v/>
      </c>
      <c r="AK247" s="3" t="n"/>
      <c r="AL247" s="3" t="n"/>
      <c r="AM247" s="3" t="n"/>
      <c r="AN247" s="3" t="n"/>
      <c r="AO247" s="3" t="n"/>
      <c r="AP247" s="3">
        <f>SUM(AF247,AJ247,AK247,AL247,AM247,AN247,AO247,AG247,AH247)</f>
        <v/>
      </c>
      <c r="AQ247" s="3">
        <f>AE247-AP247</f>
        <v/>
      </c>
      <c r="AR247" s="3" t="n"/>
      <c r="AS247" s="3" t="n"/>
      <c r="AT247" s="3">
        <f>AR247-AS247</f>
        <v/>
      </c>
    </row>
    <row r="248">
      <c r="A248" s="2" t="n"/>
      <c r="B248" s="3" t="n"/>
      <c r="C248" s="4" t="n"/>
      <c r="D248" s="5" t="n"/>
      <c r="E248" s="3" t="n"/>
      <c r="F248" s="3">
        <f>IF(C248=0,0,IF(E248="",B248*D248/100,E248))</f>
        <v/>
      </c>
      <c r="G248" s="4" t="n"/>
      <c r="H248" s="5" t="n"/>
      <c r="I248" s="3" t="n"/>
      <c r="J248" s="3">
        <f>IF(G248=0,0,IF(I248="",B248*H248/100,I248))</f>
        <v/>
      </c>
      <c r="K248" s="4" t="n"/>
      <c r="L248" s="5" t="n"/>
      <c r="M248" s="3" t="n"/>
      <c r="N248" s="3">
        <f>IF(K248=0,0,IF(M248="",B248*L248/100,M248))</f>
        <v/>
      </c>
      <c r="O248" s="4" t="n"/>
      <c r="P248" s="5" t="n"/>
      <c r="Q248" s="3" t="n"/>
      <c r="R248" s="3">
        <f>IF(O248=0,0,IF(Q248="",B248*P248/100,Q248))</f>
        <v/>
      </c>
      <c r="S248" s="4" t="n"/>
      <c r="T248" s="5" t="n"/>
      <c r="U248" s="3" t="n"/>
      <c r="V248" s="3">
        <f>IF(S248=0,0,IF(U248="",B248*T248/100,U248))</f>
        <v/>
      </c>
      <c r="W248" s="4" t="n"/>
      <c r="X248" s="5" t="n"/>
      <c r="Y248" s="3" t="n"/>
      <c r="Z248" s="3">
        <f>IF(W248=0,0,IF(Y248="",B248*X248/100,Y248))</f>
        <v/>
      </c>
      <c r="AA248" s="3" t="n"/>
      <c r="AB248" s="3" t="n"/>
      <c r="AC248" s="3">
        <f>B248*0.035</f>
        <v/>
      </c>
      <c r="AD248" s="3">
        <f>B248*0.065</f>
        <v/>
      </c>
      <c r="AE248" s="3">
        <f>SUM(B248,F248,J248,N248,R248,V248,Z248,AA248,AB248,AC248,AD248)</f>
        <v/>
      </c>
      <c r="AF248" s="3">
        <f>B248*0.055</f>
        <v/>
      </c>
      <c r="AG248" s="3">
        <f>B248*0.035</f>
        <v/>
      </c>
      <c r="AH248" s="3">
        <f>B248*0.165</f>
        <v/>
      </c>
      <c r="AI248" s="3">
        <f>MAX(0,AE248-AF248-AH248)</f>
        <v/>
      </c>
      <c r="AJ248" s="3">
        <f>IF(AI248&lt;=490,0,IF(AI248&lt;=600,(AI248-490)*0.05,IF(AI248&lt;=730,5.5+(AI248-600)*0.10,IF(AI248&lt;=3896.67,18.5+(AI248-730)*0.175,IF(AI248&lt;=19896.67,572.67+(AI248-3896.67)*0.25,IF(AI248&lt;=50416.67,4572.67+(AI248-19896.67)*0.30,13728.67+(AI248-50416.67)*0.35))))))</f>
        <v/>
      </c>
      <c r="AK248" s="3" t="n"/>
      <c r="AL248" s="3" t="n"/>
      <c r="AM248" s="3" t="n"/>
      <c r="AN248" s="3" t="n"/>
      <c r="AO248" s="3" t="n"/>
      <c r="AP248" s="3">
        <f>SUM(AF248,AJ248,AK248,AL248,AM248,AN248,AO248,AG248,AH248)</f>
        <v/>
      </c>
      <c r="AQ248" s="3">
        <f>AE248-AP248</f>
        <v/>
      </c>
      <c r="AR248" s="3" t="n"/>
      <c r="AS248" s="3" t="n"/>
      <c r="AT248" s="3">
        <f>AR248-AS248</f>
        <v/>
      </c>
    </row>
    <row r="249">
      <c r="A249" s="2" t="n"/>
      <c r="B249" s="3" t="n"/>
      <c r="C249" s="4" t="n"/>
      <c r="D249" s="5" t="n"/>
      <c r="E249" s="3" t="n"/>
      <c r="F249" s="3">
        <f>IF(C249=0,0,IF(E249="",B249*D249/100,E249))</f>
        <v/>
      </c>
      <c r="G249" s="4" t="n"/>
      <c r="H249" s="5" t="n"/>
      <c r="I249" s="3" t="n"/>
      <c r="J249" s="3">
        <f>IF(G249=0,0,IF(I249="",B249*H249/100,I249))</f>
        <v/>
      </c>
      <c r="K249" s="4" t="n"/>
      <c r="L249" s="5" t="n"/>
      <c r="M249" s="3" t="n"/>
      <c r="N249" s="3">
        <f>IF(K249=0,0,IF(M249="",B249*L249/100,M249))</f>
        <v/>
      </c>
      <c r="O249" s="4" t="n"/>
      <c r="P249" s="5" t="n"/>
      <c r="Q249" s="3" t="n"/>
      <c r="R249" s="3">
        <f>IF(O249=0,0,IF(Q249="",B249*P249/100,Q249))</f>
        <v/>
      </c>
      <c r="S249" s="4" t="n"/>
      <c r="T249" s="5" t="n"/>
      <c r="U249" s="3" t="n"/>
      <c r="V249" s="3">
        <f>IF(S249=0,0,IF(U249="",B249*T249/100,U249))</f>
        <v/>
      </c>
      <c r="W249" s="4" t="n"/>
      <c r="X249" s="5" t="n"/>
      <c r="Y249" s="3" t="n"/>
      <c r="Z249" s="3">
        <f>IF(W249=0,0,IF(Y249="",B249*X249/100,Y249))</f>
        <v/>
      </c>
      <c r="AA249" s="3" t="n"/>
      <c r="AB249" s="3" t="n"/>
      <c r="AC249" s="3">
        <f>B249*0.035</f>
        <v/>
      </c>
      <c r="AD249" s="3">
        <f>B249*0.065</f>
        <v/>
      </c>
      <c r="AE249" s="3">
        <f>SUM(B249,F249,J249,N249,R249,V249,Z249,AA249,AB249,AC249,AD249)</f>
        <v/>
      </c>
      <c r="AF249" s="3">
        <f>B249*0.055</f>
        <v/>
      </c>
      <c r="AG249" s="3">
        <f>B249*0.035</f>
        <v/>
      </c>
      <c r="AH249" s="3">
        <f>B249*0.165</f>
        <v/>
      </c>
      <c r="AI249" s="3">
        <f>MAX(0,AE249-AF249-AH249)</f>
        <v/>
      </c>
      <c r="AJ249" s="3">
        <f>IF(AI249&lt;=490,0,IF(AI249&lt;=600,(AI249-490)*0.05,IF(AI249&lt;=730,5.5+(AI249-600)*0.10,IF(AI249&lt;=3896.67,18.5+(AI249-730)*0.175,IF(AI249&lt;=19896.67,572.67+(AI249-3896.67)*0.25,IF(AI249&lt;=50416.67,4572.67+(AI249-19896.67)*0.30,13728.67+(AI249-50416.67)*0.35))))))</f>
        <v/>
      </c>
      <c r="AK249" s="3" t="n"/>
      <c r="AL249" s="3" t="n"/>
      <c r="AM249" s="3" t="n"/>
      <c r="AN249" s="3" t="n"/>
      <c r="AO249" s="3" t="n"/>
      <c r="AP249" s="3">
        <f>SUM(AF249,AJ249,AK249,AL249,AM249,AN249,AO249,AG249,AH249)</f>
        <v/>
      </c>
      <c r="AQ249" s="3">
        <f>AE249-AP249</f>
        <v/>
      </c>
      <c r="AR249" s="3" t="n"/>
      <c r="AS249" s="3" t="n"/>
      <c r="AT249" s="3">
        <f>AR249-AS249</f>
        <v/>
      </c>
    </row>
    <row r="250">
      <c r="A250" s="2" t="n"/>
      <c r="B250" s="3" t="n"/>
      <c r="C250" s="4" t="n"/>
      <c r="D250" s="5" t="n"/>
      <c r="E250" s="3" t="n"/>
      <c r="F250" s="3">
        <f>IF(C250=0,0,IF(E250="",B250*D250/100,E250))</f>
        <v/>
      </c>
      <c r="G250" s="4" t="n"/>
      <c r="H250" s="5" t="n"/>
      <c r="I250" s="3" t="n"/>
      <c r="J250" s="3">
        <f>IF(G250=0,0,IF(I250="",B250*H250/100,I250))</f>
        <v/>
      </c>
      <c r="K250" s="4" t="n"/>
      <c r="L250" s="5" t="n"/>
      <c r="M250" s="3" t="n"/>
      <c r="N250" s="3">
        <f>IF(K250=0,0,IF(M250="",B250*L250/100,M250))</f>
        <v/>
      </c>
      <c r="O250" s="4" t="n"/>
      <c r="P250" s="5" t="n"/>
      <c r="Q250" s="3" t="n"/>
      <c r="R250" s="3">
        <f>IF(O250=0,0,IF(Q250="",B250*P250/100,Q250))</f>
        <v/>
      </c>
      <c r="S250" s="4" t="n"/>
      <c r="T250" s="5" t="n"/>
      <c r="U250" s="3" t="n"/>
      <c r="V250" s="3">
        <f>IF(S250=0,0,IF(U250="",B250*T250/100,U250))</f>
        <v/>
      </c>
      <c r="W250" s="4" t="n"/>
      <c r="X250" s="5" t="n"/>
      <c r="Y250" s="3" t="n"/>
      <c r="Z250" s="3">
        <f>IF(W250=0,0,IF(Y250="",B250*X250/100,Y250))</f>
        <v/>
      </c>
      <c r="AA250" s="3" t="n"/>
      <c r="AB250" s="3" t="n"/>
      <c r="AC250" s="3">
        <f>B250*0.035</f>
        <v/>
      </c>
      <c r="AD250" s="3">
        <f>B250*0.065</f>
        <v/>
      </c>
      <c r="AE250" s="3">
        <f>SUM(B250,F250,J250,N250,R250,V250,Z250,AA250,AB250,AC250,AD250)</f>
        <v/>
      </c>
      <c r="AF250" s="3">
        <f>B250*0.055</f>
        <v/>
      </c>
      <c r="AG250" s="3">
        <f>B250*0.035</f>
        <v/>
      </c>
      <c r="AH250" s="3">
        <f>B250*0.165</f>
        <v/>
      </c>
      <c r="AI250" s="3">
        <f>MAX(0,AE250-AF250-AH250)</f>
        <v/>
      </c>
      <c r="AJ250" s="3">
        <f>IF(AI250&lt;=490,0,IF(AI250&lt;=600,(AI250-490)*0.05,IF(AI250&lt;=730,5.5+(AI250-600)*0.10,IF(AI250&lt;=3896.67,18.5+(AI250-730)*0.175,IF(AI250&lt;=19896.67,572.67+(AI250-3896.67)*0.25,IF(AI250&lt;=50416.67,4572.67+(AI250-19896.67)*0.30,13728.67+(AI250-50416.67)*0.35))))))</f>
        <v/>
      </c>
      <c r="AK250" s="3" t="n"/>
      <c r="AL250" s="3" t="n"/>
      <c r="AM250" s="3" t="n"/>
      <c r="AN250" s="3" t="n"/>
      <c r="AO250" s="3" t="n"/>
      <c r="AP250" s="3">
        <f>SUM(AF250,AJ250,AK250,AL250,AM250,AN250,AO250,AG250,AH250)</f>
        <v/>
      </c>
      <c r="AQ250" s="3">
        <f>AE250-AP250</f>
        <v/>
      </c>
      <c r="AR250" s="3" t="n"/>
      <c r="AS250" s="3" t="n"/>
      <c r="AT250" s="3">
        <f>AR250-AS250</f>
        <v/>
      </c>
    </row>
    <row r="251">
      <c r="A251" s="2" t="n"/>
      <c r="B251" s="3" t="n"/>
      <c r="C251" s="4" t="n"/>
      <c r="D251" s="5" t="n"/>
      <c r="E251" s="3" t="n"/>
      <c r="F251" s="3">
        <f>IF(C251=0,0,IF(E251="",B251*D251/100,E251))</f>
        <v/>
      </c>
      <c r="G251" s="4" t="n"/>
      <c r="H251" s="5" t="n"/>
      <c r="I251" s="3" t="n"/>
      <c r="J251" s="3">
        <f>IF(G251=0,0,IF(I251="",B251*H251/100,I251))</f>
        <v/>
      </c>
      <c r="K251" s="4" t="n"/>
      <c r="L251" s="5" t="n"/>
      <c r="M251" s="3" t="n"/>
      <c r="N251" s="3">
        <f>IF(K251=0,0,IF(M251="",B251*L251/100,M251))</f>
        <v/>
      </c>
      <c r="O251" s="4" t="n"/>
      <c r="P251" s="5" t="n"/>
      <c r="Q251" s="3" t="n"/>
      <c r="R251" s="3">
        <f>IF(O251=0,0,IF(Q251="",B251*P251/100,Q251))</f>
        <v/>
      </c>
      <c r="S251" s="4" t="n"/>
      <c r="T251" s="5" t="n"/>
      <c r="U251" s="3" t="n"/>
      <c r="V251" s="3">
        <f>IF(S251=0,0,IF(U251="",B251*T251/100,U251))</f>
        <v/>
      </c>
      <c r="W251" s="4" t="n"/>
      <c r="X251" s="5" t="n"/>
      <c r="Y251" s="3" t="n"/>
      <c r="Z251" s="3">
        <f>IF(W251=0,0,IF(Y251="",B251*X251/100,Y251))</f>
        <v/>
      </c>
      <c r="AA251" s="3" t="n"/>
      <c r="AB251" s="3" t="n"/>
      <c r="AC251" s="3">
        <f>B251*0.035</f>
        <v/>
      </c>
      <c r="AD251" s="3">
        <f>B251*0.065</f>
        <v/>
      </c>
      <c r="AE251" s="3">
        <f>SUM(B251,F251,J251,N251,R251,V251,Z251,AA251,AB251,AC251,AD251)</f>
        <v/>
      </c>
      <c r="AF251" s="3">
        <f>B251*0.055</f>
        <v/>
      </c>
      <c r="AG251" s="3">
        <f>B251*0.035</f>
        <v/>
      </c>
      <c r="AH251" s="3">
        <f>B251*0.165</f>
        <v/>
      </c>
      <c r="AI251" s="3">
        <f>MAX(0,AE251-AF251-AH251)</f>
        <v/>
      </c>
      <c r="AJ251" s="3">
        <f>IF(AI251&lt;=490,0,IF(AI251&lt;=600,(AI251-490)*0.05,IF(AI251&lt;=730,5.5+(AI251-600)*0.10,IF(AI251&lt;=3896.67,18.5+(AI251-730)*0.175,IF(AI251&lt;=19896.67,572.67+(AI251-3896.67)*0.25,IF(AI251&lt;=50416.67,4572.67+(AI251-19896.67)*0.30,13728.67+(AI251-50416.67)*0.35))))))</f>
        <v/>
      </c>
      <c r="AK251" s="3" t="n"/>
      <c r="AL251" s="3" t="n"/>
      <c r="AM251" s="3" t="n"/>
      <c r="AN251" s="3" t="n"/>
      <c r="AO251" s="3" t="n"/>
      <c r="AP251" s="3">
        <f>SUM(AF251,AJ251,AK251,AL251,AM251,AN251,AO251,AG251,AH251)</f>
        <v/>
      </c>
      <c r="AQ251" s="3">
        <f>AE251-AP251</f>
        <v/>
      </c>
      <c r="AR251" s="3" t="n"/>
      <c r="AS251" s="3" t="n"/>
      <c r="AT251" s="3">
        <f>AR251-AS251</f>
        <v/>
      </c>
    </row>
    <row r="252">
      <c r="A252" s="2" t="n"/>
      <c r="B252" s="3" t="n"/>
      <c r="C252" s="4" t="n"/>
      <c r="D252" s="5" t="n"/>
      <c r="E252" s="3" t="n"/>
      <c r="F252" s="3">
        <f>IF(C252=0,0,IF(E252="",B252*D252/100,E252))</f>
        <v/>
      </c>
      <c r="G252" s="4" t="n"/>
      <c r="H252" s="5" t="n"/>
      <c r="I252" s="3" t="n"/>
      <c r="J252" s="3">
        <f>IF(G252=0,0,IF(I252="",B252*H252/100,I252))</f>
        <v/>
      </c>
      <c r="K252" s="4" t="n"/>
      <c r="L252" s="5" t="n"/>
      <c r="M252" s="3" t="n"/>
      <c r="N252" s="3">
        <f>IF(K252=0,0,IF(M252="",B252*L252/100,M252))</f>
        <v/>
      </c>
      <c r="O252" s="4" t="n"/>
      <c r="P252" s="5" t="n"/>
      <c r="Q252" s="3" t="n"/>
      <c r="R252" s="3">
        <f>IF(O252=0,0,IF(Q252="",B252*P252/100,Q252))</f>
        <v/>
      </c>
      <c r="S252" s="4" t="n"/>
      <c r="T252" s="5" t="n"/>
      <c r="U252" s="3" t="n"/>
      <c r="V252" s="3">
        <f>IF(S252=0,0,IF(U252="",B252*T252/100,U252))</f>
        <v/>
      </c>
      <c r="W252" s="4" t="n"/>
      <c r="X252" s="5" t="n"/>
      <c r="Y252" s="3" t="n"/>
      <c r="Z252" s="3">
        <f>IF(W252=0,0,IF(Y252="",B252*X252/100,Y252))</f>
        <v/>
      </c>
      <c r="AA252" s="3" t="n"/>
      <c r="AB252" s="3" t="n"/>
      <c r="AC252" s="3">
        <f>B252*0.035</f>
        <v/>
      </c>
      <c r="AD252" s="3">
        <f>B252*0.065</f>
        <v/>
      </c>
      <c r="AE252" s="3">
        <f>SUM(B252,F252,J252,N252,R252,V252,Z252,AA252,AB252,AC252,AD252)</f>
        <v/>
      </c>
      <c r="AF252" s="3">
        <f>B252*0.055</f>
        <v/>
      </c>
      <c r="AG252" s="3">
        <f>B252*0.035</f>
        <v/>
      </c>
      <c r="AH252" s="3">
        <f>B252*0.165</f>
        <v/>
      </c>
      <c r="AI252" s="3">
        <f>MAX(0,AE252-AF252-AH252)</f>
        <v/>
      </c>
      <c r="AJ252" s="3">
        <f>IF(AI252&lt;=490,0,IF(AI252&lt;=600,(AI252-490)*0.05,IF(AI252&lt;=730,5.5+(AI252-600)*0.10,IF(AI252&lt;=3896.67,18.5+(AI252-730)*0.175,IF(AI252&lt;=19896.67,572.67+(AI252-3896.67)*0.25,IF(AI252&lt;=50416.67,4572.67+(AI252-19896.67)*0.30,13728.67+(AI252-50416.67)*0.35))))))</f>
        <v/>
      </c>
      <c r="AK252" s="3" t="n"/>
      <c r="AL252" s="3" t="n"/>
      <c r="AM252" s="3" t="n"/>
      <c r="AN252" s="3" t="n"/>
      <c r="AO252" s="3" t="n"/>
      <c r="AP252" s="3">
        <f>SUM(AF252,AJ252,AK252,AL252,AM252,AN252,AO252,AG252,AH252)</f>
        <v/>
      </c>
      <c r="AQ252" s="3">
        <f>AE252-AP252</f>
        <v/>
      </c>
      <c r="AR252" s="3" t="n"/>
      <c r="AS252" s="3" t="n"/>
      <c r="AT252" s="3">
        <f>AR252-AS252</f>
        <v/>
      </c>
    </row>
    <row r="253">
      <c r="A253" s="2" t="n"/>
      <c r="B253" s="3" t="n"/>
      <c r="C253" s="4" t="n"/>
      <c r="D253" s="5" t="n"/>
      <c r="E253" s="3" t="n"/>
      <c r="F253" s="3">
        <f>IF(C253=0,0,IF(E253="",B253*D253/100,E253))</f>
        <v/>
      </c>
      <c r="G253" s="4" t="n"/>
      <c r="H253" s="5" t="n"/>
      <c r="I253" s="3" t="n"/>
      <c r="J253" s="3">
        <f>IF(G253=0,0,IF(I253="",B253*H253/100,I253))</f>
        <v/>
      </c>
      <c r="K253" s="4" t="n"/>
      <c r="L253" s="5" t="n"/>
      <c r="M253" s="3" t="n"/>
      <c r="N253" s="3">
        <f>IF(K253=0,0,IF(M253="",B253*L253/100,M253))</f>
        <v/>
      </c>
      <c r="O253" s="4" t="n"/>
      <c r="P253" s="5" t="n"/>
      <c r="Q253" s="3" t="n"/>
      <c r="R253" s="3">
        <f>IF(O253=0,0,IF(Q253="",B253*P253/100,Q253))</f>
        <v/>
      </c>
      <c r="S253" s="4" t="n"/>
      <c r="T253" s="5" t="n"/>
      <c r="U253" s="3" t="n"/>
      <c r="V253" s="3">
        <f>IF(S253=0,0,IF(U253="",B253*T253/100,U253))</f>
        <v/>
      </c>
      <c r="W253" s="4" t="n"/>
      <c r="X253" s="5" t="n"/>
      <c r="Y253" s="3" t="n"/>
      <c r="Z253" s="3">
        <f>IF(W253=0,0,IF(Y253="",B253*X253/100,Y253))</f>
        <v/>
      </c>
      <c r="AA253" s="3" t="n"/>
      <c r="AB253" s="3" t="n"/>
      <c r="AC253" s="3">
        <f>B253*0.035</f>
        <v/>
      </c>
      <c r="AD253" s="3">
        <f>B253*0.065</f>
        <v/>
      </c>
      <c r="AE253" s="3">
        <f>SUM(B253,F253,J253,N253,R253,V253,Z253,AA253,AB253,AC253,AD253)</f>
        <v/>
      </c>
      <c r="AF253" s="3">
        <f>B253*0.055</f>
        <v/>
      </c>
      <c r="AG253" s="3">
        <f>B253*0.035</f>
        <v/>
      </c>
      <c r="AH253" s="3">
        <f>B253*0.165</f>
        <v/>
      </c>
      <c r="AI253" s="3">
        <f>MAX(0,AE253-AF253-AH253)</f>
        <v/>
      </c>
      <c r="AJ253" s="3">
        <f>IF(AI253&lt;=490,0,IF(AI253&lt;=600,(AI253-490)*0.05,IF(AI253&lt;=730,5.5+(AI253-600)*0.10,IF(AI253&lt;=3896.67,18.5+(AI253-730)*0.175,IF(AI253&lt;=19896.67,572.67+(AI253-3896.67)*0.25,IF(AI253&lt;=50416.67,4572.67+(AI253-19896.67)*0.30,13728.67+(AI253-50416.67)*0.35))))))</f>
        <v/>
      </c>
      <c r="AK253" s="3" t="n"/>
      <c r="AL253" s="3" t="n"/>
      <c r="AM253" s="3" t="n"/>
      <c r="AN253" s="3" t="n"/>
      <c r="AO253" s="3" t="n"/>
      <c r="AP253" s="3">
        <f>SUM(AF253,AJ253,AK253,AL253,AM253,AN253,AO253,AG253,AH253)</f>
        <v/>
      </c>
      <c r="AQ253" s="3">
        <f>AE253-AP253</f>
        <v/>
      </c>
      <c r="AR253" s="3" t="n"/>
      <c r="AS253" s="3" t="n"/>
      <c r="AT253" s="3">
        <f>AR253-AS253</f>
        <v/>
      </c>
    </row>
    <row r="254">
      <c r="A254" s="2" t="n"/>
      <c r="B254" s="3" t="n"/>
      <c r="C254" s="4" t="n"/>
      <c r="D254" s="5" t="n"/>
      <c r="E254" s="3" t="n"/>
      <c r="F254" s="3">
        <f>IF(C254=0,0,IF(E254="",B254*D254/100,E254))</f>
        <v/>
      </c>
      <c r="G254" s="4" t="n"/>
      <c r="H254" s="5" t="n"/>
      <c r="I254" s="3" t="n"/>
      <c r="J254" s="3">
        <f>IF(G254=0,0,IF(I254="",B254*H254/100,I254))</f>
        <v/>
      </c>
      <c r="K254" s="4" t="n"/>
      <c r="L254" s="5" t="n"/>
      <c r="M254" s="3" t="n"/>
      <c r="N254" s="3">
        <f>IF(K254=0,0,IF(M254="",B254*L254/100,M254))</f>
        <v/>
      </c>
      <c r="O254" s="4" t="n"/>
      <c r="P254" s="5" t="n"/>
      <c r="Q254" s="3" t="n"/>
      <c r="R254" s="3">
        <f>IF(O254=0,0,IF(Q254="",B254*P254/100,Q254))</f>
        <v/>
      </c>
      <c r="S254" s="4" t="n"/>
      <c r="T254" s="5" t="n"/>
      <c r="U254" s="3" t="n"/>
      <c r="V254" s="3">
        <f>IF(S254=0,0,IF(U254="",B254*T254/100,U254))</f>
        <v/>
      </c>
      <c r="W254" s="4" t="n"/>
      <c r="X254" s="5" t="n"/>
      <c r="Y254" s="3" t="n"/>
      <c r="Z254" s="3">
        <f>IF(W254=0,0,IF(Y254="",B254*X254/100,Y254))</f>
        <v/>
      </c>
      <c r="AA254" s="3" t="n"/>
      <c r="AB254" s="3" t="n"/>
      <c r="AC254" s="3">
        <f>B254*0.035</f>
        <v/>
      </c>
      <c r="AD254" s="3">
        <f>B254*0.065</f>
        <v/>
      </c>
      <c r="AE254" s="3">
        <f>SUM(B254,F254,J254,N254,R254,V254,Z254,AA254,AB254,AC254,AD254)</f>
        <v/>
      </c>
      <c r="AF254" s="3">
        <f>B254*0.055</f>
        <v/>
      </c>
      <c r="AG254" s="3">
        <f>B254*0.035</f>
        <v/>
      </c>
      <c r="AH254" s="3">
        <f>B254*0.165</f>
        <v/>
      </c>
      <c r="AI254" s="3">
        <f>MAX(0,AE254-AF254-AH254)</f>
        <v/>
      </c>
      <c r="AJ254" s="3">
        <f>IF(AI254&lt;=490,0,IF(AI254&lt;=600,(AI254-490)*0.05,IF(AI254&lt;=730,5.5+(AI254-600)*0.10,IF(AI254&lt;=3896.67,18.5+(AI254-730)*0.175,IF(AI254&lt;=19896.67,572.67+(AI254-3896.67)*0.25,IF(AI254&lt;=50416.67,4572.67+(AI254-19896.67)*0.30,13728.67+(AI254-50416.67)*0.35))))))</f>
        <v/>
      </c>
      <c r="AK254" s="3" t="n"/>
      <c r="AL254" s="3" t="n"/>
      <c r="AM254" s="3" t="n"/>
      <c r="AN254" s="3" t="n"/>
      <c r="AO254" s="3" t="n"/>
      <c r="AP254" s="3">
        <f>SUM(AF254,AJ254,AK254,AL254,AM254,AN254,AO254,AG254,AH254)</f>
        <v/>
      </c>
      <c r="AQ254" s="3">
        <f>AE254-AP254</f>
        <v/>
      </c>
      <c r="AR254" s="3" t="n"/>
      <c r="AS254" s="3" t="n"/>
      <c r="AT254" s="3">
        <f>AR254-AS254</f>
        <v/>
      </c>
    </row>
    <row r="255">
      <c r="A255" s="2" t="n"/>
      <c r="B255" s="3" t="n"/>
      <c r="C255" s="4" t="n"/>
      <c r="D255" s="5" t="n"/>
      <c r="E255" s="3" t="n"/>
      <c r="F255" s="3">
        <f>IF(C255=0,0,IF(E255="",B255*D255/100,E255))</f>
        <v/>
      </c>
      <c r="G255" s="4" t="n"/>
      <c r="H255" s="5" t="n"/>
      <c r="I255" s="3" t="n"/>
      <c r="J255" s="3">
        <f>IF(G255=0,0,IF(I255="",B255*H255/100,I255))</f>
        <v/>
      </c>
      <c r="K255" s="4" t="n"/>
      <c r="L255" s="5" t="n"/>
      <c r="M255" s="3" t="n"/>
      <c r="N255" s="3">
        <f>IF(K255=0,0,IF(M255="",B255*L255/100,M255))</f>
        <v/>
      </c>
      <c r="O255" s="4" t="n"/>
      <c r="P255" s="5" t="n"/>
      <c r="Q255" s="3" t="n"/>
      <c r="R255" s="3">
        <f>IF(O255=0,0,IF(Q255="",B255*P255/100,Q255))</f>
        <v/>
      </c>
      <c r="S255" s="4" t="n"/>
      <c r="T255" s="5" t="n"/>
      <c r="U255" s="3" t="n"/>
      <c r="V255" s="3">
        <f>IF(S255=0,0,IF(U255="",B255*T255/100,U255))</f>
        <v/>
      </c>
      <c r="W255" s="4" t="n"/>
      <c r="X255" s="5" t="n"/>
      <c r="Y255" s="3" t="n"/>
      <c r="Z255" s="3">
        <f>IF(W255=0,0,IF(Y255="",B255*X255/100,Y255))</f>
        <v/>
      </c>
      <c r="AA255" s="3" t="n"/>
      <c r="AB255" s="3" t="n"/>
      <c r="AC255" s="3">
        <f>B255*0.035</f>
        <v/>
      </c>
      <c r="AD255" s="3">
        <f>B255*0.065</f>
        <v/>
      </c>
      <c r="AE255" s="3">
        <f>SUM(B255,F255,J255,N255,R255,V255,Z255,AA255,AB255,AC255,AD255)</f>
        <v/>
      </c>
      <c r="AF255" s="3">
        <f>B255*0.055</f>
        <v/>
      </c>
      <c r="AG255" s="3">
        <f>B255*0.035</f>
        <v/>
      </c>
      <c r="AH255" s="3">
        <f>B255*0.165</f>
        <v/>
      </c>
      <c r="AI255" s="3">
        <f>MAX(0,AE255-AF255-AH255)</f>
        <v/>
      </c>
      <c r="AJ255" s="3">
        <f>IF(AI255&lt;=490,0,IF(AI255&lt;=600,(AI255-490)*0.05,IF(AI255&lt;=730,5.5+(AI255-600)*0.10,IF(AI255&lt;=3896.67,18.5+(AI255-730)*0.175,IF(AI255&lt;=19896.67,572.67+(AI255-3896.67)*0.25,IF(AI255&lt;=50416.67,4572.67+(AI255-19896.67)*0.30,13728.67+(AI255-50416.67)*0.35))))))</f>
        <v/>
      </c>
      <c r="AK255" s="3" t="n"/>
      <c r="AL255" s="3" t="n"/>
      <c r="AM255" s="3" t="n"/>
      <c r="AN255" s="3" t="n"/>
      <c r="AO255" s="3" t="n"/>
      <c r="AP255" s="3">
        <f>SUM(AF255,AJ255,AK255,AL255,AM255,AN255,AO255,AG255,AH255)</f>
        <v/>
      </c>
      <c r="AQ255" s="3">
        <f>AE255-AP255</f>
        <v/>
      </c>
      <c r="AR255" s="3" t="n"/>
      <c r="AS255" s="3" t="n"/>
      <c r="AT255" s="3">
        <f>AR255-AS255</f>
        <v/>
      </c>
    </row>
    <row r="256">
      <c r="A256" s="2" t="n"/>
      <c r="B256" s="3" t="n"/>
      <c r="C256" s="4" t="n"/>
      <c r="D256" s="5" t="n"/>
      <c r="E256" s="3" t="n"/>
      <c r="F256" s="3">
        <f>IF(C256=0,0,IF(E256="",B256*D256/100,E256))</f>
        <v/>
      </c>
      <c r="G256" s="4" t="n"/>
      <c r="H256" s="5" t="n"/>
      <c r="I256" s="3" t="n"/>
      <c r="J256" s="3">
        <f>IF(G256=0,0,IF(I256="",B256*H256/100,I256))</f>
        <v/>
      </c>
      <c r="K256" s="4" t="n"/>
      <c r="L256" s="5" t="n"/>
      <c r="M256" s="3" t="n"/>
      <c r="N256" s="3">
        <f>IF(K256=0,0,IF(M256="",B256*L256/100,M256))</f>
        <v/>
      </c>
      <c r="O256" s="4" t="n"/>
      <c r="P256" s="5" t="n"/>
      <c r="Q256" s="3" t="n"/>
      <c r="R256" s="3">
        <f>IF(O256=0,0,IF(Q256="",B256*P256/100,Q256))</f>
        <v/>
      </c>
      <c r="S256" s="4" t="n"/>
      <c r="T256" s="5" t="n"/>
      <c r="U256" s="3" t="n"/>
      <c r="V256" s="3">
        <f>IF(S256=0,0,IF(U256="",B256*T256/100,U256))</f>
        <v/>
      </c>
      <c r="W256" s="4" t="n"/>
      <c r="X256" s="5" t="n"/>
      <c r="Y256" s="3" t="n"/>
      <c r="Z256" s="3">
        <f>IF(W256=0,0,IF(Y256="",B256*X256/100,Y256))</f>
        <v/>
      </c>
      <c r="AA256" s="3" t="n"/>
      <c r="AB256" s="3" t="n"/>
      <c r="AC256" s="3">
        <f>B256*0.035</f>
        <v/>
      </c>
      <c r="AD256" s="3">
        <f>B256*0.065</f>
        <v/>
      </c>
      <c r="AE256" s="3">
        <f>SUM(B256,F256,J256,N256,R256,V256,Z256,AA256,AB256,AC256,AD256)</f>
        <v/>
      </c>
      <c r="AF256" s="3">
        <f>B256*0.055</f>
        <v/>
      </c>
      <c r="AG256" s="3">
        <f>B256*0.035</f>
        <v/>
      </c>
      <c r="AH256" s="3">
        <f>B256*0.165</f>
        <v/>
      </c>
      <c r="AI256" s="3">
        <f>MAX(0,AE256-AF256-AH256)</f>
        <v/>
      </c>
      <c r="AJ256" s="3">
        <f>IF(AI256&lt;=490,0,IF(AI256&lt;=600,(AI256-490)*0.05,IF(AI256&lt;=730,5.5+(AI256-600)*0.10,IF(AI256&lt;=3896.67,18.5+(AI256-730)*0.175,IF(AI256&lt;=19896.67,572.67+(AI256-3896.67)*0.25,IF(AI256&lt;=50416.67,4572.67+(AI256-19896.67)*0.30,13728.67+(AI256-50416.67)*0.35))))))</f>
        <v/>
      </c>
      <c r="AK256" s="3" t="n"/>
      <c r="AL256" s="3" t="n"/>
      <c r="AM256" s="3" t="n"/>
      <c r="AN256" s="3" t="n"/>
      <c r="AO256" s="3" t="n"/>
      <c r="AP256" s="3">
        <f>SUM(AF256,AJ256,AK256,AL256,AM256,AN256,AO256,AG256,AH256)</f>
        <v/>
      </c>
      <c r="AQ256" s="3">
        <f>AE256-AP256</f>
        <v/>
      </c>
      <c r="AR256" s="3" t="n"/>
      <c r="AS256" s="3" t="n"/>
      <c r="AT256" s="3">
        <f>AR256-AS256</f>
        <v/>
      </c>
    </row>
    <row r="257">
      <c r="A257" s="2" t="n"/>
      <c r="B257" s="3" t="n"/>
      <c r="C257" s="4" t="n"/>
      <c r="D257" s="5" t="n"/>
      <c r="E257" s="3" t="n"/>
      <c r="F257" s="3">
        <f>IF(C257=0,0,IF(E257="",B257*D257/100,E257))</f>
        <v/>
      </c>
      <c r="G257" s="4" t="n"/>
      <c r="H257" s="5" t="n"/>
      <c r="I257" s="3" t="n"/>
      <c r="J257" s="3">
        <f>IF(G257=0,0,IF(I257="",B257*H257/100,I257))</f>
        <v/>
      </c>
      <c r="K257" s="4" t="n"/>
      <c r="L257" s="5" t="n"/>
      <c r="M257" s="3" t="n"/>
      <c r="N257" s="3">
        <f>IF(K257=0,0,IF(M257="",B257*L257/100,M257))</f>
        <v/>
      </c>
      <c r="O257" s="4" t="n"/>
      <c r="P257" s="5" t="n"/>
      <c r="Q257" s="3" t="n"/>
      <c r="R257" s="3">
        <f>IF(O257=0,0,IF(Q257="",B257*P257/100,Q257))</f>
        <v/>
      </c>
      <c r="S257" s="4" t="n"/>
      <c r="T257" s="5" t="n"/>
      <c r="U257" s="3" t="n"/>
      <c r="V257" s="3">
        <f>IF(S257=0,0,IF(U257="",B257*T257/100,U257))</f>
        <v/>
      </c>
      <c r="W257" s="4" t="n"/>
      <c r="X257" s="5" t="n"/>
      <c r="Y257" s="3" t="n"/>
      <c r="Z257" s="3">
        <f>IF(W257=0,0,IF(Y257="",B257*X257/100,Y257))</f>
        <v/>
      </c>
      <c r="AA257" s="3" t="n"/>
      <c r="AB257" s="3" t="n"/>
      <c r="AC257" s="3">
        <f>B257*0.035</f>
        <v/>
      </c>
      <c r="AD257" s="3">
        <f>B257*0.065</f>
        <v/>
      </c>
      <c r="AE257" s="3">
        <f>SUM(B257,F257,J257,N257,R257,V257,Z257,AA257,AB257,AC257,AD257)</f>
        <v/>
      </c>
      <c r="AF257" s="3">
        <f>B257*0.055</f>
        <v/>
      </c>
      <c r="AG257" s="3">
        <f>B257*0.035</f>
        <v/>
      </c>
      <c r="AH257" s="3">
        <f>B257*0.165</f>
        <v/>
      </c>
      <c r="AI257" s="3">
        <f>MAX(0,AE257-AF257-AH257)</f>
        <v/>
      </c>
      <c r="AJ257" s="3">
        <f>IF(AI257&lt;=490,0,IF(AI257&lt;=600,(AI257-490)*0.05,IF(AI257&lt;=730,5.5+(AI257-600)*0.10,IF(AI257&lt;=3896.67,18.5+(AI257-730)*0.175,IF(AI257&lt;=19896.67,572.67+(AI257-3896.67)*0.25,IF(AI257&lt;=50416.67,4572.67+(AI257-19896.67)*0.30,13728.67+(AI257-50416.67)*0.35))))))</f>
        <v/>
      </c>
      <c r="AK257" s="3" t="n"/>
      <c r="AL257" s="3" t="n"/>
      <c r="AM257" s="3" t="n"/>
      <c r="AN257" s="3" t="n"/>
      <c r="AO257" s="3" t="n"/>
      <c r="AP257" s="3">
        <f>SUM(AF257,AJ257,AK257,AL257,AM257,AN257,AO257,AG257,AH257)</f>
        <v/>
      </c>
      <c r="AQ257" s="3">
        <f>AE257-AP257</f>
        <v/>
      </c>
      <c r="AR257" s="3" t="n"/>
      <c r="AS257" s="3" t="n"/>
      <c r="AT257" s="3">
        <f>AR257-AS257</f>
        <v/>
      </c>
    </row>
    <row r="258">
      <c r="A258" s="2" t="n"/>
      <c r="B258" s="3" t="n"/>
      <c r="C258" s="4" t="n"/>
      <c r="D258" s="5" t="n"/>
      <c r="E258" s="3" t="n"/>
      <c r="F258" s="3">
        <f>IF(C258=0,0,IF(E258="",B258*D258/100,E258))</f>
        <v/>
      </c>
      <c r="G258" s="4" t="n"/>
      <c r="H258" s="5" t="n"/>
      <c r="I258" s="3" t="n"/>
      <c r="J258" s="3">
        <f>IF(G258=0,0,IF(I258="",B258*H258/100,I258))</f>
        <v/>
      </c>
      <c r="K258" s="4" t="n"/>
      <c r="L258" s="5" t="n"/>
      <c r="M258" s="3" t="n"/>
      <c r="N258" s="3">
        <f>IF(K258=0,0,IF(M258="",B258*L258/100,M258))</f>
        <v/>
      </c>
      <c r="O258" s="4" t="n"/>
      <c r="P258" s="5" t="n"/>
      <c r="Q258" s="3" t="n"/>
      <c r="R258" s="3">
        <f>IF(O258=0,0,IF(Q258="",B258*P258/100,Q258))</f>
        <v/>
      </c>
      <c r="S258" s="4" t="n"/>
      <c r="T258" s="5" t="n"/>
      <c r="U258" s="3" t="n"/>
      <c r="V258" s="3">
        <f>IF(S258=0,0,IF(U258="",B258*T258/100,U258))</f>
        <v/>
      </c>
      <c r="W258" s="4" t="n"/>
      <c r="X258" s="5" t="n"/>
      <c r="Y258" s="3" t="n"/>
      <c r="Z258" s="3">
        <f>IF(W258=0,0,IF(Y258="",B258*X258/100,Y258))</f>
        <v/>
      </c>
      <c r="AA258" s="3" t="n"/>
      <c r="AB258" s="3" t="n"/>
      <c r="AC258" s="3">
        <f>B258*0.035</f>
        <v/>
      </c>
      <c r="AD258" s="3">
        <f>B258*0.065</f>
        <v/>
      </c>
      <c r="AE258" s="3">
        <f>SUM(B258,F258,J258,N258,R258,V258,Z258,AA258,AB258,AC258,AD258)</f>
        <v/>
      </c>
      <c r="AF258" s="3">
        <f>B258*0.055</f>
        <v/>
      </c>
      <c r="AG258" s="3">
        <f>B258*0.035</f>
        <v/>
      </c>
      <c r="AH258" s="3">
        <f>B258*0.165</f>
        <v/>
      </c>
      <c r="AI258" s="3">
        <f>MAX(0,AE258-AF258-AH258)</f>
        <v/>
      </c>
      <c r="AJ258" s="3">
        <f>IF(AI258&lt;=490,0,IF(AI258&lt;=600,(AI258-490)*0.05,IF(AI258&lt;=730,5.5+(AI258-600)*0.10,IF(AI258&lt;=3896.67,18.5+(AI258-730)*0.175,IF(AI258&lt;=19896.67,572.67+(AI258-3896.67)*0.25,IF(AI258&lt;=50416.67,4572.67+(AI258-19896.67)*0.30,13728.67+(AI258-50416.67)*0.35))))))</f>
        <v/>
      </c>
      <c r="AK258" s="3" t="n"/>
      <c r="AL258" s="3" t="n"/>
      <c r="AM258" s="3" t="n"/>
      <c r="AN258" s="3" t="n"/>
      <c r="AO258" s="3" t="n"/>
      <c r="AP258" s="3">
        <f>SUM(AF258,AJ258,AK258,AL258,AM258,AN258,AO258,AG258,AH258)</f>
        <v/>
      </c>
      <c r="AQ258" s="3">
        <f>AE258-AP258</f>
        <v/>
      </c>
      <c r="AR258" s="3" t="n"/>
      <c r="AS258" s="3" t="n"/>
      <c r="AT258" s="3">
        <f>AR258-AS258</f>
        <v/>
      </c>
    </row>
    <row r="259">
      <c r="A259" s="2" t="n"/>
      <c r="B259" s="3" t="n"/>
      <c r="C259" s="4" t="n"/>
      <c r="D259" s="5" t="n"/>
      <c r="E259" s="3" t="n"/>
      <c r="F259" s="3">
        <f>IF(C259=0,0,IF(E259="",B259*D259/100,E259))</f>
        <v/>
      </c>
      <c r="G259" s="4" t="n"/>
      <c r="H259" s="5" t="n"/>
      <c r="I259" s="3" t="n"/>
      <c r="J259" s="3">
        <f>IF(G259=0,0,IF(I259="",B259*H259/100,I259))</f>
        <v/>
      </c>
      <c r="K259" s="4" t="n"/>
      <c r="L259" s="5" t="n"/>
      <c r="M259" s="3" t="n"/>
      <c r="N259" s="3">
        <f>IF(K259=0,0,IF(M259="",B259*L259/100,M259))</f>
        <v/>
      </c>
      <c r="O259" s="4" t="n"/>
      <c r="P259" s="5" t="n"/>
      <c r="Q259" s="3" t="n"/>
      <c r="R259" s="3">
        <f>IF(O259=0,0,IF(Q259="",B259*P259/100,Q259))</f>
        <v/>
      </c>
      <c r="S259" s="4" t="n"/>
      <c r="T259" s="5" t="n"/>
      <c r="U259" s="3" t="n"/>
      <c r="V259" s="3">
        <f>IF(S259=0,0,IF(U259="",B259*T259/100,U259))</f>
        <v/>
      </c>
      <c r="W259" s="4" t="n"/>
      <c r="X259" s="5" t="n"/>
      <c r="Y259" s="3" t="n"/>
      <c r="Z259" s="3">
        <f>IF(W259=0,0,IF(Y259="",B259*X259/100,Y259))</f>
        <v/>
      </c>
      <c r="AA259" s="3" t="n"/>
      <c r="AB259" s="3" t="n"/>
      <c r="AC259" s="3">
        <f>B259*0.035</f>
        <v/>
      </c>
      <c r="AD259" s="3">
        <f>B259*0.065</f>
        <v/>
      </c>
      <c r="AE259" s="3">
        <f>SUM(B259,F259,J259,N259,R259,V259,Z259,AA259,AB259,AC259,AD259)</f>
        <v/>
      </c>
      <c r="AF259" s="3">
        <f>B259*0.055</f>
        <v/>
      </c>
      <c r="AG259" s="3">
        <f>B259*0.035</f>
        <v/>
      </c>
      <c r="AH259" s="3">
        <f>B259*0.165</f>
        <v/>
      </c>
      <c r="AI259" s="3">
        <f>MAX(0,AE259-AF259-AH259)</f>
        <v/>
      </c>
      <c r="AJ259" s="3">
        <f>IF(AI259&lt;=490,0,IF(AI259&lt;=600,(AI259-490)*0.05,IF(AI259&lt;=730,5.5+(AI259-600)*0.10,IF(AI259&lt;=3896.67,18.5+(AI259-730)*0.175,IF(AI259&lt;=19896.67,572.67+(AI259-3896.67)*0.25,IF(AI259&lt;=50416.67,4572.67+(AI259-19896.67)*0.30,13728.67+(AI259-50416.67)*0.35))))))</f>
        <v/>
      </c>
      <c r="AK259" s="3" t="n"/>
      <c r="AL259" s="3" t="n"/>
      <c r="AM259" s="3" t="n"/>
      <c r="AN259" s="3" t="n"/>
      <c r="AO259" s="3" t="n"/>
      <c r="AP259" s="3">
        <f>SUM(AF259,AJ259,AK259,AL259,AM259,AN259,AO259,AG259,AH259)</f>
        <v/>
      </c>
      <c r="AQ259" s="3">
        <f>AE259-AP259</f>
        <v/>
      </c>
      <c r="AR259" s="3" t="n"/>
      <c r="AS259" s="3" t="n"/>
      <c r="AT259" s="3">
        <f>AR259-AS259</f>
        <v/>
      </c>
    </row>
    <row r="260">
      <c r="A260" s="2" t="n"/>
      <c r="B260" s="3" t="n"/>
      <c r="C260" s="4" t="n"/>
      <c r="D260" s="5" t="n"/>
      <c r="E260" s="3" t="n"/>
      <c r="F260" s="3">
        <f>IF(C260=0,0,IF(E260="",B260*D260/100,E260))</f>
        <v/>
      </c>
      <c r="G260" s="4" t="n"/>
      <c r="H260" s="5" t="n"/>
      <c r="I260" s="3" t="n"/>
      <c r="J260" s="3">
        <f>IF(G260=0,0,IF(I260="",B260*H260/100,I260))</f>
        <v/>
      </c>
      <c r="K260" s="4" t="n"/>
      <c r="L260" s="5" t="n"/>
      <c r="M260" s="3" t="n"/>
      <c r="N260" s="3">
        <f>IF(K260=0,0,IF(M260="",B260*L260/100,M260))</f>
        <v/>
      </c>
      <c r="O260" s="4" t="n"/>
      <c r="P260" s="5" t="n"/>
      <c r="Q260" s="3" t="n"/>
      <c r="R260" s="3">
        <f>IF(O260=0,0,IF(Q260="",B260*P260/100,Q260))</f>
        <v/>
      </c>
      <c r="S260" s="4" t="n"/>
      <c r="T260" s="5" t="n"/>
      <c r="U260" s="3" t="n"/>
      <c r="V260" s="3">
        <f>IF(S260=0,0,IF(U260="",B260*T260/100,U260))</f>
        <v/>
      </c>
      <c r="W260" s="4" t="n"/>
      <c r="X260" s="5" t="n"/>
      <c r="Y260" s="3" t="n"/>
      <c r="Z260" s="3">
        <f>IF(W260=0,0,IF(Y260="",B260*X260/100,Y260))</f>
        <v/>
      </c>
      <c r="AA260" s="3" t="n"/>
      <c r="AB260" s="3" t="n"/>
      <c r="AC260" s="3">
        <f>B260*0.035</f>
        <v/>
      </c>
      <c r="AD260" s="3">
        <f>B260*0.065</f>
        <v/>
      </c>
      <c r="AE260" s="3">
        <f>SUM(B260,F260,J260,N260,R260,V260,Z260,AA260,AB260,AC260,AD260)</f>
        <v/>
      </c>
      <c r="AF260" s="3">
        <f>B260*0.055</f>
        <v/>
      </c>
      <c r="AG260" s="3">
        <f>B260*0.035</f>
        <v/>
      </c>
      <c r="AH260" s="3">
        <f>B260*0.165</f>
        <v/>
      </c>
      <c r="AI260" s="3">
        <f>MAX(0,AE260-AF260-AH260)</f>
        <v/>
      </c>
      <c r="AJ260" s="3">
        <f>IF(AI260&lt;=490,0,IF(AI260&lt;=600,(AI260-490)*0.05,IF(AI260&lt;=730,5.5+(AI260-600)*0.10,IF(AI260&lt;=3896.67,18.5+(AI260-730)*0.175,IF(AI260&lt;=19896.67,572.67+(AI260-3896.67)*0.25,IF(AI260&lt;=50416.67,4572.67+(AI260-19896.67)*0.30,13728.67+(AI260-50416.67)*0.35))))))</f>
        <v/>
      </c>
      <c r="AK260" s="3" t="n"/>
      <c r="AL260" s="3" t="n"/>
      <c r="AM260" s="3" t="n"/>
      <c r="AN260" s="3" t="n"/>
      <c r="AO260" s="3" t="n"/>
      <c r="AP260" s="3">
        <f>SUM(AF260,AJ260,AK260,AL260,AM260,AN260,AO260,AG260,AH260)</f>
        <v/>
      </c>
      <c r="AQ260" s="3">
        <f>AE260-AP260</f>
        <v/>
      </c>
      <c r="AR260" s="3" t="n"/>
      <c r="AS260" s="3" t="n"/>
      <c r="AT260" s="3">
        <f>AR260-AS260</f>
        <v/>
      </c>
    </row>
    <row r="261">
      <c r="A261" s="2" t="n"/>
      <c r="B261" s="3" t="n"/>
      <c r="C261" s="4" t="n"/>
      <c r="D261" s="5" t="n"/>
      <c r="E261" s="3" t="n"/>
      <c r="F261" s="3">
        <f>IF(C261=0,0,IF(E261="",B261*D261/100,E261))</f>
        <v/>
      </c>
      <c r="G261" s="4" t="n"/>
      <c r="H261" s="5" t="n"/>
      <c r="I261" s="3" t="n"/>
      <c r="J261" s="3">
        <f>IF(G261=0,0,IF(I261="",B261*H261/100,I261))</f>
        <v/>
      </c>
      <c r="K261" s="4" t="n"/>
      <c r="L261" s="5" t="n"/>
      <c r="M261" s="3" t="n"/>
      <c r="N261" s="3">
        <f>IF(K261=0,0,IF(M261="",B261*L261/100,M261))</f>
        <v/>
      </c>
      <c r="O261" s="4" t="n"/>
      <c r="P261" s="5" t="n"/>
      <c r="Q261" s="3" t="n"/>
      <c r="R261" s="3">
        <f>IF(O261=0,0,IF(Q261="",B261*P261/100,Q261))</f>
        <v/>
      </c>
      <c r="S261" s="4" t="n"/>
      <c r="T261" s="5" t="n"/>
      <c r="U261" s="3" t="n"/>
      <c r="V261" s="3">
        <f>IF(S261=0,0,IF(U261="",B261*T261/100,U261))</f>
        <v/>
      </c>
      <c r="W261" s="4" t="n"/>
      <c r="X261" s="5" t="n"/>
      <c r="Y261" s="3" t="n"/>
      <c r="Z261" s="3">
        <f>IF(W261=0,0,IF(Y261="",B261*X261/100,Y261))</f>
        <v/>
      </c>
      <c r="AA261" s="3" t="n"/>
      <c r="AB261" s="3" t="n"/>
      <c r="AC261" s="3">
        <f>B261*0.035</f>
        <v/>
      </c>
      <c r="AD261" s="3">
        <f>B261*0.065</f>
        <v/>
      </c>
      <c r="AE261" s="3">
        <f>SUM(B261,F261,J261,N261,R261,V261,Z261,AA261,AB261,AC261,AD261)</f>
        <v/>
      </c>
      <c r="AF261" s="3">
        <f>B261*0.055</f>
        <v/>
      </c>
      <c r="AG261" s="3">
        <f>B261*0.035</f>
        <v/>
      </c>
      <c r="AH261" s="3">
        <f>B261*0.165</f>
        <v/>
      </c>
      <c r="AI261" s="3">
        <f>MAX(0,AE261-AF261-AH261)</f>
        <v/>
      </c>
      <c r="AJ261" s="3">
        <f>IF(AI261&lt;=490,0,IF(AI261&lt;=600,(AI261-490)*0.05,IF(AI261&lt;=730,5.5+(AI261-600)*0.10,IF(AI261&lt;=3896.67,18.5+(AI261-730)*0.175,IF(AI261&lt;=19896.67,572.67+(AI261-3896.67)*0.25,IF(AI261&lt;=50416.67,4572.67+(AI261-19896.67)*0.30,13728.67+(AI261-50416.67)*0.35))))))</f>
        <v/>
      </c>
      <c r="AK261" s="3" t="n"/>
      <c r="AL261" s="3" t="n"/>
      <c r="AM261" s="3" t="n"/>
      <c r="AN261" s="3" t="n"/>
      <c r="AO261" s="3" t="n"/>
      <c r="AP261" s="3">
        <f>SUM(AF261,AJ261,AK261,AL261,AM261,AN261,AO261,AG261,AH261)</f>
        <v/>
      </c>
      <c r="AQ261" s="3">
        <f>AE261-AP261</f>
        <v/>
      </c>
      <c r="AR261" s="3" t="n"/>
      <c r="AS261" s="3" t="n"/>
      <c r="AT261" s="3">
        <f>AR261-AS261</f>
        <v/>
      </c>
    </row>
    <row r="262">
      <c r="A262" s="2" t="n"/>
      <c r="B262" s="3" t="n"/>
      <c r="C262" s="4" t="n"/>
      <c r="D262" s="5" t="n"/>
      <c r="E262" s="3" t="n"/>
      <c r="F262" s="3">
        <f>IF(C262=0,0,IF(E262="",B262*D262/100,E262))</f>
        <v/>
      </c>
      <c r="G262" s="4" t="n"/>
      <c r="H262" s="5" t="n"/>
      <c r="I262" s="3" t="n"/>
      <c r="J262" s="3">
        <f>IF(G262=0,0,IF(I262="",B262*H262/100,I262))</f>
        <v/>
      </c>
      <c r="K262" s="4" t="n"/>
      <c r="L262" s="5" t="n"/>
      <c r="M262" s="3" t="n"/>
      <c r="N262" s="3">
        <f>IF(K262=0,0,IF(M262="",B262*L262/100,M262))</f>
        <v/>
      </c>
      <c r="O262" s="4" t="n"/>
      <c r="P262" s="5" t="n"/>
      <c r="Q262" s="3" t="n"/>
      <c r="R262" s="3">
        <f>IF(O262=0,0,IF(Q262="",B262*P262/100,Q262))</f>
        <v/>
      </c>
      <c r="S262" s="4" t="n"/>
      <c r="T262" s="5" t="n"/>
      <c r="U262" s="3" t="n"/>
      <c r="V262" s="3">
        <f>IF(S262=0,0,IF(U262="",B262*T262/100,U262))</f>
        <v/>
      </c>
      <c r="W262" s="4" t="n"/>
      <c r="X262" s="5" t="n"/>
      <c r="Y262" s="3" t="n"/>
      <c r="Z262" s="3">
        <f>IF(W262=0,0,IF(Y262="",B262*X262/100,Y262))</f>
        <v/>
      </c>
      <c r="AA262" s="3" t="n"/>
      <c r="AB262" s="3" t="n"/>
      <c r="AC262" s="3">
        <f>B262*0.035</f>
        <v/>
      </c>
      <c r="AD262" s="3">
        <f>B262*0.065</f>
        <v/>
      </c>
      <c r="AE262" s="3">
        <f>SUM(B262,F262,J262,N262,R262,V262,Z262,AA262,AB262,AC262,AD262)</f>
        <v/>
      </c>
      <c r="AF262" s="3">
        <f>B262*0.055</f>
        <v/>
      </c>
      <c r="AG262" s="3">
        <f>B262*0.035</f>
        <v/>
      </c>
      <c r="AH262" s="3">
        <f>B262*0.165</f>
        <v/>
      </c>
      <c r="AI262" s="3">
        <f>MAX(0,AE262-AF262-AH262)</f>
        <v/>
      </c>
      <c r="AJ262" s="3">
        <f>IF(AI262&lt;=490,0,IF(AI262&lt;=600,(AI262-490)*0.05,IF(AI262&lt;=730,5.5+(AI262-600)*0.10,IF(AI262&lt;=3896.67,18.5+(AI262-730)*0.175,IF(AI262&lt;=19896.67,572.67+(AI262-3896.67)*0.25,IF(AI262&lt;=50416.67,4572.67+(AI262-19896.67)*0.30,13728.67+(AI262-50416.67)*0.35))))))</f>
        <v/>
      </c>
      <c r="AK262" s="3" t="n"/>
      <c r="AL262" s="3" t="n"/>
      <c r="AM262" s="3" t="n"/>
      <c r="AN262" s="3" t="n"/>
      <c r="AO262" s="3" t="n"/>
      <c r="AP262" s="3">
        <f>SUM(AF262,AJ262,AK262,AL262,AM262,AN262,AO262,AG262,AH262)</f>
        <v/>
      </c>
      <c r="AQ262" s="3">
        <f>AE262-AP262</f>
        <v/>
      </c>
      <c r="AR262" s="3" t="n"/>
      <c r="AS262" s="3" t="n"/>
      <c r="AT262" s="3">
        <f>AR262-AS262</f>
        <v/>
      </c>
    </row>
    <row r="263">
      <c r="A263" s="2" t="n"/>
      <c r="B263" s="3" t="n"/>
      <c r="C263" s="4" t="n"/>
      <c r="D263" s="5" t="n"/>
      <c r="E263" s="3" t="n"/>
      <c r="F263" s="3">
        <f>IF(C263=0,0,IF(E263="",B263*D263/100,E263))</f>
        <v/>
      </c>
      <c r="G263" s="4" t="n"/>
      <c r="H263" s="5" t="n"/>
      <c r="I263" s="3" t="n"/>
      <c r="J263" s="3">
        <f>IF(G263=0,0,IF(I263="",B263*H263/100,I263))</f>
        <v/>
      </c>
      <c r="K263" s="4" t="n"/>
      <c r="L263" s="5" t="n"/>
      <c r="M263" s="3" t="n"/>
      <c r="N263" s="3">
        <f>IF(K263=0,0,IF(M263="",B263*L263/100,M263))</f>
        <v/>
      </c>
      <c r="O263" s="4" t="n"/>
      <c r="P263" s="5" t="n"/>
      <c r="Q263" s="3" t="n"/>
      <c r="R263" s="3">
        <f>IF(O263=0,0,IF(Q263="",B263*P263/100,Q263))</f>
        <v/>
      </c>
      <c r="S263" s="4" t="n"/>
      <c r="T263" s="5" t="n"/>
      <c r="U263" s="3" t="n"/>
      <c r="V263" s="3">
        <f>IF(S263=0,0,IF(U263="",B263*T263/100,U263))</f>
        <v/>
      </c>
      <c r="W263" s="4" t="n"/>
      <c r="X263" s="5" t="n"/>
      <c r="Y263" s="3" t="n"/>
      <c r="Z263" s="3">
        <f>IF(W263=0,0,IF(Y263="",B263*X263/100,Y263))</f>
        <v/>
      </c>
      <c r="AA263" s="3" t="n"/>
      <c r="AB263" s="3" t="n"/>
      <c r="AC263" s="3">
        <f>B263*0.035</f>
        <v/>
      </c>
      <c r="AD263" s="3">
        <f>B263*0.065</f>
        <v/>
      </c>
      <c r="AE263" s="3">
        <f>SUM(B263,F263,J263,N263,R263,V263,Z263,AA263,AB263,AC263,AD263)</f>
        <v/>
      </c>
      <c r="AF263" s="3">
        <f>B263*0.055</f>
        <v/>
      </c>
      <c r="AG263" s="3">
        <f>B263*0.035</f>
        <v/>
      </c>
      <c r="AH263" s="3">
        <f>B263*0.165</f>
        <v/>
      </c>
      <c r="AI263" s="3">
        <f>MAX(0,AE263-AF263-AH263)</f>
        <v/>
      </c>
      <c r="AJ263" s="3">
        <f>IF(AI263&lt;=490,0,IF(AI263&lt;=600,(AI263-490)*0.05,IF(AI263&lt;=730,5.5+(AI263-600)*0.10,IF(AI263&lt;=3896.67,18.5+(AI263-730)*0.175,IF(AI263&lt;=19896.67,572.67+(AI263-3896.67)*0.25,IF(AI263&lt;=50416.67,4572.67+(AI263-19896.67)*0.30,13728.67+(AI263-50416.67)*0.35))))))</f>
        <v/>
      </c>
      <c r="AK263" s="3" t="n"/>
      <c r="AL263" s="3" t="n"/>
      <c r="AM263" s="3" t="n"/>
      <c r="AN263" s="3" t="n"/>
      <c r="AO263" s="3" t="n"/>
      <c r="AP263" s="3">
        <f>SUM(AF263,AJ263,AK263,AL263,AM263,AN263,AO263,AG263,AH263)</f>
        <v/>
      </c>
      <c r="AQ263" s="3">
        <f>AE263-AP263</f>
        <v/>
      </c>
      <c r="AR263" s="3" t="n"/>
      <c r="AS263" s="3" t="n"/>
      <c r="AT263" s="3">
        <f>AR263-AS263</f>
        <v/>
      </c>
    </row>
    <row r="264">
      <c r="A264" s="2" t="n"/>
      <c r="B264" s="3" t="n"/>
      <c r="C264" s="4" t="n"/>
      <c r="D264" s="5" t="n"/>
      <c r="E264" s="3" t="n"/>
      <c r="F264" s="3">
        <f>IF(C264=0,0,IF(E264="",B264*D264/100,E264))</f>
        <v/>
      </c>
      <c r="G264" s="4" t="n"/>
      <c r="H264" s="5" t="n"/>
      <c r="I264" s="3" t="n"/>
      <c r="J264" s="3">
        <f>IF(G264=0,0,IF(I264="",B264*H264/100,I264))</f>
        <v/>
      </c>
      <c r="K264" s="4" t="n"/>
      <c r="L264" s="5" t="n"/>
      <c r="M264" s="3" t="n"/>
      <c r="N264" s="3">
        <f>IF(K264=0,0,IF(M264="",B264*L264/100,M264))</f>
        <v/>
      </c>
      <c r="O264" s="4" t="n"/>
      <c r="P264" s="5" t="n"/>
      <c r="Q264" s="3" t="n"/>
      <c r="R264" s="3">
        <f>IF(O264=0,0,IF(Q264="",B264*P264/100,Q264))</f>
        <v/>
      </c>
      <c r="S264" s="4" t="n"/>
      <c r="T264" s="5" t="n"/>
      <c r="U264" s="3" t="n"/>
      <c r="V264" s="3">
        <f>IF(S264=0,0,IF(U264="",B264*T264/100,U264))</f>
        <v/>
      </c>
      <c r="W264" s="4" t="n"/>
      <c r="X264" s="5" t="n"/>
      <c r="Y264" s="3" t="n"/>
      <c r="Z264" s="3">
        <f>IF(W264=0,0,IF(Y264="",B264*X264/100,Y264))</f>
        <v/>
      </c>
      <c r="AA264" s="3" t="n"/>
      <c r="AB264" s="3" t="n"/>
      <c r="AC264" s="3">
        <f>B264*0.035</f>
        <v/>
      </c>
      <c r="AD264" s="3">
        <f>B264*0.065</f>
        <v/>
      </c>
      <c r="AE264" s="3">
        <f>SUM(B264,F264,J264,N264,R264,V264,Z264,AA264,AB264,AC264,AD264)</f>
        <v/>
      </c>
      <c r="AF264" s="3">
        <f>B264*0.055</f>
        <v/>
      </c>
      <c r="AG264" s="3">
        <f>B264*0.035</f>
        <v/>
      </c>
      <c r="AH264" s="3">
        <f>B264*0.165</f>
        <v/>
      </c>
      <c r="AI264" s="3">
        <f>MAX(0,AE264-AF264-AH264)</f>
        <v/>
      </c>
      <c r="AJ264" s="3">
        <f>IF(AI264&lt;=490,0,IF(AI264&lt;=600,(AI264-490)*0.05,IF(AI264&lt;=730,5.5+(AI264-600)*0.10,IF(AI264&lt;=3896.67,18.5+(AI264-730)*0.175,IF(AI264&lt;=19896.67,572.67+(AI264-3896.67)*0.25,IF(AI264&lt;=50416.67,4572.67+(AI264-19896.67)*0.30,13728.67+(AI264-50416.67)*0.35))))))</f>
        <v/>
      </c>
      <c r="AK264" s="3" t="n"/>
      <c r="AL264" s="3" t="n"/>
      <c r="AM264" s="3" t="n"/>
      <c r="AN264" s="3" t="n"/>
      <c r="AO264" s="3" t="n"/>
      <c r="AP264" s="3">
        <f>SUM(AF264,AJ264,AK264,AL264,AM264,AN264,AO264,AG264,AH264)</f>
        <v/>
      </c>
      <c r="AQ264" s="3">
        <f>AE264-AP264</f>
        <v/>
      </c>
      <c r="AR264" s="3" t="n"/>
      <c r="AS264" s="3" t="n"/>
      <c r="AT264" s="3">
        <f>AR264-AS264</f>
        <v/>
      </c>
    </row>
    <row r="265">
      <c r="A265" s="2" t="n"/>
      <c r="B265" s="3" t="n"/>
      <c r="C265" s="4" t="n"/>
      <c r="D265" s="5" t="n"/>
      <c r="E265" s="3" t="n"/>
      <c r="F265" s="3">
        <f>IF(C265=0,0,IF(E265="",B265*D265/100,E265))</f>
        <v/>
      </c>
      <c r="G265" s="4" t="n"/>
      <c r="H265" s="5" t="n"/>
      <c r="I265" s="3" t="n"/>
      <c r="J265" s="3">
        <f>IF(G265=0,0,IF(I265="",B265*H265/100,I265))</f>
        <v/>
      </c>
      <c r="K265" s="4" t="n"/>
      <c r="L265" s="5" t="n"/>
      <c r="M265" s="3" t="n"/>
      <c r="N265" s="3">
        <f>IF(K265=0,0,IF(M265="",B265*L265/100,M265))</f>
        <v/>
      </c>
      <c r="O265" s="4" t="n"/>
      <c r="P265" s="5" t="n"/>
      <c r="Q265" s="3" t="n"/>
      <c r="R265" s="3">
        <f>IF(O265=0,0,IF(Q265="",B265*P265/100,Q265))</f>
        <v/>
      </c>
      <c r="S265" s="4" t="n"/>
      <c r="T265" s="5" t="n"/>
      <c r="U265" s="3" t="n"/>
      <c r="V265" s="3">
        <f>IF(S265=0,0,IF(U265="",B265*T265/100,U265))</f>
        <v/>
      </c>
      <c r="W265" s="4" t="n"/>
      <c r="X265" s="5" t="n"/>
      <c r="Y265" s="3" t="n"/>
      <c r="Z265" s="3">
        <f>IF(W265=0,0,IF(Y265="",B265*X265/100,Y265))</f>
        <v/>
      </c>
      <c r="AA265" s="3" t="n"/>
      <c r="AB265" s="3" t="n"/>
      <c r="AC265" s="3">
        <f>B265*0.035</f>
        <v/>
      </c>
      <c r="AD265" s="3">
        <f>B265*0.065</f>
        <v/>
      </c>
      <c r="AE265" s="3">
        <f>SUM(B265,F265,J265,N265,R265,V265,Z265,AA265,AB265,AC265,AD265)</f>
        <v/>
      </c>
      <c r="AF265" s="3">
        <f>B265*0.055</f>
        <v/>
      </c>
      <c r="AG265" s="3">
        <f>B265*0.035</f>
        <v/>
      </c>
      <c r="AH265" s="3">
        <f>B265*0.165</f>
        <v/>
      </c>
      <c r="AI265" s="3">
        <f>MAX(0,AE265-AF265-AH265)</f>
        <v/>
      </c>
      <c r="AJ265" s="3">
        <f>IF(AI265&lt;=490,0,IF(AI265&lt;=600,(AI265-490)*0.05,IF(AI265&lt;=730,5.5+(AI265-600)*0.10,IF(AI265&lt;=3896.67,18.5+(AI265-730)*0.175,IF(AI265&lt;=19896.67,572.67+(AI265-3896.67)*0.25,IF(AI265&lt;=50416.67,4572.67+(AI265-19896.67)*0.30,13728.67+(AI265-50416.67)*0.35))))))</f>
        <v/>
      </c>
      <c r="AK265" s="3" t="n"/>
      <c r="AL265" s="3" t="n"/>
      <c r="AM265" s="3" t="n"/>
      <c r="AN265" s="3" t="n"/>
      <c r="AO265" s="3" t="n"/>
      <c r="AP265" s="3">
        <f>SUM(AF265,AJ265,AK265,AL265,AM265,AN265,AO265,AG265,AH265)</f>
        <v/>
      </c>
      <c r="AQ265" s="3">
        <f>AE265-AP265</f>
        <v/>
      </c>
      <c r="AR265" s="3" t="n"/>
      <c r="AS265" s="3" t="n"/>
      <c r="AT265" s="3">
        <f>AR265-AS265</f>
        <v/>
      </c>
    </row>
    <row r="266">
      <c r="A266" s="2" t="n"/>
      <c r="B266" s="3" t="n"/>
      <c r="C266" s="4" t="n"/>
      <c r="D266" s="5" t="n"/>
      <c r="E266" s="3" t="n"/>
      <c r="F266" s="3">
        <f>IF(C266=0,0,IF(E266="",B266*D266/100,E266))</f>
        <v/>
      </c>
      <c r="G266" s="4" t="n"/>
      <c r="H266" s="5" t="n"/>
      <c r="I266" s="3" t="n"/>
      <c r="J266" s="3">
        <f>IF(G266=0,0,IF(I266="",B266*H266/100,I266))</f>
        <v/>
      </c>
      <c r="K266" s="4" t="n"/>
      <c r="L266" s="5" t="n"/>
      <c r="M266" s="3" t="n"/>
      <c r="N266" s="3">
        <f>IF(K266=0,0,IF(M266="",B266*L266/100,M266))</f>
        <v/>
      </c>
      <c r="O266" s="4" t="n"/>
      <c r="P266" s="5" t="n"/>
      <c r="Q266" s="3" t="n"/>
      <c r="R266" s="3">
        <f>IF(O266=0,0,IF(Q266="",B266*P266/100,Q266))</f>
        <v/>
      </c>
      <c r="S266" s="4" t="n"/>
      <c r="T266" s="5" t="n"/>
      <c r="U266" s="3" t="n"/>
      <c r="V266" s="3">
        <f>IF(S266=0,0,IF(U266="",B266*T266/100,U266))</f>
        <v/>
      </c>
      <c r="W266" s="4" t="n"/>
      <c r="X266" s="5" t="n"/>
      <c r="Y266" s="3" t="n"/>
      <c r="Z266" s="3">
        <f>IF(W266=0,0,IF(Y266="",B266*X266/100,Y266))</f>
        <v/>
      </c>
      <c r="AA266" s="3" t="n"/>
      <c r="AB266" s="3" t="n"/>
      <c r="AC266" s="3">
        <f>B266*0.035</f>
        <v/>
      </c>
      <c r="AD266" s="3">
        <f>B266*0.065</f>
        <v/>
      </c>
      <c r="AE266" s="3">
        <f>SUM(B266,F266,J266,N266,R266,V266,Z266,AA266,AB266,AC266,AD266)</f>
        <v/>
      </c>
      <c r="AF266" s="3">
        <f>B266*0.055</f>
        <v/>
      </c>
      <c r="AG266" s="3">
        <f>B266*0.035</f>
        <v/>
      </c>
      <c r="AH266" s="3">
        <f>B266*0.165</f>
        <v/>
      </c>
      <c r="AI266" s="3">
        <f>MAX(0,AE266-AF266-AH266)</f>
        <v/>
      </c>
      <c r="AJ266" s="3">
        <f>IF(AI266&lt;=490,0,IF(AI266&lt;=600,(AI266-490)*0.05,IF(AI266&lt;=730,5.5+(AI266-600)*0.10,IF(AI266&lt;=3896.67,18.5+(AI266-730)*0.175,IF(AI266&lt;=19896.67,572.67+(AI266-3896.67)*0.25,IF(AI266&lt;=50416.67,4572.67+(AI266-19896.67)*0.30,13728.67+(AI266-50416.67)*0.35))))))</f>
        <v/>
      </c>
      <c r="AK266" s="3" t="n"/>
      <c r="AL266" s="3" t="n"/>
      <c r="AM266" s="3" t="n"/>
      <c r="AN266" s="3" t="n"/>
      <c r="AO266" s="3" t="n"/>
      <c r="AP266" s="3">
        <f>SUM(AF266,AJ266,AK266,AL266,AM266,AN266,AO266,AG266,AH266)</f>
        <v/>
      </c>
      <c r="AQ266" s="3">
        <f>AE266-AP266</f>
        <v/>
      </c>
      <c r="AR266" s="3" t="n"/>
      <c r="AS266" s="3" t="n"/>
      <c r="AT266" s="3">
        <f>AR266-AS266</f>
        <v/>
      </c>
    </row>
    <row r="267">
      <c r="A267" s="2" t="n"/>
      <c r="B267" s="3" t="n"/>
      <c r="C267" s="4" t="n"/>
      <c r="D267" s="5" t="n"/>
      <c r="E267" s="3" t="n"/>
      <c r="F267" s="3">
        <f>IF(C267=0,0,IF(E267="",B267*D267/100,E267))</f>
        <v/>
      </c>
      <c r="G267" s="4" t="n"/>
      <c r="H267" s="5" t="n"/>
      <c r="I267" s="3" t="n"/>
      <c r="J267" s="3">
        <f>IF(G267=0,0,IF(I267="",B267*H267/100,I267))</f>
        <v/>
      </c>
      <c r="K267" s="4" t="n"/>
      <c r="L267" s="5" t="n"/>
      <c r="M267" s="3" t="n"/>
      <c r="N267" s="3">
        <f>IF(K267=0,0,IF(M267="",B267*L267/100,M267))</f>
        <v/>
      </c>
      <c r="O267" s="4" t="n"/>
      <c r="P267" s="5" t="n"/>
      <c r="Q267" s="3" t="n"/>
      <c r="R267" s="3">
        <f>IF(O267=0,0,IF(Q267="",B267*P267/100,Q267))</f>
        <v/>
      </c>
      <c r="S267" s="4" t="n"/>
      <c r="T267" s="5" t="n"/>
      <c r="U267" s="3" t="n"/>
      <c r="V267" s="3">
        <f>IF(S267=0,0,IF(U267="",B267*T267/100,U267))</f>
        <v/>
      </c>
      <c r="W267" s="4" t="n"/>
      <c r="X267" s="5" t="n"/>
      <c r="Y267" s="3" t="n"/>
      <c r="Z267" s="3">
        <f>IF(W267=0,0,IF(Y267="",B267*X267/100,Y267))</f>
        <v/>
      </c>
      <c r="AA267" s="3" t="n"/>
      <c r="AB267" s="3" t="n"/>
      <c r="AC267" s="3">
        <f>B267*0.035</f>
        <v/>
      </c>
      <c r="AD267" s="3">
        <f>B267*0.065</f>
        <v/>
      </c>
      <c r="AE267" s="3">
        <f>SUM(B267,F267,J267,N267,R267,V267,Z267,AA267,AB267,AC267,AD267)</f>
        <v/>
      </c>
      <c r="AF267" s="3">
        <f>B267*0.055</f>
        <v/>
      </c>
      <c r="AG267" s="3">
        <f>B267*0.035</f>
        <v/>
      </c>
      <c r="AH267" s="3">
        <f>B267*0.165</f>
        <v/>
      </c>
      <c r="AI267" s="3">
        <f>MAX(0,AE267-AF267-AH267)</f>
        <v/>
      </c>
      <c r="AJ267" s="3">
        <f>IF(AI267&lt;=490,0,IF(AI267&lt;=600,(AI267-490)*0.05,IF(AI267&lt;=730,5.5+(AI267-600)*0.10,IF(AI267&lt;=3896.67,18.5+(AI267-730)*0.175,IF(AI267&lt;=19896.67,572.67+(AI267-3896.67)*0.25,IF(AI267&lt;=50416.67,4572.67+(AI267-19896.67)*0.30,13728.67+(AI267-50416.67)*0.35))))))</f>
        <v/>
      </c>
      <c r="AK267" s="3" t="n"/>
      <c r="AL267" s="3" t="n"/>
      <c r="AM267" s="3" t="n"/>
      <c r="AN267" s="3" t="n"/>
      <c r="AO267" s="3" t="n"/>
      <c r="AP267" s="3">
        <f>SUM(AF267,AJ267,AK267,AL267,AM267,AN267,AO267,AG267,AH267)</f>
        <v/>
      </c>
      <c r="AQ267" s="3">
        <f>AE267-AP267</f>
        <v/>
      </c>
      <c r="AR267" s="3" t="n"/>
      <c r="AS267" s="3" t="n"/>
      <c r="AT267" s="3">
        <f>AR267-AS267</f>
        <v/>
      </c>
    </row>
    <row r="268">
      <c r="A268" s="2" t="n"/>
      <c r="B268" s="3" t="n"/>
      <c r="C268" s="4" t="n"/>
      <c r="D268" s="5" t="n"/>
      <c r="E268" s="3" t="n"/>
      <c r="F268" s="3">
        <f>IF(C268=0,0,IF(E268="",B268*D268/100,E268))</f>
        <v/>
      </c>
      <c r="G268" s="4" t="n"/>
      <c r="H268" s="5" t="n"/>
      <c r="I268" s="3" t="n"/>
      <c r="J268" s="3">
        <f>IF(G268=0,0,IF(I268="",B268*H268/100,I268))</f>
        <v/>
      </c>
      <c r="K268" s="4" t="n"/>
      <c r="L268" s="5" t="n"/>
      <c r="M268" s="3" t="n"/>
      <c r="N268" s="3">
        <f>IF(K268=0,0,IF(M268="",B268*L268/100,M268))</f>
        <v/>
      </c>
      <c r="O268" s="4" t="n"/>
      <c r="P268" s="5" t="n"/>
      <c r="Q268" s="3" t="n"/>
      <c r="R268" s="3">
        <f>IF(O268=0,0,IF(Q268="",B268*P268/100,Q268))</f>
        <v/>
      </c>
      <c r="S268" s="4" t="n"/>
      <c r="T268" s="5" t="n"/>
      <c r="U268" s="3" t="n"/>
      <c r="V268" s="3">
        <f>IF(S268=0,0,IF(U268="",B268*T268/100,U268))</f>
        <v/>
      </c>
      <c r="W268" s="4" t="n"/>
      <c r="X268" s="5" t="n"/>
      <c r="Y268" s="3" t="n"/>
      <c r="Z268" s="3">
        <f>IF(W268=0,0,IF(Y268="",B268*X268/100,Y268))</f>
        <v/>
      </c>
      <c r="AA268" s="3" t="n"/>
      <c r="AB268" s="3" t="n"/>
      <c r="AC268" s="3">
        <f>B268*0.035</f>
        <v/>
      </c>
      <c r="AD268" s="3">
        <f>B268*0.065</f>
        <v/>
      </c>
      <c r="AE268" s="3">
        <f>SUM(B268,F268,J268,N268,R268,V268,Z268,AA268,AB268,AC268,AD268)</f>
        <v/>
      </c>
      <c r="AF268" s="3">
        <f>B268*0.055</f>
        <v/>
      </c>
      <c r="AG268" s="3">
        <f>B268*0.035</f>
        <v/>
      </c>
      <c r="AH268" s="3">
        <f>B268*0.165</f>
        <v/>
      </c>
      <c r="AI268" s="3">
        <f>MAX(0,AE268-AF268-AH268)</f>
        <v/>
      </c>
      <c r="AJ268" s="3">
        <f>IF(AI268&lt;=490,0,IF(AI268&lt;=600,(AI268-490)*0.05,IF(AI268&lt;=730,5.5+(AI268-600)*0.10,IF(AI268&lt;=3896.67,18.5+(AI268-730)*0.175,IF(AI268&lt;=19896.67,572.67+(AI268-3896.67)*0.25,IF(AI268&lt;=50416.67,4572.67+(AI268-19896.67)*0.30,13728.67+(AI268-50416.67)*0.35))))))</f>
        <v/>
      </c>
      <c r="AK268" s="3" t="n"/>
      <c r="AL268" s="3" t="n"/>
      <c r="AM268" s="3" t="n"/>
      <c r="AN268" s="3" t="n"/>
      <c r="AO268" s="3" t="n"/>
      <c r="AP268" s="3">
        <f>SUM(AF268,AJ268,AK268,AL268,AM268,AN268,AO268,AG268,AH268)</f>
        <v/>
      </c>
      <c r="AQ268" s="3">
        <f>AE268-AP268</f>
        <v/>
      </c>
      <c r="AR268" s="3" t="n"/>
      <c r="AS268" s="3" t="n"/>
      <c r="AT268" s="3">
        <f>AR268-AS268</f>
        <v/>
      </c>
    </row>
    <row r="269">
      <c r="A269" s="2" t="n"/>
      <c r="B269" s="3" t="n"/>
      <c r="C269" s="4" t="n"/>
      <c r="D269" s="5" t="n"/>
      <c r="E269" s="3" t="n"/>
      <c r="F269" s="3">
        <f>IF(C269=0,0,IF(E269="",B269*D269/100,E269))</f>
        <v/>
      </c>
      <c r="G269" s="4" t="n"/>
      <c r="H269" s="5" t="n"/>
      <c r="I269" s="3" t="n"/>
      <c r="J269" s="3">
        <f>IF(G269=0,0,IF(I269="",B269*H269/100,I269))</f>
        <v/>
      </c>
      <c r="K269" s="4" t="n"/>
      <c r="L269" s="5" t="n"/>
      <c r="M269" s="3" t="n"/>
      <c r="N269" s="3">
        <f>IF(K269=0,0,IF(M269="",B269*L269/100,M269))</f>
        <v/>
      </c>
      <c r="O269" s="4" t="n"/>
      <c r="P269" s="5" t="n"/>
      <c r="Q269" s="3" t="n"/>
      <c r="R269" s="3">
        <f>IF(O269=0,0,IF(Q269="",B269*P269/100,Q269))</f>
        <v/>
      </c>
      <c r="S269" s="4" t="n"/>
      <c r="T269" s="5" t="n"/>
      <c r="U269" s="3" t="n"/>
      <c r="V269" s="3">
        <f>IF(S269=0,0,IF(U269="",B269*T269/100,U269))</f>
        <v/>
      </c>
      <c r="W269" s="4" t="n"/>
      <c r="X269" s="5" t="n"/>
      <c r="Y269" s="3" t="n"/>
      <c r="Z269" s="3">
        <f>IF(W269=0,0,IF(Y269="",B269*X269/100,Y269))</f>
        <v/>
      </c>
      <c r="AA269" s="3" t="n"/>
      <c r="AB269" s="3" t="n"/>
      <c r="AC269" s="3">
        <f>B269*0.035</f>
        <v/>
      </c>
      <c r="AD269" s="3">
        <f>B269*0.065</f>
        <v/>
      </c>
      <c r="AE269" s="3">
        <f>SUM(B269,F269,J269,N269,R269,V269,Z269,AA269,AB269,AC269,AD269)</f>
        <v/>
      </c>
      <c r="AF269" s="3">
        <f>B269*0.055</f>
        <v/>
      </c>
      <c r="AG269" s="3">
        <f>B269*0.035</f>
        <v/>
      </c>
      <c r="AH269" s="3">
        <f>B269*0.165</f>
        <v/>
      </c>
      <c r="AI269" s="3">
        <f>MAX(0,AE269-AF269-AH269)</f>
        <v/>
      </c>
      <c r="AJ269" s="3">
        <f>IF(AI269&lt;=490,0,IF(AI269&lt;=600,(AI269-490)*0.05,IF(AI269&lt;=730,5.5+(AI269-600)*0.10,IF(AI269&lt;=3896.67,18.5+(AI269-730)*0.175,IF(AI269&lt;=19896.67,572.67+(AI269-3896.67)*0.25,IF(AI269&lt;=50416.67,4572.67+(AI269-19896.67)*0.30,13728.67+(AI269-50416.67)*0.35))))))</f>
        <v/>
      </c>
      <c r="AK269" s="3" t="n"/>
      <c r="AL269" s="3" t="n"/>
      <c r="AM269" s="3" t="n"/>
      <c r="AN269" s="3" t="n"/>
      <c r="AO269" s="3" t="n"/>
      <c r="AP269" s="3">
        <f>SUM(AF269,AJ269,AK269,AL269,AM269,AN269,AO269,AG269,AH269)</f>
        <v/>
      </c>
      <c r="AQ269" s="3">
        <f>AE269-AP269</f>
        <v/>
      </c>
      <c r="AR269" s="3" t="n"/>
      <c r="AS269" s="3" t="n"/>
      <c r="AT269" s="3">
        <f>AR269-AS269</f>
        <v/>
      </c>
    </row>
    <row r="270">
      <c r="A270" s="2" t="n"/>
      <c r="B270" s="3" t="n"/>
      <c r="C270" s="4" t="n"/>
      <c r="D270" s="5" t="n"/>
      <c r="E270" s="3" t="n"/>
      <c r="F270" s="3">
        <f>IF(C270=0,0,IF(E270="",B270*D270/100,E270))</f>
        <v/>
      </c>
      <c r="G270" s="4" t="n"/>
      <c r="H270" s="5" t="n"/>
      <c r="I270" s="3" t="n"/>
      <c r="J270" s="3">
        <f>IF(G270=0,0,IF(I270="",B270*H270/100,I270))</f>
        <v/>
      </c>
      <c r="K270" s="4" t="n"/>
      <c r="L270" s="5" t="n"/>
      <c r="M270" s="3" t="n"/>
      <c r="N270" s="3">
        <f>IF(K270=0,0,IF(M270="",B270*L270/100,M270))</f>
        <v/>
      </c>
      <c r="O270" s="4" t="n"/>
      <c r="P270" s="5" t="n"/>
      <c r="Q270" s="3" t="n"/>
      <c r="R270" s="3">
        <f>IF(O270=0,0,IF(Q270="",B270*P270/100,Q270))</f>
        <v/>
      </c>
      <c r="S270" s="4" t="n"/>
      <c r="T270" s="5" t="n"/>
      <c r="U270" s="3" t="n"/>
      <c r="V270" s="3">
        <f>IF(S270=0,0,IF(U270="",B270*T270/100,U270))</f>
        <v/>
      </c>
      <c r="W270" s="4" t="n"/>
      <c r="X270" s="5" t="n"/>
      <c r="Y270" s="3" t="n"/>
      <c r="Z270" s="3">
        <f>IF(W270=0,0,IF(Y270="",B270*X270/100,Y270))</f>
        <v/>
      </c>
      <c r="AA270" s="3" t="n"/>
      <c r="AB270" s="3" t="n"/>
      <c r="AC270" s="3">
        <f>B270*0.035</f>
        <v/>
      </c>
      <c r="AD270" s="3">
        <f>B270*0.065</f>
        <v/>
      </c>
      <c r="AE270" s="3">
        <f>SUM(B270,F270,J270,N270,R270,V270,Z270,AA270,AB270,AC270,AD270)</f>
        <v/>
      </c>
      <c r="AF270" s="3">
        <f>B270*0.055</f>
        <v/>
      </c>
      <c r="AG270" s="3">
        <f>B270*0.035</f>
        <v/>
      </c>
      <c r="AH270" s="3">
        <f>B270*0.165</f>
        <v/>
      </c>
      <c r="AI270" s="3">
        <f>MAX(0,AE270-AF270-AH270)</f>
        <v/>
      </c>
      <c r="AJ270" s="3">
        <f>IF(AI270&lt;=490,0,IF(AI270&lt;=600,(AI270-490)*0.05,IF(AI270&lt;=730,5.5+(AI270-600)*0.10,IF(AI270&lt;=3896.67,18.5+(AI270-730)*0.175,IF(AI270&lt;=19896.67,572.67+(AI270-3896.67)*0.25,IF(AI270&lt;=50416.67,4572.67+(AI270-19896.67)*0.30,13728.67+(AI270-50416.67)*0.35))))))</f>
        <v/>
      </c>
      <c r="AK270" s="3" t="n"/>
      <c r="AL270" s="3" t="n"/>
      <c r="AM270" s="3" t="n"/>
      <c r="AN270" s="3" t="n"/>
      <c r="AO270" s="3" t="n"/>
      <c r="AP270" s="3">
        <f>SUM(AF270,AJ270,AK270,AL270,AM270,AN270,AO270,AG270,AH270)</f>
        <v/>
      </c>
      <c r="AQ270" s="3">
        <f>AE270-AP270</f>
        <v/>
      </c>
      <c r="AR270" s="3" t="n"/>
      <c r="AS270" s="3" t="n"/>
      <c r="AT270" s="3">
        <f>AR270-AS270</f>
        <v/>
      </c>
    </row>
    <row r="271">
      <c r="A271" s="2" t="n"/>
      <c r="B271" s="3" t="n"/>
      <c r="C271" s="4" t="n"/>
      <c r="D271" s="5" t="n"/>
      <c r="E271" s="3" t="n"/>
      <c r="F271" s="3">
        <f>IF(C271=0,0,IF(E271="",B271*D271/100,E271))</f>
        <v/>
      </c>
      <c r="G271" s="4" t="n"/>
      <c r="H271" s="5" t="n"/>
      <c r="I271" s="3" t="n"/>
      <c r="J271" s="3">
        <f>IF(G271=0,0,IF(I271="",B271*H271/100,I271))</f>
        <v/>
      </c>
      <c r="K271" s="4" t="n"/>
      <c r="L271" s="5" t="n"/>
      <c r="M271" s="3" t="n"/>
      <c r="N271" s="3">
        <f>IF(K271=0,0,IF(M271="",B271*L271/100,M271))</f>
        <v/>
      </c>
      <c r="O271" s="4" t="n"/>
      <c r="P271" s="5" t="n"/>
      <c r="Q271" s="3" t="n"/>
      <c r="R271" s="3">
        <f>IF(O271=0,0,IF(Q271="",B271*P271/100,Q271))</f>
        <v/>
      </c>
      <c r="S271" s="4" t="n"/>
      <c r="T271" s="5" t="n"/>
      <c r="U271" s="3" t="n"/>
      <c r="V271" s="3">
        <f>IF(S271=0,0,IF(U271="",B271*T271/100,U271))</f>
        <v/>
      </c>
      <c r="W271" s="4" t="n"/>
      <c r="X271" s="5" t="n"/>
      <c r="Y271" s="3" t="n"/>
      <c r="Z271" s="3">
        <f>IF(W271=0,0,IF(Y271="",B271*X271/100,Y271))</f>
        <v/>
      </c>
      <c r="AA271" s="3" t="n"/>
      <c r="AB271" s="3" t="n"/>
      <c r="AC271" s="3">
        <f>B271*0.035</f>
        <v/>
      </c>
      <c r="AD271" s="3">
        <f>B271*0.065</f>
        <v/>
      </c>
      <c r="AE271" s="3">
        <f>SUM(B271,F271,J271,N271,R271,V271,Z271,AA271,AB271,AC271,AD271)</f>
        <v/>
      </c>
      <c r="AF271" s="3">
        <f>B271*0.055</f>
        <v/>
      </c>
      <c r="AG271" s="3">
        <f>B271*0.035</f>
        <v/>
      </c>
      <c r="AH271" s="3">
        <f>B271*0.165</f>
        <v/>
      </c>
      <c r="AI271" s="3">
        <f>MAX(0,AE271-AF271-AH271)</f>
        <v/>
      </c>
      <c r="AJ271" s="3">
        <f>IF(AI271&lt;=490,0,IF(AI271&lt;=600,(AI271-490)*0.05,IF(AI271&lt;=730,5.5+(AI271-600)*0.10,IF(AI271&lt;=3896.67,18.5+(AI271-730)*0.175,IF(AI271&lt;=19896.67,572.67+(AI271-3896.67)*0.25,IF(AI271&lt;=50416.67,4572.67+(AI271-19896.67)*0.30,13728.67+(AI271-50416.67)*0.35))))))</f>
        <v/>
      </c>
      <c r="AK271" s="3" t="n"/>
      <c r="AL271" s="3" t="n"/>
      <c r="AM271" s="3" t="n"/>
      <c r="AN271" s="3" t="n"/>
      <c r="AO271" s="3" t="n"/>
      <c r="AP271" s="3">
        <f>SUM(AF271,AJ271,AK271,AL271,AM271,AN271,AO271,AG271,AH271)</f>
        <v/>
      </c>
      <c r="AQ271" s="3">
        <f>AE271-AP271</f>
        <v/>
      </c>
      <c r="AR271" s="3" t="n"/>
      <c r="AS271" s="3" t="n"/>
      <c r="AT271" s="3">
        <f>AR271-AS271</f>
        <v/>
      </c>
    </row>
    <row r="272">
      <c r="A272" s="2" t="n"/>
      <c r="B272" s="3" t="n"/>
      <c r="C272" s="4" t="n"/>
      <c r="D272" s="5" t="n"/>
      <c r="E272" s="3" t="n"/>
      <c r="F272" s="3">
        <f>IF(C272=0,0,IF(E272="",B272*D272/100,E272))</f>
        <v/>
      </c>
      <c r="G272" s="4" t="n"/>
      <c r="H272" s="5" t="n"/>
      <c r="I272" s="3" t="n"/>
      <c r="J272" s="3">
        <f>IF(G272=0,0,IF(I272="",B272*H272/100,I272))</f>
        <v/>
      </c>
      <c r="K272" s="4" t="n"/>
      <c r="L272" s="5" t="n"/>
      <c r="M272" s="3" t="n"/>
      <c r="N272" s="3">
        <f>IF(K272=0,0,IF(M272="",B272*L272/100,M272))</f>
        <v/>
      </c>
      <c r="O272" s="4" t="n"/>
      <c r="P272" s="5" t="n"/>
      <c r="Q272" s="3" t="n"/>
      <c r="R272" s="3">
        <f>IF(O272=0,0,IF(Q272="",B272*P272/100,Q272))</f>
        <v/>
      </c>
      <c r="S272" s="4" t="n"/>
      <c r="T272" s="5" t="n"/>
      <c r="U272" s="3" t="n"/>
      <c r="V272" s="3">
        <f>IF(S272=0,0,IF(U272="",B272*T272/100,U272))</f>
        <v/>
      </c>
      <c r="W272" s="4" t="n"/>
      <c r="X272" s="5" t="n"/>
      <c r="Y272" s="3" t="n"/>
      <c r="Z272" s="3">
        <f>IF(W272=0,0,IF(Y272="",B272*X272/100,Y272))</f>
        <v/>
      </c>
      <c r="AA272" s="3" t="n"/>
      <c r="AB272" s="3" t="n"/>
      <c r="AC272" s="3">
        <f>B272*0.035</f>
        <v/>
      </c>
      <c r="AD272" s="3">
        <f>B272*0.065</f>
        <v/>
      </c>
      <c r="AE272" s="3">
        <f>SUM(B272,F272,J272,N272,R272,V272,Z272,AA272,AB272,AC272,AD272)</f>
        <v/>
      </c>
      <c r="AF272" s="3">
        <f>B272*0.055</f>
        <v/>
      </c>
      <c r="AG272" s="3">
        <f>B272*0.035</f>
        <v/>
      </c>
      <c r="AH272" s="3">
        <f>B272*0.165</f>
        <v/>
      </c>
      <c r="AI272" s="3">
        <f>MAX(0,AE272-AF272-AH272)</f>
        <v/>
      </c>
      <c r="AJ272" s="3">
        <f>IF(AI272&lt;=490,0,IF(AI272&lt;=600,(AI272-490)*0.05,IF(AI272&lt;=730,5.5+(AI272-600)*0.10,IF(AI272&lt;=3896.67,18.5+(AI272-730)*0.175,IF(AI272&lt;=19896.67,572.67+(AI272-3896.67)*0.25,IF(AI272&lt;=50416.67,4572.67+(AI272-19896.67)*0.30,13728.67+(AI272-50416.67)*0.35))))))</f>
        <v/>
      </c>
      <c r="AK272" s="3" t="n"/>
      <c r="AL272" s="3" t="n"/>
      <c r="AM272" s="3" t="n"/>
      <c r="AN272" s="3" t="n"/>
      <c r="AO272" s="3" t="n"/>
      <c r="AP272" s="3">
        <f>SUM(AF272,AJ272,AK272,AL272,AM272,AN272,AO272,AG272,AH272)</f>
        <v/>
      </c>
      <c r="AQ272" s="3">
        <f>AE272-AP272</f>
        <v/>
      </c>
      <c r="AR272" s="3" t="n"/>
      <c r="AS272" s="3" t="n"/>
      <c r="AT272" s="3">
        <f>AR272-AS272</f>
        <v/>
      </c>
    </row>
    <row r="273">
      <c r="A273" s="2" t="n"/>
      <c r="B273" s="3" t="n"/>
      <c r="C273" s="4" t="n"/>
      <c r="D273" s="5" t="n"/>
      <c r="E273" s="3" t="n"/>
      <c r="F273" s="3">
        <f>IF(C273=0,0,IF(E273="",B273*D273/100,E273))</f>
        <v/>
      </c>
      <c r="G273" s="4" t="n"/>
      <c r="H273" s="5" t="n"/>
      <c r="I273" s="3" t="n"/>
      <c r="J273" s="3">
        <f>IF(G273=0,0,IF(I273="",B273*H273/100,I273))</f>
        <v/>
      </c>
      <c r="K273" s="4" t="n"/>
      <c r="L273" s="5" t="n"/>
      <c r="M273" s="3" t="n"/>
      <c r="N273" s="3">
        <f>IF(K273=0,0,IF(M273="",B273*L273/100,M273))</f>
        <v/>
      </c>
      <c r="O273" s="4" t="n"/>
      <c r="P273" s="5" t="n"/>
      <c r="Q273" s="3" t="n"/>
      <c r="R273" s="3">
        <f>IF(O273=0,0,IF(Q273="",B273*P273/100,Q273))</f>
        <v/>
      </c>
      <c r="S273" s="4" t="n"/>
      <c r="T273" s="5" t="n"/>
      <c r="U273" s="3" t="n"/>
      <c r="V273" s="3">
        <f>IF(S273=0,0,IF(U273="",B273*T273/100,U273))</f>
        <v/>
      </c>
      <c r="W273" s="4" t="n"/>
      <c r="X273" s="5" t="n"/>
      <c r="Y273" s="3" t="n"/>
      <c r="Z273" s="3">
        <f>IF(W273=0,0,IF(Y273="",B273*X273/100,Y273))</f>
        <v/>
      </c>
      <c r="AA273" s="3" t="n"/>
      <c r="AB273" s="3" t="n"/>
      <c r="AC273" s="3">
        <f>B273*0.035</f>
        <v/>
      </c>
      <c r="AD273" s="3">
        <f>B273*0.065</f>
        <v/>
      </c>
      <c r="AE273" s="3">
        <f>SUM(B273,F273,J273,N273,R273,V273,Z273,AA273,AB273,AC273,AD273)</f>
        <v/>
      </c>
      <c r="AF273" s="3">
        <f>B273*0.055</f>
        <v/>
      </c>
      <c r="AG273" s="3">
        <f>B273*0.035</f>
        <v/>
      </c>
      <c r="AH273" s="3">
        <f>B273*0.165</f>
        <v/>
      </c>
      <c r="AI273" s="3">
        <f>MAX(0,AE273-AF273-AH273)</f>
        <v/>
      </c>
      <c r="AJ273" s="3">
        <f>IF(AI273&lt;=490,0,IF(AI273&lt;=600,(AI273-490)*0.05,IF(AI273&lt;=730,5.5+(AI273-600)*0.10,IF(AI273&lt;=3896.67,18.5+(AI273-730)*0.175,IF(AI273&lt;=19896.67,572.67+(AI273-3896.67)*0.25,IF(AI273&lt;=50416.67,4572.67+(AI273-19896.67)*0.30,13728.67+(AI273-50416.67)*0.35))))))</f>
        <v/>
      </c>
      <c r="AK273" s="3" t="n"/>
      <c r="AL273" s="3" t="n"/>
      <c r="AM273" s="3" t="n"/>
      <c r="AN273" s="3" t="n"/>
      <c r="AO273" s="3" t="n"/>
      <c r="AP273" s="3">
        <f>SUM(AF273,AJ273,AK273,AL273,AM273,AN273,AO273,AG273,AH273)</f>
        <v/>
      </c>
      <c r="AQ273" s="3">
        <f>AE273-AP273</f>
        <v/>
      </c>
      <c r="AR273" s="3" t="n"/>
      <c r="AS273" s="3" t="n"/>
      <c r="AT273" s="3">
        <f>AR273-AS273</f>
        <v/>
      </c>
    </row>
    <row r="274">
      <c r="A274" s="2" t="n"/>
      <c r="B274" s="3" t="n"/>
      <c r="C274" s="4" t="n"/>
      <c r="D274" s="5" t="n"/>
      <c r="E274" s="3" t="n"/>
      <c r="F274" s="3">
        <f>IF(C274=0,0,IF(E274="",B274*D274/100,E274))</f>
        <v/>
      </c>
      <c r="G274" s="4" t="n"/>
      <c r="H274" s="5" t="n"/>
      <c r="I274" s="3" t="n"/>
      <c r="J274" s="3">
        <f>IF(G274=0,0,IF(I274="",B274*H274/100,I274))</f>
        <v/>
      </c>
      <c r="K274" s="4" t="n"/>
      <c r="L274" s="5" t="n"/>
      <c r="M274" s="3" t="n"/>
      <c r="N274" s="3">
        <f>IF(K274=0,0,IF(M274="",B274*L274/100,M274))</f>
        <v/>
      </c>
      <c r="O274" s="4" t="n"/>
      <c r="P274" s="5" t="n"/>
      <c r="Q274" s="3" t="n"/>
      <c r="R274" s="3">
        <f>IF(O274=0,0,IF(Q274="",B274*P274/100,Q274))</f>
        <v/>
      </c>
      <c r="S274" s="4" t="n"/>
      <c r="T274" s="5" t="n"/>
      <c r="U274" s="3" t="n"/>
      <c r="V274" s="3">
        <f>IF(S274=0,0,IF(U274="",B274*T274/100,U274))</f>
        <v/>
      </c>
      <c r="W274" s="4" t="n"/>
      <c r="X274" s="5" t="n"/>
      <c r="Y274" s="3" t="n"/>
      <c r="Z274" s="3">
        <f>IF(W274=0,0,IF(Y274="",B274*X274/100,Y274))</f>
        <v/>
      </c>
      <c r="AA274" s="3" t="n"/>
      <c r="AB274" s="3" t="n"/>
      <c r="AC274" s="3">
        <f>B274*0.035</f>
        <v/>
      </c>
      <c r="AD274" s="3">
        <f>B274*0.065</f>
        <v/>
      </c>
      <c r="AE274" s="3">
        <f>SUM(B274,F274,J274,N274,R274,V274,Z274,AA274,AB274,AC274,AD274)</f>
        <v/>
      </c>
      <c r="AF274" s="3">
        <f>B274*0.055</f>
        <v/>
      </c>
      <c r="AG274" s="3">
        <f>B274*0.035</f>
        <v/>
      </c>
      <c r="AH274" s="3">
        <f>B274*0.165</f>
        <v/>
      </c>
      <c r="AI274" s="3">
        <f>MAX(0,AE274-AF274-AH274)</f>
        <v/>
      </c>
      <c r="AJ274" s="3">
        <f>IF(AI274&lt;=490,0,IF(AI274&lt;=600,(AI274-490)*0.05,IF(AI274&lt;=730,5.5+(AI274-600)*0.10,IF(AI274&lt;=3896.67,18.5+(AI274-730)*0.175,IF(AI274&lt;=19896.67,572.67+(AI274-3896.67)*0.25,IF(AI274&lt;=50416.67,4572.67+(AI274-19896.67)*0.30,13728.67+(AI274-50416.67)*0.35))))))</f>
        <v/>
      </c>
      <c r="AK274" s="3" t="n"/>
      <c r="AL274" s="3" t="n"/>
      <c r="AM274" s="3" t="n"/>
      <c r="AN274" s="3" t="n"/>
      <c r="AO274" s="3" t="n"/>
      <c r="AP274" s="3">
        <f>SUM(AF274,AJ274,AK274,AL274,AM274,AN274,AO274,AG274,AH274)</f>
        <v/>
      </c>
      <c r="AQ274" s="3">
        <f>AE274-AP274</f>
        <v/>
      </c>
      <c r="AR274" s="3" t="n"/>
      <c r="AS274" s="3" t="n"/>
      <c r="AT274" s="3">
        <f>AR274-AS274</f>
        <v/>
      </c>
    </row>
    <row r="275">
      <c r="A275" s="2" t="n"/>
      <c r="B275" s="3" t="n"/>
      <c r="C275" s="4" t="n"/>
      <c r="D275" s="5" t="n"/>
      <c r="E275" s="3" t="n"/>
      <c r="F275" s="3">
        <f>IF(C275=0,0,IF(E275="",B275*D275/100,E275))</f>
        <v/>
      </c>
      <c r="G275" s="4" t="n"/>
      <c r="H275" s="5" t="n"/>
      <c r="I275" s="3" t="n"/>
      <c r="J275" s="3">
        <f>IF(G275=0,0,IF(I275="",B275*H275/100,I275))</f>
        <v/>
      </c>
      <c r="K275" s="4" t="n"/>
      <c r="L275" s="5" t="n"/>
      <c r="M275" s="3" t="n"/>
      <c r="N275" s="3">
        <f>IF(K275=0,0,IF(M275="",B275*L275/100,M275))</f>
        <v/>
      </c>
      <c r="O275" s="4" t="n"/>
      <c r="P275" s="5" t="n"/>
      <c r="Q275" s="3" t="n"/>
      <c r="R275" s="3">
        <f>IF(O275=0,0,IF(Q275="",B275*P275/100,Q275))</f>
        <v/>
      </c>
      <c r="S275" s="4" t="n"/>
      <c r="T275" s="5" t="n"/>
      <c r="U275" s="3" t="n"/>
      <c r="V275" s="3">
        <f>IF(S275=0,0,IF(U275="",B275*T275/100,U275))</f>
        <v/>
      </c>
      <c r="W275" s="4" t="n"/>
      <c r="X275" s="5" t="n"/>
      <c r="Y275" s="3" t="n"/>
      <c r="Z275" s="3">
        <f>IF(W275=0,0,IF(Y275="",B275*X275/100,Y275))</f>
        <v/>
      </c>
      <c r="AA275" s="3" t="n"/>
      <c r="AB275" s="3" t="n"/>
      <c r="AC275" s="3">
        <f>B275*0.035</f>
        <v/>
      </c>
      <c r="AD275" s="3">
        <f>B275*0.065</f>
        <v/>
      </c>
      <c r="AE275" s="3">
        <f>SUM(B275,F275,J275,N275,R275,V275,Z275,AA275,AB275,AC275,AD275)</f>
        <v/>
      </c>
      <c r="AF275" s="3">
        <f>B275*0.055</f>
        <v/>
      </c>
      <c r="AG275" s="3">
        <f>B275*0.035</f>
        <v/>
      </c>
      <c r="AH275" s="3">
        <f>B275*0.165</f>
        <v/>
      </c>
      <c r="AI275" s="3">
        <f>MAX(0,AE275-AF275-AH275)</f>
        <v/>
      </c>
      <c r="AJ275" s="3">
        <f>IF(AI275&lt;=490,0,IF(AI275&lt;=600,(AI275-490)*0.05,IF(AI275&lt;=730,5.5+(AI275-600)*0.10,IF(AI275&lt;=3896.67,18.5+(AI275-730)*0.175,IF(AI275&lt;=19896.67,572.67+(AI275-3896.67)*0.25,IF(AI275&lt;=50416.67,4572.67+(AI275-19896.67)*0.30,13728.67+(AI275-50416.67)*0.35))))))</f>
        <v/>
      </c>
      <c r="AK275" s="3" t="n"/>
      <c r="AL275" s="3" t="n"/>
      <c r="AM275" s="3" t="n"/>
      <c r="AN275" s="3" t="n"/>
      <c r="AO275" s="3" t="n"/>
      <c r="AP275" s="3">
        <f>SUM(AF275,AJ275,AK275,AL275,AM275,AN275,AO275,AG275,AH275)</f>
        <v/>
      </c>
      <c r="AQ275" s="3">
        <f>AE275-AP275</f>
        <v/>
      </c>
      <c r="AR275" s="3" t="n"/>
      <c r="AS275" s="3" t="n"/>
      <c r="AT275" s="3">
        <f>AR275-AS275</f>
        <v/>
      </c>
    </row>
    <row r="276">
      <c r="A276" s="2" t="n"/>
      <c r="B276" s="3" t="n"/>
      <c r="C276" s="4" t="n"/>
      <c r="D276" s="5" t="n"/>
      <c r="E276" s="3" t="n"/>
      <c r="F276" s="3">
        <f>IF(C276=0,0,IF(E276="",B276*D276/100,E276))</f>
        <v/>
      </c>
      <c r="G276" s="4" t="n"/>
      <c r="H276" s="5" t="n"/>
      <c r="I276" s="3" t="n"/>
      <c r="J276" s="3">
        <f>IF(G276=0,0,IF(I276="",B276*H276/100,I276))</f>
        <v/>
      </c>
      <c r="K276" s="4" t="n"/>
      <c r="L276" s="5" t="n"/>
      <c r="M276" s="3" t="n"/>
      <c r="N276" s="3">
        <f>IF(K276=0,0,IF(M276="",B276*L276/100,M276))</f>
        <v/>
      </c>
      <c r="O276" s="4" t="n"/>
      <c r="P276" s="5" t="n"/>
      <c r="Q276" s="3" t="n"/>
      <c r="R276" s="3">
        <f>IF(O276=0,0,IF(Q276="",B276*P276/100,Q276))</f>
        <v/>
      </c>
      <c r="S276" s="4" t="n"/>
      <c r="T276" s="5" t="n"/>
      <c r="U276" s="3" t="n"/>
      <c r="V276" s="3">
        <f>IF(S276=0,0,IF(U276="",B276*T276/100,U276))</f>
        <v/>
      </c>
      <c r="W276" s="4" t="n"/>
      <c r="X276" s="5" t="n"/>
      <c r="Y276" s="3" t="n"/>
      <c r="Z276" s="3">
        <f>IF(W276=0,0,IF(Y276="",B276*X276/100,Y276))</f>
        <v/>
      </c>
      <c r="AA276" s="3" t="n"/>
      <c r="AB276" s="3" t="n"/>
      <c r="AC276" s="3">
        <f>B276*0.035</f>
        <v/>
      </c>
      <c r="AD276" s="3">
        <f>B276*0.065</f>
        <v/>
      </c>
      <c r="AE276" s="3">
        <f>SUM(B276,F276,J276,N276,R276,V276,Z276,AA276,AB276,AC276,AD276)</f>
        <v/>
      </c>
      <c r="AF276" s="3">
        <f>B276*0.055</f>
        <v/>
      </c>
      <c r="AG276" s="3">
        <f>B276*0.035</f>
        <v/>
      </c>
      <c r="AH276" s="3">
        <f>B276*0.165</f>
        <v/>
      </c>
      <c r="AI276" s="3">
        <f>MAX(0,AE276-AF276-AH276)</f>
        <v/>
      </c>
      <c r="AJ276" s="3">
        <f>IF(AI276&lt;=490,0,IF(AI276&lt;=600,(AI276-490)*0.05,IF(AI276&lt;=730,5.5+(AI276-600)*0.10,IF(AI276&lt;=3896.67,18.5+(AI276-730)*0.175,IF(AI276&lt;=19896.67,572.67+(AI276-3896.67)*0.25,IF(AI276&lt;=50416.67,4572.67+(AI276-19896.67)*0.30,13728.67+(AI276-50416.67)*0.35))))))</f>
        <v/>
      </c>
      <c r="AK276" s="3" t="n"/>
      <c r="AL276" s="3" t="n"/>
      <c r="AM276" s="3" t="n"/>
      <c r="AN276" s="3" t="n"/>
      <c r="AO276" s="3" t="n"/>
      <c r="AP276" s="3">
        <f>SUM(AF276,AJ276,AK276,AL276,AM276,AN276,AO276,AG276,AH276)</f>
        <v/>
      </c>
      <c r="AQ276" s="3">
        <f>AE276-AP276</f>
        <v/>
      </c>
      <c r="AR276" s="3" t="n"/>
      <c r="AS276" s="3" t="n"/>
      <c r="AT276" s="3">
        <f>AR276-AS276</f>
        <v/>
      </c>
    </row>
    <row r="277">
      <c r="A277" s="2" t="n"/>
      <c r="B277" s="3" t="n"/>
      <c r="C277" s="4" t="n"/>
      <c r="D277" s="5" t="n"/>
      <c r="E277" s="3" t="n"/>
      <c r="F277" s="3">
        <f>IF(C277=0,0,IF(E277="",B277*D277/100,E277))</f>
        <v/>
      </c>
      <c r="G277" s="4" t="n"/>
      <c r="H277" s="5" t="n"/>
      <c r="I277" s="3" t="n"/>
      <c r="J277" s="3">
        <f>IF(G277=0,0,IF(I277="",B277*H277/100,I277))</f>
        <v/>
      </c>
      <c r="K277" s="4" t="n"/>
      <c r="L277" s="5" t="n"/>
      <c r="M277" s="3" t="n"/>
      <c r="N277" s="3">
        <f>IF(K277=0,0,IF(M277="",B277*L277/100,M277))</f>
        <v/>
      </c>
      <c r="O277" s="4" t="n"/>
      <c r="P277" s="5" t="n"/>
      <c r="Q277" s="3" t="n"/>
      <c r="R277" s="3">
        <f>IF(O277=0,0,IF(Q277="",B277*P277/100,Q277))</f>
        <v/>
      </c>
      <c r="S277" s="4" t="n"/>
      <c r="T277" s="5" t="n"/>
      <c r="U277" s="3" t="n"/>
      <c r="V277" s="3">
        <f>IF(S277=0,0,IF(U277="",B277*T277/100,U277))</f>
        <v/>
      </c>
      <c r="W277" s="4" t="n"/>
      <c r="X277" s="5" t="n"/>
      <c r="Y277" s="3" t="n"/>
      <c r="Z277" s="3">
        <f>IF(W277=0,0,IF(Y277="",B277*X277/100,Y277))</f>
        <v/>
      </c>
      <c r="AA277" s="3" t="n"/>
      <c r="AB277" s="3" t="n"/>
      <c r="AC277" s="3">
        <f>B277*0.035</f>
        <v/>
      </c>
      <c r="AD277" s="3">
        <f>B277*0.065</f>
        <v/>
      </c>
      <c r="AE277" s="3">
        <f>SUM(B277,F277,J277,N277,R277,V277,Z277,AA277,AB277,AC277,AD277)</f>
        <v/>
      </c>
      <c r="AF277" s="3">
        <f>B277*0.055</f>
        <v/>
      </c>
      <c r="AG277" s="3">
        <f>B277*0.035</f>
        <v/>
      </c>
      <c r="AH277" s="3">
        <f>B277*0.165</f>
        <v/>
      </c>
      <c r="AI277" s="3">
        <f>MAX(0,AE277-AF277-AH277)</f>
        <v/>
      </c>
      <c r="AJ277" s="3">
        <f>IF(AI277&lt;=490,0,IF(AI277&lt;=600,(AI277-490)*0.05,IF(AI277&lt;=730,5.5+(AI277-600)*0.10,IF(AI277&lt;=3896.67,18.5+(AI277-730)*0.175,IF(AI277&lt;=19896.67,572.67+(AI277-3896.67)*0.25,IF(AI277&lt;=50416.67,4572.67+(AI277-19896.67)*0.30,13728.67+(AI277-50416.67)*0.35))))))</f>
        <v/>
      </c>
      <c r="AK277" s="3" t="n"/>
      <c r="AL277" s="3" t="n"/>
      <c r="AM277" s="3" t="n"/>
      <c r="AN277" s="3" t="n"/>
      <c r="AO277" s="3" t="n"/>
      <c r="AP277" s="3">
        <f>SUM(AF277,AJ277,AK277,AL277,AM277,AN277,AO277,AG277,AH277)</f>
        <v/>
      </c>
      <c r="AQ277" s="3">
        <f>AE277-AP277</f>
        <v/>
      </c>
      <c r="AR277" s="3" t="n"/>
      <c r="AS277" s="3" t="n"/>
      <c r="AT277" s="3">
        <f>AR277-AS277</f>
        <v/>
      </c>
    </row>
    <row r="278">
      <c r="A278" s="2" t="n"/>
      <c r="B278" s="3" t="n"/>
      <c r="C278" s="4" t="n"/>
      <c r="D278" s="5" t="n"/>
      <c r="E278" s="3" t="n"/>
      <c r="F278" s="3">
        <f>IF(C278=0,0,IF(E278="",B278*D278/100,E278))</f>
        <v/>
      </c>
      <c r="G278" s="4" t="n"/>
      <c r="H278" s="5" t="n"/>
      <c r="I278" s="3" t="n"/>
      <c r="J278" s="3">
        <f>IF(G278=0,0,IF(I278="",B278*H278/100,I278))</f>
        <v/>
      </c>
      <c r="K278" s="4" t="n"/>
      <c r="L278" s="5" t="n"/>
      <c r="M278" s="3" t="n"/>
      <c r="N278" s="3">
        <f>IF(K278=0,0,IF(M278="",B278*L278/100,M278))</f>
        <v/>
      </c>
      <c r="O278" s="4" t="n"/>
      <c r="P278" s="5" t="n"/>
      <c r="Q278" s="3" t="n"/>
      <c r="R278" s="3">
        <f>IF(O278=0,0,IF(Q278="",B278*P278/100,Q278))</f>
        <v/>
      </c>
      <c r="S278" s="4" t="n"/>
      <c r="T278" s="5" t="n"/>
      <c r="U278" s="3" t="n"/>
      <c r="V278" s="3">
        <f>IF(S278=0,0,IF(U278="",B278*T278/100,U278))</f>
        <v/>
      </c>
      <c r="W278" s="4" t="n"/>
      <c r="X278" s="5" t="n"/>
      <c r="Y278" s="3" t="n"/>
      <c r="Z278" s="3">
        <f>IF(W278=0,0,IF(Y278="",B278*X278/100,Y278))</f>
        <v/>
      </c>
      <c r="AA278" s="3" t="n"/>
      <c r="AB278" s="3" t="n"/>
      <c r="AC278" s="3">
        <f>B278*0.035</f>
        <v/>
      </c>
      <c r="AD278" s="3">
        <f>B278*0.065</f>
        <v/>
      </c>
      <c r="AE278" s="3">
        <f>SUM(B278,F278,J278,N278,R278,V278,Z278,AA278,AB278,AC278,AD278)</f>
        <v/>
      </c>
      <c r="AF278" s="3">
        <f>B278*0.055</f>
        <v/>
      </c>
      <c r="AG278" s="3">
        <f>B278*0.035</f>
        <v/>
      </c>
      <c r="AH278" s="3">
        <f>B278*0.165</f>
        <v/>
      </c>
      <c r="AI278" s="3">
        <f>MAX(0,AE278-AF278-AH278)</f>
        <v/>
      </c>
      <c r="AJ278" s="3">
        <f>IF(AI278&lt;=490,0,IF(AI278&lt;=600,(AI278-490)*0.05,IF(AI278&lt;=730,5.5+(AI278-600)*0.10,IF(AI278&lt;=3896.67,18.5+(AI278-730)*0.175,IF(AI278&lt;=19896.67,572.67+(AI278-3896.67)*0.25,IF(AI278&lt;=50416.67,4572.67+(AI278-19896.67)*0.30,13728.67+(AI278-50416.67)*0.35))))))</f>
        <v/>
      </c>
      <c r="AK278" s="3" t="n"/>
      <c r="AL278" s="3" t="n"/>
      <c r="AM278" s="3" t="n"/>
      <c r="AN278" s="3" t="n"/>
      <c r="AO278" s="3" t="n"/>
      <c r="AP278" s="3">
        <f>SUM(AF278,AJ278,AK278,AL278,AM278,AN278,AO278,AG278,AH278)</f>
        <v/>
      </c>
      <c r="AQ278" s="3">
        <f>AE278-AP278</f>
        <v/>
      </c>
      <c r="AR278" s="3" t="n"/>
      <c r="AS278" s="3" t="n"/>
      <c r="AT278" s="3">
        <f>AR278-AS278</f>
        <v/>
      </c>
    </row>
    <row r="279">
      <c r="A279" s="2" t="n"/>
      <c r="B279" s="3" t="n"/>
      <c r="C279" s="4" t="n"/>
      <c r="D279" s="5" t="n"/>
      <c r="E279" s="3" t="n"/>
      <c r="F279" s="3">
        <f>IF(C279=0,0,IF(E279="",B279*D279/100,E279))</f>
        <v/>
      </c>
      <c r="G279" s="4" t="n"/>
      <c r="H279" s="5" t="n"/>
      <c r="I279" s="3" t="n"/>
      <c r="J279" s="3">
        <f>IF(G279=0,0,IF(I279="",B279*H279/100,I279))</f>
        <v/>
      </c>
      <c r="K279" s="4" t="n"/>
      <c r="L279" s="5" t="n"/>
      <c r="M279" s="3" t="n"/>
      <c r="N279" s="3">
        <f>IF(K279=0,0,IF(M279="",B279*L279/100,M279))</f>
        <v/>
      </c>
      <c r="O279" s="4" t="n"/>
      <c r="P279" s="5" t="n"/>
      <c r="Q279" s="3" t="n"/>
      <c r="R279" s="3">
        <f>IF(O279=0,0,IF(Q279="",B279*P279/100,Q279))</f>
        <v/>
      </c>
      <c r="S279" s="4" t="n"/>
      <c r="T279" s="5" t="n"/>
      <c r="U279" s="3" t="n"/>
      <c r="V279" s="3">
        <f>IF(S279=0,0,IF(U279="",B279*T279/100,U279))</f>
        <v/>
      </c>
      <c r="W279" s="4" t="n"/>
      <c r="X279" s="5" t="n"/>
      <c r="Y279" s="3" t="n"/>
      <c r="Z279" s="3">
        <f>IF(W279=0,0,IF(Y279="",B279*X279/100,Y279))</f>
        <v/>
      </c>
      <c r="AA279" s="3" t="n"/>
      <c r="AB279" s="3" t="n"/>
      <c r="AC279" s="3">
        <f>B279*0.035</f>
        <v/>
      </c>
      <c r="AD279" s="3">
        <f>B279*0.065</f>
        <v/>
      </c>
      <c r="AE279" s="3">
        <f>SUM(B279,F279,J279,N279,R279,V279,Z279,AA279,AB279,AC279,AD279)</f>
        <v/>
      </c>
      <c r="AF279" s="3">
        <f>B279*0.055</f>
        <v/>
      </c>
      <c r="AG279" s="3">
        <f>B279*0.035</f>
        <v/>
      </c>
      <c r="AH279" s="3">
        <f>B279*0.165</f>
        <v/>
      </c>
      <c r="AI279" s="3">
        <f>MAX(0,AE279-AF279-AH279)</f>
        <v/>
      </c>
      <c r="AJ279" s="3">
        <f>IF(AI279&lt;=490,0,IF(AI279&lt;=600,(AI279-490)*0.05,IF(AI279&lt;=730,5.5+(AI279-600)*0.10,IF(AI279&lt;=3896.67,18.5+(AI279-730)*0.175,IF(AI279&lt;=19896.67,572.67+(AI279-3896.67)*0.25,IF(AI279&lt;=50416.67,4572.67+(AI279-19896.67)*0.30,13728.67+(AI279-50416.67)*0.35))))))</f>
        <v/>
      </c>
      <c r="AK279" s="3" t="n"/>
      <c r="AL279" s="3" t="n"/>
      <c r="AM279" s="3" t="n"/>
      <c r="AN279" s="3" t="n"/>
      <c r="AO279" s="3" t="n"/>
      <c r="AP279" s="3">
        <f>SUM(AF279,AJ279,AK279,AL279,AM279,AN279,AO279,AG279,AH279)</f>
        <v/>
      </c>
      <c r="AQ279" s="3">
        <f>AE279-AP279</f>
        <v/>
      </c>
      <c r="AR279" s="3" t="n"/>
      <c r="AS279" s="3" t="n"/>
      <c r="AT279" s="3">
        <f>AR279-AS279</f>
        <v/>
      </c>
    </row>
    <row r="280">
      <c r="A280" s="2" t="n"/>
      <c r="B280" s="3" t="n"/>
      <c r="C280" s="4" t="n"/>
      <c r="D280" s="5" t="n"/>
      <c r="E280" s="3" t="n"/>
      <c r="F280" s="3">
        <f>IF(C280=0,0,IF(E280="",B280*D280/100,E280))</f>
        <v/>
      </c>
      <c r="G280" s="4" t="n"/>
      <c r="H280" s="5" t="n"/>
      <c r="I280" s="3" t="n"/>
      <c r="J280" s="3">
        <f>IF(G280=0,0,IF(I280="",B280*H280/100,I280))</f>
        <v/>
      </c>
      <c r="K280" s="4" t="n"/>
      <c r="L280" s="5" t="n"/>
      <c r="M280" s="3" t="n"/>
      <c r="N280" s="3">
        <f>IF(K280=0,0,IF(M280="",B280*L280/100,M280))</f>
        <v/>
      </c>
      <c r="O280" s="4" t="n"/>
      <c r="P280" s="5" t="n"/>
      <c r="Q280" s="3" t="n"/>
      <c r="R280" s="3">
        <f>IF(O280=0,0,IF(Q280="",B280*P280/100,Q280))</f>
        <v/>
      </c>
      <c r="S280" s="4" t="n"/>
      <c r="T280" s="5" t="n"/>
      <c r="U280" s="3" t="n"/>
      <c r="V280" s="3">
        <f>IF(S280=0,0,IF(U280="",B280*T280/100,U280))</f>
        <v/>
      </c>
      <c r="W280" s="4" t="n"/>
      <c r="X280" s="5" t="n"/>
      <c r="Y280" s="3" t="n"/>
      <c r="Z280" s="3">
        <f>IF(W280=0,0,IF(Y280="",B280*X280/100,Y280))</f>
        <v/>
      </c>
      <c r="AA280" s="3" t="n"/>
      <c r="AB280" s="3" t="n"/>
      <c r="AC280" s="3">
        <f>B280*0.035</f>
        <v/>
      </c>
      <c r="AD280" s="3">
        <f>B280*0.065</f>
        <v/>
      </c>
      <c r="AE280" s="3">
        <f>SUM(B280,F280,J280,N280,R280,V280,Z280,AA280,AB280,AC280,AD280)</f>
        <v/>
      </c>
      <c r="AF280" s="3">
        <f>B280*0.055</f>
        <v/>
      </c>
      <c r="AG280" s="3">
        <f>B280*0.035</f>
        <v/>
      </c>
      <c r="AH280" s="3">
        <f>B280*0.165</f>
        <v/>
      </c>
      <c r="AI280" s="3">
        <f>MAX(0,AE280-AF280-AH280)</f>
        <v/>
      </c>
      <c r="AJ280" s="3">
        <f>IF(AI280&lt;=490,0,IF(AI280&lt;=600,(AI280-490)*0.05,IF(AI280&lt;=730,5.5+(AI280-600)*0.10,IF(AI280&lt;=3896.67,18.5+(AI280-730)*0.175,IF(AI280&lt;=19896.67,572.67+(AI280-3896.67)*0.25,IF(AI280&lt;=50416.67,4572.67+(AI280-19896.67)*0.30,13728.67+(AI280-50416.67)*0.35))))))</f>
        <v/>
      </c>
      <c r="AK280" s="3" t="n"/>
      <c r="AL280" s="3" t="n"/>
      <c r="AM280" s="3" t="n"/>
      <c r="AN280" s="3" t="n"/>
      <c r="AO280" s="3" t="n"/>
      <c r="AP280" s="3">
        <f>SUM(AF280,AJ280,AK280,AL280,AM280,AN280,AO280,AG280,AH280)</f>
        <v/>
      </c>
      <c r="AQ280" s="3">
        <f>AE280-AP280</f>
        <v/>
      </c>
      <c r="AR280" s="3" t="n"/>
      <c r="AS280" s="3" t="n"/>
      <c r="AT280" s="3">
        <f>AR280-AS280</f>
        <v/>
      </c>
    </row>
    <row r="281">
      <c r="A281" s="2" t="n"/>
      <c r="B281" s="3" t="n"/>
      <c r="C281" s="4" t="n"/>
      <c r="D281" s="5" t="n"/>
      <c r="E281" s="3" t="n"/>
      <c r="F281" s="3">
        <f>IF(C281=0,0,IF(E281="",B281*D281/100,E281))</f>
        <v/>
      </c>
      <c r="G281" s="4" t="n"/>
      <c r="H281" s="5" t="n"/>
      <c r="I281" s="3" t="n"/>
      <c r="J281" s="3">
        <f>IF(G281=0,0,IF(I281="",B281*H281/100,I281))</f>
        <v/>
      </c>
      <c r="K281" s="4" t="n"/>
      <c r="L281" s="5" t="n"/>
      <c r="M281" s="3" t="n"/>
      <c r="N281" s="3">
        <f>IF(K281=0,0,IF(M281="",B281*L281/100,M281))</f>
        <v/>
      </c>
      <c r="O281" s="4" t="n"/>
      <c r="P281" s="5" t="n"/>
      <c r="Q281" s="3" t="n"/>
      <c r="R281" s="3">
        <f>IF(O281=0,0,IF(Q281="",B281*P281/100,Q281))</f>
        <v/>
      </c>
      <c r="S281" s="4" t="n"/>
      <c r="T281" s="5" t="n"/>
      <c r="U281" s="3" t="n"/>
      <c r="V281" s="3">
        <f>IF(S281=0,0,IF(U281="",B281*T281/100,U281))</f>
        <v/>
      </c>
      <c r="W281" s="4" t="n"/>
      <c r="X281" s="5" t="n"/>
      <c r="Y281" s="3" t="n"/>
      <c r="Z281" s="3">
        <f>IF(W281=0,0,IF(Y281="",B281*X281/100,Y281))</f>
        <v/>
      </c>
      <c r="AA281" s="3" t="n"/>
      <c r="AB281" s="3" t="n"/>
      <c r="AC281" s="3">
        <f>B281*0.035</f>
        <v/>
      </c>
      <c r="AD281" s="3">
        <f>B281*0.065</f>
        <v/>
      </c>
      <c r="AE281" s="3">
        <f>SUM(B281,F281,J281,N281,R281,V281,Z281,AA281,AB281,AC281,AD281)</f>
        <v/>
      </c>
      <c r="AF281" s="3">
        <f>B281*0.055</f>
        <v/>
      </c>
      <c r="AG281" s="3">
        <f>B281*0.035</f>
        <v/>
      </c>
      <c r="AH281" s="3">
        <f>B281*0.165</f>
        <v/>
      </c>
      <c r="AI281" s="3">
        <f>MAX(0,AE281-AF281-AH281)</f>
        <v/>
      </c>
      <c r="AJ281" s="3">
        <f>IF(AI281&lt;=490,0,IF(AI281&lt;=600,(AI281-490)*0.05,IF(AI281&lt;=730,5.5+(AI281-600)*0.10,IF(AI281&lt;=3896.67,18.5+(AI281-730)*0.175,IF(AI281&lt;=19896.67,572.67+(AI281-3896.67)*0.25,IF(AI281&lt;=50416.67,4572.67+(AI281-19896.67)*0.30,13728.67+(AI281-50416.67)*0.35))))))</f>
        <v/>
      </c>
      <c r="AK281" s="3" t="n"/>
      <c r="AL281" s="3" t="n"/>
      <c r="AM281" s="3" t="n"/>
      <c r="AN281" s="3" t="n"/>
      <c r="AO281" s="3" t="n"/>
      <c r="AP281" s="3">
        <f>SUM(AF281,AJ281,AK281,AL281,AM281,AN281,AO281,AG281,AH281)</f>
        <v/>
      </c>
      <c r="AQ281" s="3">
        <f>AE281-AP281</f>
        <v/>
      </c>
      <c r="AR281" s="3" t="n"/>
      <c r="AS281" s="3" t="n"/>
      <c r="AT281" s="3">
        <f>AR281-AS281</f>
        <v/>
      </c>
    </row>
    <row r="282">
      <c r="A282" s="2" t="n"/>
      <c r="B282" s="3" t="n"/>
      <c r="C282" s="4" t="n"/>
      <c r="D282" s="5" t="n"/>
      <c r="E282" s="3" t="n"/>
      <c r="F282" s="3">
        <f>IF(C282=0,0,IF(E282="",B282*D282/100,E282))</f>
        <v/>
      </c>
      <c r="G282" s="4" t="n"/>
      <c r="H282" s="5" t="n"/>
      <c r="I282" s="3" t="n"/>
      <c r="J282" s="3">
        <f>IF(G282=0,0,IF(I282="",B282*H282/100,I282))</f>
        <v/>
      </c>
      <c r="K282" s="4" t="n"/>
      <c r="L282" s="5" t="n"/>
      <c r="M282" s="3" t="n"/>
      <c r="N282" s="3">
        <f>IF(K282=0,0,IF(M282="",B282*L282/100,M282))</f>
        <v/>
      </c>
      <c r="O282" s="4" t="n"/>
      <c r="P282" s="5" t="n"/>
      <c r="Q282" s="3" t="n"/>
      <c r="R282" s="3">
        <f>IF(O282=0,0,IF(Q282="",B282*P282/100,Q282))</f>
        <v/>
      </c>
      <c r="S282" s="4" t="n"/>
      <c r="T282" s="5" t="n"/>
      <c r="U282" s="3" t="n"/>
      <c r="V282" s="3">
        <f>IF(S282=0,0,IF(U282="",B282*T282/100,U282))</f>
        <v/>
      </c>
      <c r="W282" s="4" t="n"/>
      <c r="X282" s="5" t="n"/>
      <c r="Y282" s="3" t="n"/>
      <c r="Z282" s="3">
        <f>IF(W282=0,0,IF(Y282="",B282*X282/100,Y282))</f>
        <v/>
      </c>
      <c r="AA282" s="3" t="n"/>
      <c r="AB282" s="3" t="n"/>
      <c r="AC282" s="3">
        <f>B282*0.035</f>
        <v/>
      </c>
      <c r="AD282" s="3">
        <f>B282*0.065</f>
        <v/>
      </c>
      <c r="AE282" s="3">
        <f>SUM(B282,F282,J282,N282,R282,V282,Z282,AA282,AB282,AC282,AD282)</f>
        <v/>
      </c>
      <c r="AF282" s="3">
        <f>B282*0.055</f>
        <v/>
      </c>
      <c r="AG282" s="3">
        <f>B282*0.035</f>
        <v/>
      </c>
      <c r="AH282" s="3">
        <f>B282*0.165</f>
        <v/>
      </c>
      <c r="AI282" s="3">
        <f>MAX(0,AE282-AF282-AH282)</f>
        <v/>
      </c>
      <c r="AJ282" s="3">
        <f>IF(AI282&lt;=490,0,IF(AI282&lt;=600,(AI282-490)*0.05,IF(AI282&lt;=730,5.5+(AI282-600)*0.10,IF(AI282&lt;=3896.67,18.5+(AI282-730)*0.175,IF(AI282&lt;=19896.67,572.67+(AI282-3896.67)*0.25,IF(AI282&lt;=50416.67,4572.67+(AI282-19896.67)*0.30,13728.67+(AI282-50416.67)*0.35))))))</f>
        <v/>
      </c>
      <c r="AK282" s="3" t="n"/>
      <c r="AL282" s="3" t="n"/>
      <c r="AM282" s="3" t="n"/>
      <c r="AN282" s="3" t="n"/>
      <c r="AO282" s="3" t="n"/>
      <c r="AP282" s="3">
        <f>SUM(AF282,AJ282,AK282,AL282,AM282,AN282,AO282,AG282,AH282)</f>
        <v/>
      </c>
      <c r="AQ282" s="3">
        <f>AE282-AP282</f>
        <v/>
      </c>
      <c r="AR282" s="3" t="n"/>
      <c r="AS282" s="3" t="n"/>
      <c r="AT282" s="3">
        <f>AR282-AS282</f>
        <v/>
      </c>
    </row>
    <row r="283">
      <c r="A283" s="2" t="n"/>
      <c r="B283" s="3" t="n"/>
      <c r="C283" s="4" t="n"/>
      <c r="D283" s="5" t="n"/>
      <c r="E283" s="3" t="n"/>
      <c r="F283" s="3">
        <f>IF(C283=0,0,IF(E283="",B283*D283/100,E283))</f>
        <v/>
      </c>
      <c r="G283" s="4" t="n"/>
      <c r="H283" s="5" t="n"/>
      <c r="I283" s="3" t="n"/>
      <c r="J283" s="3">
        <f>IF(G283=0,0,IF(I283="",B283*H283/100,I283))</f>
        <v/>
      </c>
      <c r="K283" s="4" t="n"/>
      <c r="L283" s="5" t="n"/>
      <c r="M283" s="3" t="n"/>
      <c r="N283" s="3">
        <f>IF(K283=0,0,IF(M283="",B283*L283/100,M283))</f>
        <v/>
      </c>
      <c r="O283" s="4" t="n"/>
      <c r="P283" s="5" t="n"/>
      <c r="Q283" s="3" t="n"/>
      <c r="R283" s="3">
        <f>IF(O283=0,0,IF(Q283="",B283*P283/100,Q283))</f>
        <v/>
      </c>
      <c r="S283" s="4" t="n"/>
      <c r="T283" s="5" t="n"/>
      <c r="U283" s="3" t="n"/>
      <c r="V283" s="3">
        <f>IF(S283=0,0,IF(U283="",B283*T283/100,U283))</f>
        <v/>
      </c>
      <c r="W283" s="4" t="n"/>
      <c r="X283" s="5" t="n"/>
      <c r="Y283" s="3" t="n"/>
      <c r="Z283" s="3">
        <f>IF(W283=0,0,IF(Y283="",B283*X283/100,Y283))</f>
        <v/>
      </c>
      <c r="AA283" s="3" t="n"/>
      <c r="AB283" s="3" t="n"/>
      <c r="AC283" s="3">
        <f>B283*0.035</f>
        <v/>
      </c>
      <c r="AD283" s="3">
        <f>B283*0.065</f>
        <v/>
      </c>
      <c r="AE283" s="3">
        <f>SUM(B283,F283,J283,N283,R283,V283,Z283,AA283,AB283,AC283,AD283)</f>
        <v/>
      </c>
      <c r="AF283" s="3">
        <f>B283*0.055</f>
        <v/>
      </c>
      <c r="AG283" s="3">
        <f>B283*0.035</f>
        <v/>
      </c>
      <c r="AH283" s="3">
        <f>B283*0.165</f>
        <v/>
      </c>
      <c r="AI283" s="3">
        <f>MAX(0,AE283-AF283-AH283)</f>
        <v/>
      </c>
      <c r="AJ283" s="3">
        <f>IF(AI283&lt;=490,0,IF(AI283&lt;=600,(AI283-490)*0.05,IF(AI283&lt;=730,5.5+(AI283-600)*0.10,IF(AI283&lt;=3896.67,18.5+(AI283-730)*0.175,IF(AI283&lt;=19896.67,572.67+(AI283-3896.67)*0.25,IF(AI283&lt;=50416.67,4572.67+(AI283-19896.67)*0.30,13728.67+(AI283-50416.67)*0.35))))))</f>
        <v/>
      </c>
      <c r="AK283" s="3" t="n"/>
      <c r="AL283" s="3" t="n"/>
      <c r="AM283" s="3" t="n"/>
      <c r="AN283" s="3" t="n"/>
      <c r="AO283" s="3" t="n"/>
      <c r="AP283" s="3">
        <f>SUM(AF283,AJ283,AK283,AL283,AM283,AN283,AO283,AG283,AH283)</f>
        <v/>
      </c>
      <c r="AQ283" s="3">
        <f>AE283-AP283</f>
        <v/>
      </c>
      <c r="AR283" s="3" t="n"/>
      <c r="AS283" s="3" t="n"/>
      <c r="AT283" s="3">
        <f>AR283-AS283</f>
        <v/>
      </c>
    </row>
    <row r="284">
      <c r="A284" s="2" t="n"/>
      <c r="B284" s="3" t="n"/>
      <c r="C284" s="4" t="n"/>
      <c r="D284" s="5" t="n"/>
      <c r="E284" s="3" t="n"/>
      <c r="F284" s="3">
        <f>IF(C284=0,0,IF(E284="",B284*D284/100,E284))</f>
        <v/>
      </c>
      <c r="G284" s="4" t="n"/>
      <c r="H284" s="5" t="n"/>
      <c r="I284" s="3" t="n"/>
      <c r="J284" s="3">
        <f>IF(G284=0,0,IF(I284="",B284*H284/100,I284))</f>
        <v/>
      </c>
      <c r="K284" s="4" t="n"/>
      <c r="L284" s="5" t="n"/>
      <c r="M284" s="3" t="n"/>
      <c r="N284" s="3">
        <f>IF(K284=0,0,IF(M284="",B284*L284/100,M284))</f>
        <v/>
      </c>
      <c r="O284" s="4" t="n"/>
      <c r="P284" s="5" t="n"/>
      <c r="Q284" s="3" t="n"/>
      <c r="R284" s="3">
        <f>IF(O284=0,0,IF(Q284="",B284*P284/100,Q284))</f>
        <v/>
      </c>
      <c r="S284" s="4" t="n"/>
      <c r="T284" s="5" t="n"/>
      <c r="U284" s="3" t="n"/>
      <c r="V284" s="3">
        <f>IF(S284=0,0,IF(U284="",B284*T284/100,U284))</f>
        <v/>
      </c>
      <c r="W284" s="4" t="n"/>
      <c r="X284" s="5" t="n"/>
      <c r="Y284" s="3" t="n"/>
      <c r="Z284" s="3">
        <f>IF(W284=0,0,IF(Y284="",B284*X284/100,Y284))</f>
        <v/>
      </c>
      <c r="AA284" s="3" t="n"/>
      <c r="AB284" s="3" t="n"/>
      <c r="AC284" s="3">
        <f>B284*0.035</f>
        <v/>
      </c>
      <c r="AD284" s="3">
        <f>B284*0.065</f>
        <v/>
      </c>
      <c r="AE284" s="3">
        <f>SUM(B284,F284,J284,N284,R284,V284,Z284,AA284,AB284,AC284,AD284)</f>
        <v/>
      </c>
      <c r="AF284" s="3">
        <f>B284*0.055</f>
        <v/>
      </c>
      <c r="AG284" s="3">
        <f>B284*0.035</f>
        <v/>
      </c>
      <c r="AH284" s="3">
        <f>B284*0.165</f>
        <v/>
      </c>
      <c r="AI284" s="3">
        <f>MAX(0,AE284-AF284-AH284)</f>
        <v/>
      </c>
      <c r="AJ284" s="3">
        <f>IF(AI284&lt;=490,0,IF(AI284&lt;=600,(AI284-490)*0.05,IF(AI284&lt;=730,5.5+(AI284-600)*0.10,IF(AI284&lt;=3896.67,18.5+(AI284-730)*0.175,IF(AI284&lt;=19896.67,572.67+(AI284-3896.67)*0.25,IF(AI284&lt;=50416.67,4572.67+(AI284-19896.67)*0.30,13728.67+(AI284-50416.67)*0.35))))))</f>
        <v/>
      </c>
      <c r="AK284" s="3" t="n"/>
      <c r="AL284" s="3" t="n"/>
      <c r="AM284" s="3" t="n"/>
      <c r="AN284" s="3" t="n"/>
      <c r="AO284" s="3" t="n"/>
      <c r="AP284" s="3">
        <f>SUM(AF284,AJ284,AK284,AL284,AM284,AN284,AO284,AG284,AH284)</f>
        <v/>
      </c>
      <c r="AQ284" s="3">
        <f>AE284-AP284</f>
        <v/>
      </c>
      <c r="AR284" s="3" t="n"/>
      <c r="AS284" s="3" t="n"/>
      <c r="AT284" s="3">
        <f>AR284-AS284</f>
        <v/>
      </c>
    </row>
    <row r="285">
      <c r="A285" s="2" t="n"/>
      <c r="B285" s="3" t="n"/>
      <c r="C285" s="4" t="n"/>
      <c r="D285" s="5" t="n"/>
      <c r="E285" s="3" t="n"/>
      <c r="F285" s="3">
        <f>IF(C285=0,0,IF(E285="",B285*D285/100,E285))</f>
        <v/>
      </c>
      <c r="G285" s="4" t="n"/>
      <c r="H285" s="5" t="n"/>
      <c r="I285" s="3" t="n"/>
      <c r="J285" s="3">
        <f>IF(G285=0,0,IF(I285="",B285*H285/100,I285))</f>
        <v/>
      </c>
      <c r="K285" s="4" t="n"/>
      <c r="L285" s="5" t="n"/>
      <c r="M285" s="3" t="n"/>
      <c r="N285" s="3">
        <f>IF(K285=0,0,IF(M285="",B285*L285/100,M285))</f>
        <v/>
      </c>
      <c r="O285" s="4" t="n"/>
      <c r="P285" s="5" t="n"/>
      <c r="Q285" s="3" t="n"/>
      <c r="R285" s="3">
        <f>IF(O285=0,0,IF(Q285="",B285*P285/100,Q285))</f>
        <v/>
      </c>
      <c r="S285" s="4" t="n"/>
      <c r="T285" s="5" t="n"/>
      <c r="U285" s="3" t="n"/>
      <c r="V285" s="3">
        <f>IF(S285=0,0,IF(U285="",B285*T285/100,U285))</f>
        <v/>
      </c>
      <c r="W285" s="4" t="n"/>
      <c r="X285" s="5" t="n"/>
      <c r="Y285" s="3" t="n"/>
      <c r="Z285" s="3">
        <f>IF(W285=0,0,IF(Y285="",B285*X285/100,Y285))</f>
        <v/>
      </c>
      <c r="AA285" s="3" t="n"/>
      <c r="AB285" s="3" t="n"/>
      <c r="AC285" s="3">
        <f>B285*0.035</f>
        <v/>
      </c>
      <c r="AD285" s="3">
        <f>B285*0.065</f>
        <v/>
      </c>
      <c r="AE285" s="3">
        <f>SUM(B285,F285,J285,N285,R285,V285,Z285,AA285,AB285,AC285,AD285)</f>
        <v/>
      </c>
      <c r="AF285" s="3">
        <f>B285*0.055</f>
        <v/>
      </c>
      <c r="AG285" s="3">
        <f>B285*0.035</f>
        <v/>
      </c>
      <c r="AH285" s="3">
        <f>B285*0.165</f>
        <v/>
      </c>
      <c r="AI285" s="3">
        <f>MAX(0,AE285-AF285-AH285)</f>
        <v/>
      </c>
      <c r="AJ285" s="3">
        <f>IF(AI285&lt;=490,0,IF(AI285&lt;=600,(AI285-490)*0.05,IF(AI285&lt;=730,5.5+(AI285-600)*0.10,IF(AI285&lt;=3896.67,18.5+(AI285-730)*0.175,IF(AI285&lt;=19896.67,572.67+(AI285-3896.67)*0.25,IF(AI285&lt;=50416.67,4572.67+(AI285-19896.67)*0.30,13728.67+(AI285-50416.67)*0.35))))))</f>
        <v/>
      </c>
      <c r="AK285" s="3" t="n"/>
      <c r="AL285" s="3" t="n"/>
      <c r="AM285" s="3" t="n"/>
      <c r="AN285" s="3" t="n"/>
      <c r="AO285" s="3" t="n"/>
      <c r="AP285" s="3">
        <f>SUM(AF285,AJ285,AK285,AL285,AM285,AN285,AO285,AG285,AH285)</f>
        <v/>
      </c>
      <c r="AQ285" s="3">
        <f>AE285-AP285</f>
        <v/>
      </c>
      <c r="AR285" s="3" t="n"/>
      <c r="AS285" s="3" t="n"/>
      <c r="AT285" s="3">
        <f>AR285-AS285</f>
        <v/>
      </c>
    </row>
    <row r="286">
      <c r="A286" s="2" t="n"/>
      <c r="B286" s="3" t="n"/>
      <c r="C286" s="4" t="n"/>
      <c r="D286" s="5" t="n"/>
      <c r="E286" s="3" t="n"/>
      <c r="F286" s="3">
        <f>IF(C286=0,0,IF(E286="",B286*D286/100,E286))</f>
        <v/>
      </c>
      <c r="G286" s="4" t="n"/>
      <c r="H286" s="5" t="n"/>
      <c r="I286" s="3" t="n"/>
      <c r="J286" s="3">
        <f>IF(G286=0,0,IF(I286="",B286*H286/100,I286))</f>
        <v/>
      </c>
      <c r="K286" s="4" t="n"/>
      <c r="L286" s="5" t="n"/>
      <c r="M286" s="3" t="n"/>
      <c r="N286" s="3">
        <f>IF(K286=0,0,IF(M286="",B286*L286/100,M286))</f>
        <v/>
      </c>
      <c r="O286" s="4" t="n"/>
      <c r="P286" s="5" t="n"/>
      <c r="Q286" s="3" t="n"/>
      <c r="R286" s="3">
        <f>IF(O286=0,0,IF(Q286="",B286*P286/100,Q286))</f>
        <v/>
      </c>
      <c r="S286" s="4" t="n"/>
      <c r="T286" s="5" t="n"/>
      <c r="U286" s="3" t="n"/>
      <c r="V286" s="3">
        <f>IF(S286=0,0,IF(U286="",B286*T286/100,U286))</f>
        <v/>
      </c>
      <c r="W286" s="4" t="n"/>
      <c r="X286" s="5" t="n"/>
      <c r="Y286" s="3" t="n"/>
      <c r="Z286" s="3">
        <f>IF(W286=0,0,IF(Y286="",B286*X286/100,Y286))</f>
        <v/>
      </c>
      <c r="AA286" s="3" t="n"/>
      <c r="AB286" s="3" t="n"/>
      <c r="AC286" s="3">
        <f>B286*0.035</f>
        <v/>
      </c>
      <c r="AD286" s="3">
        <f>B286*0.065</f>
        <v/>
      </c>
      <c r="AE286" s="3">
        <f>SUM(B286,F286,J286,N286,R286,V286,Z286,AA286,AB286,AC286,AD286)</f>
        <v/>
      </c>
      <c r="AF286" s="3">
        <f>B286*0.055</f>
        <v/>
      </c>
      <c r="AG286" s="3">
        <f>B286*0.035</f>
        <v/>
      </c>
      <c r="AH286" s="3">
        <f>B286*0.165</f>
        <v/>
      </c>
      <c r="AI286" s="3">
        <f>MAX(0,AE286-AF286-AH286)</f>
        <v/>
      </c>
      <c r="AJ286" s="3">
        <f>IF(AI286&lt;=490,0,IF(AI286&lt;=600,(AI286-490)*0.05,IF(AI286&lt;=730,5.5+(AI286-600)*0.10,IF(AI286&lt;=3896.67,18.5+(AI286-730)*0.175,IF(AI286&lt;=19896.67,572.67+(AI286-3896.67)*0.25,IF(AI286&lt;=50416.67,4572.67+(AI286-19896.67)*0.30,13728.67+(AI286-50416.67)*0.35))))))</f>
        <v/>
      </c>
      <c r="AK286" s="3" t="n"/>
      <c r="AL286" s="3" t="n"/>
      <c r="AM286" s="3" t="n"/>
      <c r="AN286" s="3" t="n"/>
      <c r="AO286" s="3" t="n"/>
      <c r="AP286" s="3">
        <f>SUM(AF286,AJ286,AK286,AL286,AM286,AN286,AO286,AG286,AH286)</f>
        <v/>
      </c>
      <c r="AQ286" s="3">
        <f>AE286-AP286</f>
        <v/>
      </c>
      <c r="AR286" s="3" t="n"/>
      <c r="AS286" s="3" t="n"/>
      <c r="AT286" s="3">
        <f>AR286-AS286</f>
        <v/>
      </c>
    </row>
    <row r="287">
      <c r="A287" s="2" t="n"/>
      <c r="B287" s="3" t="n"/>
      <c r="C287" s="4" t="n"/>
      <c r="D287" s="5" t="n"/>
      <c r="E287" s="3" t="n"/>
      <c r="F287" s="3">
        <f>IF(C287=0,0,IF(E287="",B287*D287/100,E287))</f>
        <v/>
      </c>
      <c r="G287" s="4" t="n"/>
      <c r="H287" s="5" t="n"/>
      <c r="I287" s="3" t="n"/>
      <c r="J287" s="3">
        <f>IF(G287=0,0,IF(I287="",B287*H287/100,I287))</f>
        <v/>
      </c>
      <c r="K287" s="4" t="n"/>
      <c r="L287" s="5" t="n"/>
      <c r="M287" s="3" t="n"/>
      <c r="N287" s="3">
        <f>IF(K287=0,0,IF(M287="",B287*L287/100,M287))</f>
        <v/>
      </c>
      <c r="O287" s="4" t="n"/>
      <c r="P287" s="5" t="n"/>
      <c r="Q287" s="3" t="n"/>
      <c r="R287" s="3">
        <f>IF(O287=0,0,IF(Q287="",B287*P287/100,Q287))</f>
        <v/>
      </c>
      <c r="S287" s="4" t="n"/>
      <c r="T287" s="5" t="n"/>
      <c r="U287" s="3" t="n"/>
      <c r="V287" s="3">
        <f>IF(S287=0,0,IF(U287="",B287*T287/100,U287))</f>
        <v/>
      </c>
      <c r="W287" s="4" t="n"/>
      <c r="X287" s="5" t="n"/>
      <c r="Y287" s="3" t="n"/>
      <c r="Z287" s="3">
        <f>IF(W287=0,0,IF(Y287="",B287*X287/100,Y287))</f>
        <v/>
      </c>
      <c r="AA287" s="3" t="n"/>
      <c r="AB287" s="3" t="n"/>
      <c r="AC287" s="3">
        <f>B287*0.035</f>
        <v/>
      </c>
      <c r="AD287" s="3">
        <f>B287*0.065</f>
        <v/>
      </c>
      <c r="AE287" s="3">
        <f>SUM(B287,F287,J287,N287,R287,V287,Z287,AA287,AB287,AC287,AD287)</f>
        <v/>
      </c>
      <c r="AF287" s="3">
        <f>B287*0.055</f>
        <v/>
      </c>
      <c r="AG287" s="3">
        <f>B287*0.035</f>
        <v/>
      </c>
      <c r="AH287" s="3">
        <f>B287*0.165</f>
        <v/>
      </c>
      <c r="AI287" s="3">
        <f>MAX(0,AE287-AF287-AH287)</f>
        <v/>
      </c>
      <c r="AJ287" s="3">
        <f>IF(AI287&lt;=490,0,IF(AI287&lt;=600,(AI287-490)*0.05,IF(AI287&lt;=730,5.5+(AI287-600)*0.10,IF(AI287&lt;=3896.67,18.5+(AI287-730)*0.175,IF(AI287&lt;=19896.67,572.67+(AI287-3896.67)*0.25,IF(AI287&lt;=50416.67,4572.67+(AI287-19896.67)*0.30,13728.67+(AI287-50416.67)*0.35))))))</f>
        <v/>
      </c>
      <c r="AK287" s="3" t="n"/>
      <c r="AL287" s="3" t="n"/>
      <c r="AM287" s="3" t="n"/>
      <c r="AN287" s="3" t="n"/>
      <c r="AO287" s="3" t="n"/>
      <c r="AP287" s="3">
        <f>SUM(AF287,AJ287,AK287,AL287,AM287,AN287,AO287,AG287,AH287)</f>
        <v/>
      </c>
      <c r="AQ287" s="3">
        <f>AE287-AP287</f>
        <v/>
      </c>
      <c r="AR287" s="3" t="n"/>
      <c r="AS287" s="3" t="n"/>
      <c r="AT287" s="3">
        <f>AR287-AS287</f>
        <v/>
      </c>
    </row>
    <row r="288">
      <c r="A288" s="2" t="n"/>
      <c r="B288" s="3" t="n"/>
      <c r="C288" s="4" t="n"/>
      <c r="D288" s="5" t="n"/>
      <c r="E288" s="3" t="n"/>
      <c r="F288" s="3">
        <f>IF(C288=0,0,IF(E288="",B288*D288/100,E288))</f>
        <v/>
      </c>
      <c r="G288" s="4" t="n"/>
      <c r="H288" s="5" t="n"/>
      <c r="I288" s="3" t="n"/>
      <c r="J288" s="3">
        <f>IF(G288=0,0,IF(I288="",B288*H288/100,I288))</f>
        <v/>
      </c>
      <c r="K288" s="4" t="n"/>
      <c r="L288" s="5" t="n"/>
      <c r="M288" s="3" t="n"/>
      <c r="N288" s="3">
        <f>IF(K288=0,0,IF(M288="",B288*L288/100,M288))</f>
        <v/>
      </c>
      <c r="O288" s="4" t="n"/>
      <c r="P288" s="5" t="n"/>
      <c r="Q288" s="3" t="n"/>
      <c r="R288" s="3">
        <f>IF(O288=0,0,IF(Q288="",B288*P288/100,Q288))</f>
        <v/>
      </c>
      <c r="S288" s="4" t="n"/>
      <c r="T288" s="5" t="n"/>
      <c r="U288" s="3" t="n"/>
      <c r="V288" s="3">
        <f>IF(S288=0,0,IF(U288="",B288*T288/100,U288))</f>
        <v/>
      </c>
      <c r="W288" s="4" t="n"/>
      <c r="X288" s="5" t="n"/>
      <c r="Y288" s="3" t="n"/>
      <c r="Z288" s="3">
        <f>IF(W288=0,0,IF(Y288="",B288*X288/100,Y288))</f>
        <v/>
      </c>
      <c r="AA288" s="3" t="n"/>
      <c r="AB288" s="3" t="n"/>
      <c r="AC288" s="3">
        <f>B288*0.035</f>
        <v/>
      </c>
      <c r="AD288" s="3">
        <f>B288*0.065</f>
        <v/>
      </c>
      <c r="AE288" s="3">
        <f>SUM(B288,F288,J288,N288,R288,V288,Z288,AA288,AB288,AC288,AD288)</f>
        <v/>
      </c>
      <c r="AF288" s="3">
        <f>B288*0.055</f>
        <v/>
      </c>
      <c r="AG288" s="3">
        <f>B288*0.035</f>
        <v/>
      </c>
      <c r="AH288" s="3">
        <f>B288*0.165</f>
        <v/>
      </c>
      <c r="AI288" s="3">
        <f>MAX(0,AE288-AF288-AH288)</f>
        <v/>
      </c>
      <c r="AJ288" s="3">
        <f>IF(AI288&lt;=490,0,IF(AI288&lt;=600,(AI288-490)*0.05,IF(AI288&lt;=730,5.5+(AI288-600)*0.10,IF(AI288&lt;=3896.67,18.5+(AI288-730)*0.175,IF(AI288&lt;=19896.67,572.67+(AI288-3896.67)*0.25,IF(AI288&lt;=50416.67,4572.67+(AI288-19896.67)*0.30,13728.67+(AI288-50416.67)*0.35))))))</f>
        <v/>
      </c>
      <c r="AK288" s="3" t="n"/>
      <c r="AL288" s="3" t="n"/>
      <c r="AM288" s="3" t="n"/>
      <c r="AN288" s="3" t="n"/>
      <c r="AO288" s="3" t="n"/>
      <c r="AP288" s="3">
        <f>SUM(AF288,AJ288,AK288,AL288,AM288,AN288,AO288,AG288,AH288)</f>
        <v/>
      </c>
      <c r="AQ288" s="3">
        <f>AE288-AP288</f>
        <v/>
      </c>
      <c r="AR288" s="3" t="n"/>
      <c r="AS288" s="3" t="n"/>
      <c r="AT288" s="3">
        <f>AR288-AS288</f>
        <v/>
      </c>
    </row>
    <row r="289">
      <c r="A289" s="2" t="n"/>
      <c r="B289" s="3" t="n"/>
      <c r="C289" s="4" t="n"/>
      <c r="D289" s="5" t="n"/>
      <c r="E289" s="3" t="n"/>
      <c r="F289" s="3">
        <f>IF(C289=0,0,IF(E289="",B289*D289/100,E289))</f>
        <v/>
      </c>
      <c r="G289" s="4" t="n"/>
      <c r="H289" s="5" t="n"/>
      <c r="I289" s="3" t="n"/>
      <c r="J289" s="3">
        <f>IF(G289=0,0,IF(I289="",B289*H289/100,I289))</f>
        <v/>
      </c>
      <c r="K289" s="4" t="n"/>
      <c r="L289" s="5" t="n"/>
      <c r="M289" s="3" t="n"/>
      <c r="N289" s="3">
        <f>IF(K289=0,0,IF(M289="",B289*L289/100,M289))</f>
        <v/>
      </c>
      <c r="O289" s="4" t="n"/>
      <c r="P289" s="5" t="n"/>
      <c r="Q289" s="3" t="n"/>
      <c r="R289" s="3">
        <f>IF(O289=0,0,IF(Q289="",B289*P289/100,Q289))</f>
        <v/>
      </c>
      <c r="S289" s="4" t="n"/>
      <c r="T289" s="5" t="n"/>
      <c r="U289" s="3" t="n"/>
      <c r="V289" s="3">
        <f>IF(S289=0,0,IF(U289="",B289*T289/100,U289))</f>
        <v/>
      </c>
      <c r="W289" s="4" t="n"/>
      <c r="X289" s="5" t="n"/>
      <c r="Y289" s="3" t="n"/>
      <c r="Z289" s="3">
        <f>IF(W289=0,0,IF(Y289="",B289*X289/100,Y289))</f>
        <v/>
      </c>
      <c r="AA289" s="3" t="n"/>
      <c r="AB289" s="3" t="n"/>
      <c r="AC289" s="3">
        <f>B289*0.035</f>
        <v/>
      </c>
      <c r="AD289" s="3">
        <f>B289*0.065</f>
        <v/>
      </c>
      <c r="AE289" s="3">
        <f>SUM(B289,F289,J289,N289,R289,V289,Z289,AA289,AB289,AC289,AD289)</f>
        <v/>
      </c>
      <c r="AF289" s="3">
        <f>B289*0.055</f>
        <v/>
      </c>
      <c r="AG289" s="3">
        <f>B289*0.035</f>
        <v/>
      </c>
      <c r="AH289" s="3">
        <f>B289*0.165</f>
        <v/>
      </c>
      <c r="AI289" s="3">
        <f>MAX(0,AE289-AF289-AH289)</f>
        <v/>
      </c>
      <c r="AJ289" s="3">
        <f>IF(AI289&lt;=490,0,IF(AI289&lt;=600,(AI289-490)*0.05,IF(AI289&lt;=730,5.5+(AI289-600)*0.10,IF(AI289&lt;=3896.67,18.5+(AI289-730)*0.175,IF(AI289&lt;=19896.67,572.67+(AI289-3896.67)*0.25,IF(AI289&lt;=50416.67,4572.67+(AI289-19896.67)*0.30,13728.67+(AI289-50416.67)*0.35))))))</f>
        <v/>
      </c>
      <c r="AK289" s="3" t="n"/>
      <c r="AL289" s="3" t="n"/>
      <c r="AM289" s="3" t="n"/>
      <c r="AN289" s="3" t="n"/>
      <c r="AO289" s="3" t="n"/>
      <c r="AP289" s="3">
        <f>SUM(AF289,AJ289,AK289,AL289,AM289,AN289,AO289,AG289,AH289)</f>
        <v/>
      </c>
      <c r="AQ289" s="3">
        <f>AE289-AP289</f>
        <v/>
      </c>
      <c r="AR289" s="3" t="n"/>
      <c r="AS289" s="3" t="n"/>
      <c r="AT289" s="3">
        <f>AR289-AS289</f>
        <v/>
      </c>
    </row>
    <row r="290">
      <c r="A290" s="2" t="n"/>
      <c r="B290" s="3" t="n"/>
      <c r="C290" s="4" t="n"/>
      <c r="D290" s="5" t="n"/>
      <c r="E290" s="3" t="n"/>
      <c r="F290" s="3">
        <f>IF(C290=0,0,IF(E290="",B290*D290/100,E290))</f>
        <v/>
      </c>
      <c r="G290" s="4" t="n"/>
      <c r="H290" s="5" t="n"/>
      <c r="I290" s="3" t="n"/>
      <c r="J290" s="3">
        <f>IF(G290=0,0,IF(I290="",B290*H290/100,I290))</f>
        <v/>
      </c>
      <c r="K290" s="4" t="n"/>
      <c r="L290" s="5" t="n"/>
      <c r="M290" s="3" t="n"/>
      <c r="N290" s="3">
        <f>IF(K290=0,0,IF(M290="",B290*L290/100,M290))</f>
        <v/>
      </c>
      <c r="O290" s="4" t="n"/>
      <c r="P290" s="5" t="n"/>
      <c r="Q290" s="3" t="n"/>
      <c r="R290" s="3">
        <f>IF(O290=0,0,IF(Q290="",B290*P290/100,Q290))</f>
        <v/>
      </c>
      <c r="S290" s="4" t="n"/>
      <c r="T290" s="5" t="n"/>
      <c r="U290" s="3" t="n"/>
      <c r="V290" s="3">
        <f>IF(S290=0,0,IF(U290="",B290*T290/100,U290))</f>
        <v/>
      </c>
      <c r="W290" s="4" t="n"/>
      <c r="X290" s="5" t="n"/>
      <c r="Y290" s="3" t="n"/>
      <c r="Z290" s="3">
        <f>IF(W290=0,0,IF(Y290="",B290*X290/100,Y290))</f>
        <v/>
      </c>
      <c r="AA290" s="3" t="n"/>
      <c r="AB290" s="3" t="n"/>
      <c r="AC290" s="3">
        <f>B290*0.035</f>
        <v/>
      </c>
      <c r="AD290" s="3">
        <f>B290*0.065</f>
        <v/>
      </c>
      <c r="AE290" s="3">
        <f>SUM(B290,F290,J290,N290,R290,V290,Z290,AA290,AB290,AC290,AD290)</f>
        <v/>
      </c>
      <c r="AF290" s="3">
        <f>B290*0.055</f>
        <v/>
      </c>
      <c r="AG290" s="3">
        <f>B290*0.035</f>
        <v/>
      </c>
      <c r="AH290" s="3">
        <f>B290*0.165</f>
        <v/>
      </c>
      <c r="AI290" s="3">
        <f>MAX(0,AE290-AF290-AH290)</f>
        <v/>
      </c>
      <c r="AJ290" s="3">
        <f>IF(AI290&lt;=490,0,IF(AI290&lt;=600,(AI290-490)*0.05,IF(AI290&lt;=730,5.5+(AI290-600)*0.10,IF(AI290&lt;=3896.67,18.5+(AI290-730)*0.175,IF(AI290&lt;=19896.67,572.67+(AI290-3896.67)*0.25,IF(AI290&lt;=50416.67,4572.67+(AI290-19896.67)*0.30,13728.67+(AI290-50416.67)*0.35))))))</f>
        <v/>
      </c>
      <c r="AK290" s="3" t="n"/>
      <c r="AL290" s="3" t="n"/>
      <c r="AM290" s="3" t="n"/>
      <c r="AN290" s="3" t="n"/>
      <c r="AO290" s="3" t="n"/>
      <c r="AP290" s="3">
        <f>SUM(AF290,AJ290,AK290,AL290,AM290,AN290,AO290,AG290,AH290)</f>
        <v/>
      </c>
      <c r="AQ290" s="3">
        <f>AE290-AP290</f>
        <v/>
      </c>
      <c r="AR290" s="3" t="n"/>
      <c r="AS290" s="3" t="n"/>
      <c r="AT290" s="3">
        <f>AR290-AS290</f>
        <v/>
      </c>
    </row>
    <row r="291">
      <c r="A291" s="2" t="n"/>
      <c r="B291" s="3" t="n"/>
      <c r="C291" s="4" t="n"/>
      <c r="D291" s="5" t="n"/>
      <c r="E291" s="3" t="n"/>
      <c r="F291" s="3">
        <f>IF(C291=0,0,IF(E291="",B291*D291/100,E291))</f>
        <v/>
      </c>
      <c r="G291" s="4" t="n"/>
      <c r="H291" s="5" t="n"/>
      <c r="I291" s="3" t="n"/>
      <c r="J291" s="3">
        <f>IF(G291=0,0,IF(I291="",B291*H291/100,I291))</f>
        <v/>
      </c>
      <c r="K291" s="4" t="n"/>
      <c r="L291" s="5" t="n"/>
      <c r="M291" s="3" t="n"/>
      <c r="N291" s="3">
        <f>IF(K291=0,0,IF(M291="",B291*L291/100,M291))</f>
        <v/>
      </c>
      <c r="O291" s="4" t="n"/>
      <c r="P291" s="5" t="n"/>
      <c r="Q291" s="3" t="n"/>
      <c r="R291" s="3">
        <f>IF(O291=0,0,IF(Q291="",B291*P291/100,Q291))</f>
        <v/>
      </c>
      <c r="S291" s="4" t="n"/>
      <c r="T291" s="5" t="n"/>
      <c r="U291" s="3" t="n"/>
      <c r="V291" s="3">
        <f>IF(S291=0,0,IF(U291="",B291*T291/100,U291))</f>
        <v/>
      </c>
      <c r="W291" s="4" t="n"/>
      <c r="X291" s="5" t="n"/>
      <c r="Y291" s="3" t="n"/>
      <c r="Z291" s="3">
        <f>IF(W291=0,0,IF(Y291="",B291*X291/100,Y291))</f>
        <v/>
      </c>
      <c r="AA291" s="3" t="n"/>
      <c r="AB291" s="3" t="n"/>
      <c r="AC291" s="3">
        <f>B291*0.035</f>
        <v/>
      </c>
      <c r="AD291" s="3">
        <f>B291*0.065</f>
        <v/>
      </c>
      <c r="AE291" s="3">
        <f>SUM(B291,F291,J291,N291,R291,V291,Z291,AA291,AB291,AC291,AD291)</f>
        <v/>
      </c>
      <c r="AF291" s="3">
        <f>B291*0.055</f>
        <v/>
      </c>
      <c r="AG291" s="3">
        <f>B291*0.035</f>
        <v/>
      </c>
      <c r="AH291" s="3">
        <f>B291*0.165</f>
        <v/>
      </c>
      <c r="AI291" s="3">
        <f>MAX(0,AE291-AF291-AH291)</f>
        <v/>
      </c>
      <c r="AJ291" s="3">
        <f>IF(AI291&lt;=490,0,IF(AI291&lt;=600,(AI291-490)*0.05,IF(AI291&lt;=730,5.5+(AI291-600)*0.10,IF(AI291&lt;=3896.67,18.5+(AI291-730)*0.175,IF(AI291&lt;=19896.67,572.67+(AI291-3896.67)*0.25,IF(AI291&lt;=50416.67,4572.67+(AI291-19896.67)*0.30,13728.67+(AI291-50416.67)*0.35))))))</f>
        <v/>
      </c>
      <c r="AK291" s="3" t="n"/>
      <c r="AL291" s="3" t="n"/>
      <c r="AM291" s="3" t="n"/>
      <c r="AN291" s="3" t="n"/>
      <c r="AO291" s="3" t="n"/>
      <c r="AP291" s="3">
        <f>SUM(AF291,AJ291,AK291,AL291,AM291,AN291,AO291,AG291,AH291)</f>
        <v/>
      </c>
      <c r="AQ291" s="3">
        <f>AE291-AP291</f>
        <v/>
      </c>
      <c r="AR291" s="3" t="n"/>
      <c r="AS291" s="3" t="n"/>
      <c r="AT291" s="3">
        <f>AR291-AS291</f>
        <v/>
      </c>
    </row>
    <row r="292">
      <c r="A292" s="2" t="n"/>
      <c r="B292" s="3" t="n"/>
      <c r="C292" s="4" t="n"/>
      <c r="D292" s="5" t="n"/>
      <c r="E292" s="3" t="n"/>
      <c r="F292" s="3">
        <f>IF(C292=0,0,IF(E292="",B292*D292/100,E292))</f>
        <v/>
      </c>
      <c r="G292" s="4" t="n"/>
      <c r="H292" s="5" t="n"/>
      <c r="I292" s="3" t="n"/>
      <c r="J292" s="3">
        <f>IF(G292=0,0,IF(I292="",B292*H292/100,I292))</f>
        <v/>
      </c>
      <c r="K292" s="4" t="n"/>
      <c r="L292" s="5" t="n"/>
      <c r="M292" s="3" t="n"/>
      <c r="N292" s="3">
        <f>IF(K292=0,0,IF(M292="",B292*L292/100,M292))</f>
        <v/>
      </c>
      <c r="O292" s="4" t="n"/>
      <c r="P292" s="5" t="n"/>
      <c r="Q292" s="3" t="n"/>
      <c r="R292" s="3">
        <f>IF(O292=0,0,IF(Q292="",B292*P292/100,Q292))</f>
        <v/>
      </c>
      <c r="S292" s="4" t="n"/>
      <c r="T292" s="5" t="n"/>
      <c r="U292" s="3" t="n"/>
      <c r="V292" s="3">
        <f>IF(S292=0,0,IF(U292="",B292*T292/100,U292))</f>
        <v/>
      </c>
      <c r="W292" s="4" t="n"/>
      <c r="X292" s="5" t="n"/>
      <c r="Y292" s="3" t="n"/>
      <c r="Z292" s="3">
        <f>IF(W292=0,0,IF(Y292="",B292*X292/100,Y292))</f>
        <v/>
      </c>
      <c r="AA292" s="3" t="n"/>
      <c r="AB292" s="3" t="n"/>
      <c r="AC292" s="3">
        <f>B292*0.035</f>
        <v/>
      </c>
      <c r="AD292" s="3">
        <f>B292*0.065</f>
        <v/>
      </c>
      <c r="AE292" s="3">
        <f>SUM(B292,F292,J292,N292,R292,V292,Z292,AA292,AB292,AC292,AD292)</f>
        <v/>
      </c>
      <c r="AF292" s="3">
        <f>B292*0.055</f>
        <v/>
      </c>
      <c r="AG292" s="3">
        <f>B292*0.035</f>
        <v/>
      </c>
      <c r="AH292" s="3">
        <f>B292*0.165</f>
        <v/>
      </c>
      <c r="AI292" s="3">
        <f>MAX(0,AE292-AF292-AH292)</f>
        <v/>
      </c>
      <c r="AJ292" s="3">
        <f>IF(AI292&lt;=490,0,IF(AI292&lt;=600,(AI292-490)*0.05,IF(AI292&lt;=730,5.5+(AI292-600)*0.10,IF(AI292&lt;=3896.67,18.5+(AI292-730)*0.175,IF(AI292&lt;=19896.67,572.67+(AI292-3896.67)*0.25,IF(AI292&lt;=50416.67,4572.67+(AI292-19896.67)*0.30,13728.67+(AI292-50416.67)*0.35))))))</f>
        <v/>
      </c>
      <c r="AK292" s="3" t="n"/>
      <c r="AL292" s="3" t="n"/>
      <c r="AM292" s="3" t="n"/>
      <c r="AN292" s="3" t="n"/>
      <c r="AO292" s="3" t="n"/>
      <c r="AP292" s="3">
        <f>SUM(AF292,AJ292,AK292,AL292,AM292,AN292,AO292,AG292,AH292)</f>
        <v/>
      </c>
      <c r="AQ292" s="3">
        <f>AE292-AP292</f>
        <v/>
      </c>
      <c r="AR292" s="3" t="n"/>
      <c r="AS292" s="3" t="n"/>
      <c r="AT292" s="3">
        <f>AR292-AS292</f>
        <v/>
      </c>
    </row>
    <row r="293">
      <c r="A293" s="2" t="n"/>
      <c r="B293" s="3" t="n"/>
      <c r="C293" s="4" t="n"/>
      <c r="D293" s="5" t="n"/>
      <c r="E293" s="3" t="n"/>
      <c r="F293" s="3">
        <f>IF(C293=0,0,IF(E293="",B293*D293/100,E293))</f>
        <v/>
      </c>
      <c r="G293" s="4" t="n"/>
      <c r="H293" s="5" t="n"/>
      <c r="I293" s="3" t="n"/>
      <c r="J293" s="3">
        <f>IF(G293=0,0,IF(I293="",B293*H293/100,I293))</f>
        <v/>
      </c>
      <c r="K293" s="4" t="n"/>
      <c r="L293" s="5" t="n"/>
      <c r="M293" s="3" t="n"/>
      <c r="N293" s="3">
        <f>IF(K293=0,0,IF(M293="",B293*L293/100,M293))</f>
        <v/>
      </c>
      <c r="O293" s="4" t="n"/>
      <c r="P293" s="5" t="n"/>
      <c r="Q293" s="3" t="n"/>
      <c r="R293" s="3">
        <f>IF(O293=0,0,IF(Q293="",B293*P293/100,Q293))</f>
        <v/>
      </c>
      <c r="S293" s="4" t="n"/>
      <c r="T293" s="5" t="n"/>
      <c r="U293" s="3" t="n"/>
      <c r="V293" s="3">
        <f>IF(S293=0,0,IF(U293="",B293*T293/100,U293))</f>
        <v/>
      </c>
      <c r="W293" s="4" t="n"/>
      <c r="X293" s="5" t="n"/>
      <c r="Y293" s="3" t="n"/>
      <c r="Z293" s="3">
        <f>IF(W293=0,0,IF(Y293="",B293*X293/100,Y293))</f>
        <v/>
      </c>
      <c r="AA293" s="3" t="n"/>
      <c r="AB293" s="3" t="n"/>
      <c r="AC293" s="3">
        <f>B293*0.035</f>
        <v/>
      </c>
      <c r="AD293" s="3">
        <f>B293*0.065</f>
        <v/>
      </c>
      <c r="AE293" s="3">
        <f>SUM(B293,F293,J293,N293,R293,V293,Z293,AA293,AB293,AC293,AD293)</f>
        <v/>
      </c>
      <c r="AF293" s="3">
        <f>B293*0.055</f>
        <v/>
      </c>
      <c r="AG293" s="3">
        <f>B293*0.035</f>
        <v/>
      </c>
      <c r="AH293" s="3">
        <f>B293*0.165</f>
        <v/>
      </c>
      <c r="AI293" s="3">
        <f>MAX(0,AE293-AF293-AH293)</f>
        <v/>
      </c>
      <c r="AJ293" s="3">
        <f>IF(AI293&lt;=490,0,IF(AI293&lt;=600,(AI293-490)*0.05,IF(AI293&lt;=730,5.5+(AI293-600)*0.10,IF(AI293&lt;=3896.67,18.5+(AI293-730)*0.175,IF(AI293&lt;=19896.67,572.67+(AI293-3896.67)*0.25,IF(AI293&lt;=50416.67,4572.67+(AI293-19896.67)*0.30,13728.67+(AI293-50416.67)*0.35))))))</f>
        <v/>
      </c>
      <c r="AK293" s="3" t="n"/>
      <c r="AL293" s="3" t="n"/>
      <c r="AM293" s="3" t="n"/>
      <c r="AN293" s="3" t="n"/>
      <c r="AO293" s="3" t="n"/>
      <c r="AP293" s="3">
        <f>SUM(AF293,AJ293,AK293,AL293,AM293,AN293,AO293,AG293,AH293)</f>
        <v/>
      </c>
      <c r="AQ293" s="3">
        <f>AE293-AP293</f>
        <v/>
      </c>
      <c r="AR293" s="3" t="n"/>
      <c r="AS293" s="3" t="n"/>
      <c r="AT293" s="3">
        <f>AR293-AS293</f>
        <v/>
      </c>
    </row>
    <row r="294">
      <c r="A294" s="2" t="n"/>
      <c r="B294" s="3" t="n"/>
      <c r="C294" s="4" t="n"/>
      <c r="D294" s="5" t="n"/>
      <c r="E294" s="3" t="n"/>
      <c r="F294" s="3">
        <f>IF(C294=0,0,IF(E294="",B294*D294/100,E294))</f>
        <v/>
      </c>
      <c r="G294" s="4" t="n"/>
      <c r="H294" s="5" t="n"/>
      <c r="I294" s="3" t="n"/>
      <c r="J294" s="3">
        <f>IF(G294=0,0,IF(I294="",B294*H294/100,I294))</f>
        <v/>
      </c>
      <c r="K294" s="4" t="n"/>
      <c r="L294" s="5" t="n"/>
      <c r="M294" s="3" t="n"/>
      <c r="N294" s="3">
        <f>IF(K294=0,0,IF(M294="",B294*L294/100,M294))</f>
        <v/>
      </c>
      <c r="O294" s="4" t="n"/>
      <c r="P294" s="5" t="n"/>
      <c r="Q294" s="3" t="n"/>
      <c r="R294" s="3">
        <f>IF(O294=0,0,IF(Q294="",B294*P294/100,Q294))</f>
        <v/>
      </c>
      <c r="S294" s="4" t="n"/>
      <c r="T294" s="5" t="n"/>
      <c r="U294" s="3" t="n"/>
      <c r="V294" s="3">
        <f>IF(S294=0,0,IF(U294="",B294*T294/100,U294))</f>
        <v/>
      </c>
      <c r="W294" s="4" t="n"/>
      <c r="X294" s="5" t="n"/>
      <c r="Y294" s="3" t="n"/>
      <c r="Z294" s="3">
        <f>IF(W294=0,0,IF(Y294="",B294*X294/100,Y294))</f>
        <v/>
      </c>
      <c r="AA294" s="3" t="n"/>
      <c r="AB294" s="3" t="n"/>
      <c r="AC294" s="3">
        <f>B294*0.035</f>
        <v/>
      </c>
      <c r="AD294" s="3">
        <f>B294*0.065</f>
        <v/>
      </c>
      <c r="AE294" s="3">
        <f>SUM(B294,F294,J294,N294,R294,V294,Z294,AA294,AB294,AC294,AD294)</f>
        <v/>
      </c>
      <c r="AF294" s="3">
        <f>B294*0.055</f>
        <v/>
      </c>
      <c r="AG294" s="3">
        <f>B294*0.035</f>
        <v/>
      </c>
      <c r="AH294" s="3">
        <f>B294*0.165</f>
        <v/>
      </c>
      <c r="AI294" s="3">
        <f>MAX(0,AE294-AF294-AH294)</f>
        <v/>
      </c>
      <c r="AJ294" s="3">
        <f>IF(AI294&lt;=490,0,IF(AI294&lt;=600,(AI294-490)*0.05,IF(AI294&lt;=730,5.5+(AI294-600)*0.10,IF(AI294&lt;=3896.67,18.5+(AI294-730)*0.175,IF(AI294&lt;=19896.67,572.67+(AI294-3896.67)*0.25,IF(AI294&lt;=50416.67,4572.67+(AI294-19896.67)*0.30,13728.67+(AI294-50416.67)*0.35))))))</f>
        <v/>
      </c>
      <c r="AK294" s="3" t="n"/>
      <c r="AL294" s="3" t="n"/>
      <c r="AM294" s="3" t="n"/>
      <c r="AN294" s="3" t="n"/>
      <c r="AO294" s="3" t="n"/>
      <c r="AP294" s="3">
        <f>SUM(AF294,AJ294,AK294,AL294,AM294,AN294,AO294,AG294,AH294)</f>
        <v/>
      </c>
      <c r="AQ294" s="3">
        <f>AE294-AP294</f>
        <v/>
      </c>
      <c r="AR294" s="3" t="n"/>
      <c r="AS294" s="3" t="n"/>
      <c r="AT294" s="3">
        <f>AR294-AS294</f>
        <v/>
      </c>
    </row>
    <row r="295">
      <c r="A295" s="2" t="n"/>
      <c r="B295" s="3" t="n"/>
      <c r="C295" s="4" t="n"/>
      <c r="D295" s="5" t="n"/>
      <c r="E295" s="3" t="n"/>
      <c r="F295" s="3">
        <f>IF(C295=0,0,IF(E295="",B295*D295/100,E295))</f>
        <v/>
      </c>
      <c r="G295" s="4" t="n"/>
      <c r="H295" s="5" t="n"/>
      <c r="I295" s="3" t="n"/>
      <c r="J295" s="3">
        <f>IF(G295=0,0,IF(I295="",B295*H295/100,I295))</f>
        <v/>
      </c>
      <c r="K295" s="4" t="n"/>
      <c r="L295" s="5" t="n"/>
      <c r="M295" s="3" t="n"/>
      <c r="N295" s="3">
        <f>IF(K295=0,0,IF(M295="",B295*L295/100,M295))</f>
        <v/>
      </c>
      <c r="O295" s="4" t="n"/>
      <c r="P295" s="5" t="n"/>
      <c r="Q295" s="3" t="n"/>
      <c r="R295" s="3">
        <f>IF(O295=0,0,IF(Q295="",B295*P295/100,Q295))</f>
        <v/>
      </c>
      <c r="S295" s="4" t="n"/>
      <c r="T295" s="5" t="n"/>
      <c r="U295" s="3" t="n"/>
      <c r="V295" s="3">
        <f>IF(S295=0,0,IF(U295="",B295*T295/100,U295))</f>
        <v/>
      </c>
      <c r="W295" s="4" t="n"/>
      <c r="X295" s="5" t="n"/>
      <c r="Y295" s="3" t="n"/>
      <c r="Z295" s="3">
        <f>IF(W295=0,0,IF(Y295="",B295*X295/100,Y295))</f>
        <v/>
      </c>
      <c r="AA295" s="3" t="n"/>
      <c r="AB295" s="3" t="n"/>
      <c r="AC295" s="3">
        <f>B295*0.035</f>
        <v/>
      </c>
      <c r="AD295" s="3">
        <f>B295*0.065</f>
        <v/>
      </c>
      <c r="AE295" s="3">
        <f>SUM(B295,F295,J295,N295,R295,V295,Z295,AA295,AB295,AC295,AD295)</f>
        <v/>
      </c>
      <c r="AF295" s="3">
        <f>B295*0.055</f>
        <v/>
      </c>
      <c r="AG295" s="3">
        <f>B295*0.035</f>
        <v/>
      </c>
      <c r="AH295" s="3">
        <f>B295*0.165</f>
        <v/>
      </c>
      <c r="AI295" s="3">
        <f>MAX(0,AE295-AF295-AH295)</f>
        <v/>
      </c>
      <c r="AJ295" s="3">
        <f>IF(AI295&lt;=490,0,IF(AI295&lt;=600,(AI295-490)*0.05,IF(AI295&lt;=730,5.5+(AI295-600)*0.10,IF(AI295&lt;=3896.67,18.5+(AI295-730)*0.175,IF(AI295&lt;=19896.67,572.67+(AI295-3896.67)*0.25,IF(AI295&lt;=50416.67,4572.67+(AI295-19896.67)*0.30,13728.67+(AI295-50416.67)*0.35))))))</f>
        <v/>
      </c>
      <c r="AK295" s="3" t="n"/>
      <c r="AL295" s="3" t="n"/>
      <c r="AM295" s="3" t="n"/>
      <c r="AN295" s="3" t="n"/>
      <c r="AO295" s="3" t="n"/>
      <c r="AP295" s="3">
        <f>SUM(AF295,AJ295,AK295,AL295,AM295,AN295,AO295,AG295,AH295)</f>
        <v/>
      </c>
      <c r="AQ295" s="3">
        <f>AE295-AP295</f>
        <v/>
      </c>
      <c r="AR295" s="3" t="n"/>
      <c r="AS295" s="3" t="n"/>
      <c r="AT295" s="3">
        <f>AR295-AS295</f>
        <v/>
      </c>
    </row>
    <row r="296">
      <c r="A296" s="2" t="n"/>
      <c r="B296" s="3" t="n"/>
      <c r="C296" s="4" t="n"/>
      <c r="D296" s="5" t="n"/>
      <c r="E296" s="3" t="n"/>
      <c r="F296" s="3">
        <f>IF(C296=0,0,IF(E296="",B296*D296/100,E296))</f>
        <v/>
      </c>
      <c r="G296" s="4" t="n"/>
      <c r="H296" s="5" t="n"/>
      <c r="I296" s="3" t="n"/>
      <c r="J296" s="3">
        <f>IF(G296=0,0,IF(I296="",B296*H296/100,I296))</f>
        <v/>
      </c>
      <c r="K296" s="4" t="n"/>
      <c r="L296" s="5" t="n"/>
      <c r="M296" s="3" t="n"/>
      <c r="N296" s="3">
        <f>IF(K296=0,0,IF(M296="",B296*L296/100,M296))</f>
        <v/>
      </c>
      <c r="O296" s="4" t="n"/>
      <c r="P296" s="5" t="n"/>
      <c r="Q296" s="3" t="n"/>
      <c r="R296" s="3">
        <f>IF(O296=0,0,IF(Q296="",B296*P296/100,Q296))</f>
        <v/>
      </c>
      <c r="S296" s="4" t="n"/>
      <c r="T296" s="5" t="n"/>
      <c r="U296" s="3" t="n"/>
      <c r="V296" s="3">
        <f>IF(S296=0,0,IF(U296="",B296*T296/100,U296))</f>
        <v/>
      </c>
      <c r="W296" s="4" t="n"/>
      <c r="X296" s="5" t="n"/>
      <c r="Y296" s="3" t="n"/>
      <c r="Z296" s="3">
        <f>IF(W296=0,0,IF(Y296="",B296*X296/100,Y296))</f>
        <v/>
      </c>
      <c r="AA296" s="3" t="n"/>
      <c r="AB296" s="3" t="n"/>
      <c r="AC296" s="3">
        <f>B296*0.035</f>
        <v/>
      </c>
      <c r="AD296" s="3">
        <f>B296*0.065</f>
        <v/>
      </c>
      <c r="AE296" s="3">
        <f>SUM(B296,F296,J296,N296,R296,V296,Z296,AA296,AB296,AC296,AD296)</f>
        <v/>
      </c>
      <c r="AF296" s="3">
        <f>B296*0.055</f>
        <v/>
      </c>
      <c r="AG296" s="3">
        <f>B296*0.035</f>
        <v/>
      </c>
      <c r="AH296" s="3">
        <f>B296*0.165</f>
        <v/>
      </c>
      <c r="AI296" s="3">
        <f>MAX(0,AE296-AF296-AH296)</f>
        <v/>
      </c>
      <c r="AJ296" s="3">
        <f>IF(AI296&lt;=490,0,IF(AI296&lt;=600,(AI296-490)*0.05,IF(AI296&lt;=730,5.5+(AI296-600)*0.10,IF(AI296&lt;=3896.67,18.5+(AI296-730)*0.175,IF(AI296&lt;=19896.67,572.67+(AI296-3896.67)*0.25,IF(AI296&lt;=50416.67,4572.67+(AI296-19896.67)*0.30,13728.67+(AI296-50416.67)*0.35))))))</f>
        <v/>
      </c>
      <c r="AK296" s="3" t="n"/>
      <c r="AL296" s="3" t="n"/>
      <c r="AM296" s="3" t="n"/>
      <c r="AN296" s="3" t="n"/>
      <c r="AO296" s="3" t="n"/>
      <c r="AP296" s="3">
        <f>SUM(AF296,AJ296,AK296,AL296,AM296,AN296,AO296,AG296,AH296)</f>
        <v/>
      </c>
      <c r="AQ296" s="3">
        <f>AE296-AP296</f>
        <v/>
      </c>
      <c r="AR296" s="3" t="n"/>
      <c r="AS296" s="3" t="n"/>
      <c r="AT296" s="3">
        <f>AR296-AS296</f>
        <v/>
      </c>
    </row>
    <row r="297">
      <c r="A297" s="2" t="n"/>
      <c r="B297" s="3" t="n"/>
      <c r="C297" s="4" t="n"/>
      <c r="D297" s="5" t="n"/>
      <c r="E297" s="3" t="n"/>
      <c r="F297" s="3">
        <f>IF(C297=0,0,IF(E297="",B297*D297/100,E297))</f>
        <v/>
      </c>
      <c r="G297" s="4" t="n"/>
      <c r="H297" s="5" t="n"/>
      <c r="I297" s="3" t="n"/>
      <c r="J297" s="3">
        <f>IF(G297=0,0,IF(I297="",B297*H297/100,I297))</f>
        <v/>
      </c>
      <c r="K297" s="4" t="n"/>
      <c r="L297" s="5" t="n"/>
      <c r="M297" s="3" t="n"/>
      <c r="N297" s="3">
        <f>IF(K297=0,0,IF(M297="",B297*L297/100,M297))</f>
        <v/>
      </c>
      <c r="O297" s="4" t="n"/>
      <c r="P297" s="5" t="n"/>
      <c r="Q297" s="3" t="n"/>
      <c r="R297" s="3">
        <f>IF(O297=0,0,IF(Q297="",B297*P297/100,Q297))</f>
        <v/>
      </c>
      <c r="S297" s="4" t="n"/>
      <c r="T297" s="5" t="n"/>
      <c r="U297" s="3" t="n"/>
      <c r="V297" s="3">
        <f>IF(S297=0,0,IF(U297="",B297*T297/100,U297))</f>
        <v/>
      </c>
      <c r="W297" s="4" t="n"/>
      <c r="X297" s="5" t="n"/>
      <c r="Y297" s="3" t="n"/>
      <c r="Z297" s="3">
        <f>IF(W297=0,0,IF(Y297="",B297*X297/100,Y297))</f>
        <v/>
      </c>
      <c r="AA297" s="3" t="n"/>
      <c r="AB297" s="3" t="n"/>
      <c r="AC297" s="3">
        <f>B297*0.035</f>
        <v/>
      </c>
      <c r="AD297" s="3">
        <f>B297*0.065</f>
        <v/>
      </c>
      <c r="AE297" s="3">
        <f>SUM(B297,F297,J297,N297,R297,V297,Z297,AA297,AB297,AC297,AD297)</f>
        <v/>
      </c>
      <c r="AF297" s="3">
        <f>B297*0.055</f>
        <v/>
      </c>
      <c r="AG297" s="3">
        <f>B297*0.035</f>
        <v/>
      </c>
      <c r="AH297" s="3">
        <f>B297*0.165</f>
        <v/>
      </c>
      <c r="AI297" s="3">
        <f>MAX(0,AE297-AF297-AH297)</f>
        <v/>
      </c>
      <c r="AJ297" s="3">
        <f>IF(AI297&lt;=490,0,IF(AI297&lt;=600,(AI297-490)*0.05,IF(AI297&lt;=730,5.5+(AI297-600)*0.10,IF(AI297&lt;=3896.67,18.5+(AI297-730)*0.175,IF(AI297&lt;=19896.67,572.67+(AI297-3896.67)*0.25,IF(AI297&lt;=50416.67,4572.67+(AI297-19896.67)*0.30,13728.67+(AI297-50416.67)*0.35))))))</f>
        <v/>
      </c>
      <c r="AK297" s="3" t="n"/>
      <c r="AL297" s="3" t="n"/>
      <c r="AM297" s="3" t="n"/>
      <c r="AN297" s="3" t="n"/>
      <c r="AO297" s="3" t="n"/>
      <c r="AP297" s="3">
        <f>SUM(AF297,AJ297,AK297,AL297,AM297,AN297,AO297,AG297,AH297)</f>
        <v/>
      </c>
      <c r="AQ297" s="3">
        <f>AE297-AP297</f>
        <v/>
      </c>
      <c r="AR297" s="3" t="n"/>
      <c r="AS297" s="3" t="n"/>
      <c r="AT297" s="3">
        <f>AR297-AS297</f>
        <v/>
      </c>
    </row>
    <row r="298">
      <c r="A298" s="2" t="n"/>
      <c r="B298" s="3" t="n"/>
      <c r="C298" s="4" t="n"/>
      <c r="D298" s="5" t="n"/>
      <c r="E298" s="3" t="n"/>
      <c r="F298" s="3">
        <f>IF(C298=0,0,IF(E298="",B298*D298/100,E298))</f>
        <v/>
      </c>
      <c r="G298" s="4" t="n"/>
      <c r="H298" s="5" t="n"/>
      <c r="I298" s="3" t="n"/>
      <c r="J298" s="3">
        <f>IF(G298=0,0,IF(I298="",B298*H298/100,I298))</f>
        <v/>
      </c>
      <c r="K298" s="4" t="n"/>
      <c r="L298" s="5" t="n"/>
      <c r="M298" s="3" t="n"/>
      <c r="N298" s="3">
        <f>IF(K298=0,0,IF(M298="",B298*L298/100,M298))</f>
        <v/>
      </c>
      <c r="O298" s="4" t="n"/>
      <c r="P298" s="5" t="n"/>
      <c r="Q298" s="3" t="n"/>
      <c r="R298" s="3">
        <f>IF(O298=0,0,IF(Q298="",B298*P298/100,Q298))</f>
        <v/>
      </c>
      <c r="S298" s="4" t="n"/>
      <c r="T298" s="5" t="n"/>
      <c r="U298" s="3" t="n"/>
      <c r="V298" s="3">
        <f>IF(S298=0,0,IF(U298="",B298*T298/100,U298))</f>
        <v/>
      </c>
      <c r="W298" s="4" t="n"/>
      <c r="X298" s="5" t="n"/>
      <c r="Y298" s="3" t="n"/>
      <c r="Z298" s="3">
        <f>IF(W298=0,0,IF(Y298="",B298*X298/100,Y298))</f>
        <v/>
      </c>
      <c r="AA298" s="3" t="n"/>
      <c r="AB298" s="3" t="n"/>
      <c r="AC298" s="3">
        <f>B298*0.035</f>
        <v/>
      </c>
      <c r="AD298" s="3">
        <f>B298*0.065</f>
        <v/>
      </c>
      <c r="AE298" s="3">
        <f>SUM(B298,F298,J298,N298,R298,V298,Z298,AA298,AB298,AC298,AD298)</f>
        <v/>
      </c>
      <c r="AF298" s="3">
        <f>B298*0.055</f>
        <v/>
      </c>
      <c r="AG298" s="3">
        <f>B298*0.035</f>
        <v/>
      </c>
      <c r="AH298" s="3">
        <f>B298*0.165</f>
        <v/>
      </c>
      <c r="AI298" s="3">
        <f>MAX(0,AE298-AF298-AH298)</f>
        <v/>
      </c>
      <c r="AJ298" s="3">
        <f>IF(AI298&lt;=490,0,IF(AI298&lt;=600,(AI298-490)*0.05,IF(AI298&lt;=730,5.5+(AI298-600)*0.10,IF(AI298&lt;=3896.67,18.5+(AI298-730)*0.175,IF(AI298&lt;=19896.67,572.67+(AI298-3896.67)*0.25,IF(AI298&lt;=50416.67,4572.67+(AI298-19896.67)*0.30,13728.67+(AI298-50416.67)*0.35))))))</f>
        <v/>
      </c>
      <c r="AK298" s="3" t="n"/>
      <c r="AL298" s="3" t="n"/>
      <c r="AM298" s="3" t="n"/>
      <c r="AN298" s="3" t="n"/>
      <c r="AO298" s="3" t="n"/>
      <c r="AP298" s="3">
        <f>SUM(AF298,AJ298,AK298,AL298,AM298,AN298,AO298,AG298,AH298)</f>
        <v/>
      </c>
      <c r="AQ298" s="3">
        <f>AE298-AP298</f>
        <v/>
      </c>
      <c r="AR298" s="3" t="n"/>
      <c r="AS298" s="3" t="n"/>
      <c r="AT298" s="3">
        <f>AR298-AS298</f>
        <v/>
      </c>
    </row>
    <row r="299">
      <c r="A299" s="2" t="n"/>
      <c r="B299" s="3" t="n"/>
      <c r="C299" s="4" t="n"/>
      <c r="D299" s="5" t="n"/>
      <c r="E299" s="3" t="n"/>
      <c r="F299" s="3">
        <f>IF(C299=0,0,IF(E299="",B299*D299/100,E299))</f>
        <v/>
      </c>
      <c r="G299" s="4" t="n"/>
      <c r="H299" s="5" t="n"/>
      <c r="I299" s="3" t="n"/>
      <c r="J299" s="3">
        <f>IF(G299=0,0,IF(I299="",B299*H299/100,I299))</f>
        <v/>
      </c>
      <c r="K299" s="4" t="n"/>
      <c r="L299" s="5" t="n"/>
      <c r="M299" s="3" t="n"/>
      <c r="N299" s="3">
        <f>IF(K299=0,0,IF(M299="",B299*L299/100,M299))</f>
        <v/>
      </c>
      <c r="O299" s="4" t="n"/>
      <c r="P299" s="5" t="n"/>
      <c r="Q299" s="3" t="n"/>
      <c r="R299" s="3">
        <f>IF(O299=0,0,IF(Q299="",B299*P299/100,Q299))</f>
        <v/>
      </c>
      <c r="S299" s="4" t="n"/>
      <c r="T299" s="5" t="n"/>
      <c r="U299" s="3" t="n"/>
      <c r="V299" s="3">
        <f>IF(S299=0,0,IF(U299="",B299*T299/100,U299))</f>
        <v/>
      </c>
      <c r="W299" s="4" t="n"/>
      <c r="X299" s="5" t="n"/>
      <c r="Y299" s="3" t="n"/>
      <c r="Z299" s="3">
        <f>IF(W299=0,0,IF(Y299="",B299*X299/100,Y299))</f>
        <v/>
      </c>
      <c r="AA299" s="3" t="n"/>
      <c r="AB299" s="3" t="n"/>
      <c r="AC299" s="3">
        <f>B299*0.035</f>
        <v/>
      </c>
      <c r="AD299" s="3">
        <f>B299*0.065</f>
        <v/>
      </c>
      <c r="AE299" s="3">
        <f>SUM(B299,F299,J299,N299,R299,V299,Z299,AA299,AB299,AC299,AD299)</f>
        <v/>
      </c>
      <c r="AF299" s="3">
        <f>B299*0.055</f>
        <v/>
      </c>
      <c r="AG299" s="3">
        <f>B299*0.035</f>
        <v/>
      </c>
      <c r="AH299" s="3">
        <f>B299*0.165</f>
        <v/>
      </c>
      <c r="AI299" s="3">
        <f>MAX(0,AE299-AF299-AH299)</f>
        <v/>
      </c>
      <c r="AJ299" s="3">
        <f>IF(AI299&lt;=490,0,IF(AI299&lt;=600,(AI299-490)*0.05,IF(AI299&lt;=730,5.5+(AI299-600)*0.10,IF(AI299&lt;=3896.67,18.5+(AI299-730)*0.175,IF(AI299&lt;=19896.67,572.67+(AI299-3896.67)*0.25,IF(AI299&lt;=50416.67,4572.67+(AI299-19896.67)*0.30,13728.67+(AI299-50416.67)*0.35))))))</f>
        <v/>
      </c>
      <c r="AK299" s="3" t="n"/>
      <c r="AL299" s="3" t="n"/>
      <c r="AM299" s="3" t="n"/>
      <c r="AN299" s="3" t="n"/>
      <c r="AO299" s="3" t="n"/>
      <c r="AP299" s="3">
        <f>SUM(AF299,AJ299,AK299,AL299,AM299,AN299,AO299,AG299,AH299)</f>
        <v/>
      </c>
      <c r="AQ299" s="3">
        <f>AE299-AP299</f>
        <v/>
      </c>
      <c r="AR299" s="3" t="n"/>
      <c r="AS299" s="3" t="n"/>
      <c r="AT299" s="3">
        <f>AR299-AS299</f>
        <v/>
      </c>
    </row>
    <row r="300">
      <c r="A300" s="2" t="n"/>
      <c r="B300" s="3" t="n"/>
      <c r="C300" s="4" t="n"/>
      <c r="D300" s="5" t="n"/>
      <c r="E300" s="3" t="n"/>
      <c r="F300" s="3">
        <f>IF(C300=0,0,IF(E300="",B300*D300/100,E300))</f>
        <v/>
      </c>
      <c r="G300" s="4" t="n"/>
      <c r="H300" s="5" t="n"/>
      <c r="I300" s="3" t="n"/>
      <c r="J300" s="3">
        <f>IF(G300=0,0,IF(I300="",B300*H300/100,I300))</f>
        <v/>
      </c>
      <c r="K300" s="4" t="n"/>
      <c r="L300" s="5" t="n"/>
      <c r="M300" s="3" t="n"/>
      <c r="N300" s="3">
        <f>IF(K300=0,0,IF(M300="",B300*L300/100,M300))</f>
        <v/>
      </c>
      <c r="O300" s="4" t="n"/>
      <c r="P300" s="5" t="n"/>
      <c r="Q300" s="3" t="n"/>
      <c r="R300" s="3">
        <f>IF(O300=0,0,IF(Q300="",B300*P300/100,Q300))</f>
        <v/>
      </c>
      <c r="S300" s="4" t="n"/>
      <c r="T300" s="5" t="n"/>
      <c r="U300" s="3" t="n"/>
      <c r="V300" s="3">
        <f>IF(S300=0,0,IF(U300="",B300*T300/100,U300))</f>
        <v/>
      </c>
      <c r="W300" s="4" t="n"/>
      <c r="X300" s="5" t="n"/>
      <c r="Y300" s="3" t="n"/>
      <c r="Z300" s="3">
        <f>IF(W300=0,0,IF(Y300="",B300*X300/100,Y300))</f>
        <v/>
      </c>
      <c r="AA300" s="3" t="n"/>
      <c r="AB300" s="3" t="n"/>
      <c r="AC300" s="3">
        <f>B300*0.035</f>
        <v/>
      </c>
      <c r="AD300" s="3">
        <f>B300*0.065</f>
        <v/>
      </c>
      <c r="AE300" s="3">
        <f>SUM(B300,F300,J300,N300,R300,V300,Z300,AA300,AB300,AC300,AD300)</f>
        <v/>
      </c>
      <c r="AF300" s="3">
        <f>B300*0.055</f>
        <v/>
      </c>
      <c r="AG300" s="3">
        <f>B300*0.035</f>
        <v/>
      </c>
      <c r="AH300" s="3">
        <f>B300*0.165</f>
        <v/>
      </c>
      <c r="AI300" s="3">
        <f>MAX(0,AE300-AF300-AH300)</f>
        <v/>
      </c>
      <c r="AJ300" s="3">
        <f>IF(AI300&lt;=490,0,IF(AI300&lt;=600,(AI300-490)*0.05,IF(AI300&lt;=730,5.5+(AI300-600)*0.10,IF(AI300&lt;=3896.67,18.5+(AI300-730)*0.175,IF(AI300&lt;=19896.67,572.67+(AI300-3896.67)*0.25,IF(AI300&lt;=50416.67,4572.67+(AI300-19896.67)*0.30,13728.67+(AI300-50416.67)*0.35))))))</f>
        <v/>
      </c>
      <c r="AK300" s="3" t="n"/>
      <c r="AL300" s="3" t="n"/>
      <c r="AM300" s="3" t="n"/>
      <c r="AN300" s="3" t="n"/>
      <c r="AO300" s="3" t="n"/>
      <c r="AP300" s="3">
        <f>SUM(AF300,AJ300,AK300,AL300,AM300,AN300,AO300,AG300,AH300)</f>
        <v/>
      </c>
      <c r="AQ300" s="3">
        <f>AE300-AP300</f>
        <v/>
      </c>
      <c r="AR300" s="3" t="n"/>
      <c r="AS300" s="3" t="n"/>
      <c r="AT300" s="3">
        <f>AR300-AS300</f>
        <v/>
      </c>
    </row>
    <row r="301">
      <c r="A301" s="2" t="n"/>
      <c r="B301" s="3" t="n"/>
      <c r="C301" s="4" t="n"/>
      <c r="D301" s="5" t="n"/>
      <c r="E301" s="3" t="n"/>
      <c r="F301" s="3">
        <f>IF(C301=0,0,IF(E301="",B301*D301/100,E301))</f>
        <v/>
      </c>
      <c r="G301" s="4" t="n"/>
      <c r="H301" s="5" t="n"/>
      <c r="I301" s="3" t="n"/>
      <c r="J301" s="3">
        <f>IF(G301=0,0,IF(I301="",B301*H301/100,I301))</f>
        <v/>
      </c>
      <c r="K301" s="4" t="n"/>
      <c r="L301" s="5" t="n"/>
      <c r="M301" s="3" t="n"/>
      <c r="N301" s="3">
        <f>IF(K301=0,0,IF(M301="",B301*L301/100,M301))</f>
        <v/>
      </c>
      <c r="O301" s="4" t="n"/>
      <c r="P301" s="5" t="n"/>
      <c r="Q301" s="3" t="n"/>
      <c r="R301" s="3">
        <f>IF(O301=0,0,IF(Q301="",B301*P301/100,Q301))</f>
        <v/>
      </c>
      <c r="S301" s="4" t="n"/>
      <c r="T301" s="5" t="n"/>
      <c r="U301" s="3" t="n"/>
      <c r="V301" s="3">
        <f>IF(S301=0,0,IF(U301="",B301*T301/100,U301))</f>
        <v/>
      </c>
      <c r="W301" s="4" t="n"/>
      <c r="X301" s="5" t="n"/>
      <c r="Y301" s="3" t="n"/>
      <c r="Z301" s="3">
        <f>IF(W301=0,0,IF(Y301="",B301*X301/100,Y301))</f>
        <v/>
      </c>
      <c r="AA301" s="3" t="n"/>
      <c r="AB301" s="3" t="n"/>
      <c r="AC301" s="3">
        <f>B301*0.035</f>
        <v/>
      </c>
      <c r="AD301" s="3">
        <f>B301*0.065</f>
        <v/>
      </c>
      <c r="AE301" s="3">
        <f>SUM(B301,F301,J301,N301,R301,V301,Z301,AA301,AB301,AC301,AD301)</f>
        <v/>
      </c>
      <c r="AF301" s="3">
        <f>B301*0.055</f>
        <v/>
      </c>
      <c r="AG301" s="3">
        <f>B301*0.035</f>
        <v/>
      </c>
      <c r="AH301" s="3">
        <f>B301*0.165</f>
        <v/>
      </c>
      <c r="AI301" s="3">
        <f>MAX(0,AE301-AF301-AH301)</f>
        <v/>
      </c>
      <c r="AJ301" s="3">
        <f>IF(AI301&lt;=490,0,IF(AI301&lt;=600,(AI301-490)*0.05,IF(AI301&lt;=730,5.5+(AI301-600)*0.10,IF(AI301&lt;=3896.67,18.5+(AI301-730)*0.175,IF(AI301&lt;=19896.67,572.67+(AI301-3896.67)*0.25,IF(AI301&lt;=50416.67,4572.67+(AI301-19896.67)*0.30,13728.67+(AI301-50416.67)*0.35))))))</f>
        <v/>
      </c>
      <c r="AK301" s="3" t="n"/>
      <c r="AL301" s="3" t="n"/>
      <c r="AM301" s="3" t="n"/>
      <c r="AN301" s="3" t="n"/>
      <c r="AO301" s="3" t="n"/>
      <c r="AP301" s="3">
        <f>SUM(AF301,AJ301,AK301,AL301,AM301,AN301,AO301,AG301,AH301)</f>
        <v/>
      </c>
      <c r="AQ301" s="3">
        <f>AE301-AP301</f>
        <v/>
      </c>
      <c r="AR301" s="3" t="n"/>
      <c r="AS301" s="3" t="n"/>
      <c r="AT301" s="3">
        <f>AR301-AS301</f>
        <v/>
      </c>
    </row>
    <row r="302">
      <c r="A302" s="2" t="n"/>
      <c r="B302" s="3" t="n"/>
      <c r="C302" s="4" t="n"/>
      <c r="D302" s="5" t="n"/>
      <c r="E302" s="3" t="n"/>
      <c r="F302" s="3">
        <f>IF(C302=0,0,IF(E302="",B302*D302/100,E302))</f>
        <v/>
      </c>
      <c r="G302" s="4" t="n"/>
      <c r="H302" s="5" t="n"/>
      <c r="I302" s="3" t="n"/>
      <c r="J302" s="3">
        <f>IF(G302=0,0,IF(I302="",B302*H302/100,I302))</f>
        <v/>
      </c>
      <c r="K302" s="4" t="n"/>
      <c r="L302" s="5" t="n"/>
      <c r="M302" s="3" t="n"/>
      <c r="N302" s="3">
        <f>IF(K302=0,0,IF(M302="",B302*L302/100,M302))</f>
        <v/>
      </c>
      <c r="O302" s="4" t="n"/>
      <c r="P302" s="5" t="n"/>
      <c r="Q302" s="3" t="n"/>
      <c r="R302" s="3">
        <f>IF(O302=0,0,IF(Q302="",B302*P302/100,Q302))</f>
        <v/>
      </c>
      <c r="S302" s="4" t="n"/>
      <c r="T302" s="5" t="n"/>
      <c r="U302" s="3" t="n"/>
      <c r="V302" s="3">
        <f>IF(S302=0,0,IF(U302="",B302*T302/100,U302))</f>
        <v/>
      </c>
      <c r="W302" s="4" t="n"/>
      <c r="X302" s="5" t="n"/>
      <c r="Y302" s="3" t="n"/>
      <c r="Z302" s="3">
        <f>IF(W302=0,0,IF(Y302="",B302*X302/100,Y302))</f>
        <v/>
      </c>
      <c r="AA302" s="3" t="n"/>
      <c r="AB302" s="3" t="n"/>
      <c r="AC302" s="3">
        <f>B302*0.035</f>
        <v/>
      </c>
      <c r="AD302" s="3">
        <f>B302*0.065</f>
        <v/>
      </c>
      <c r="AE302" s="3">
        <f>SUM(B302,F302,J302,N302,R302,V302,Z302,AA302,AB302,AC302,AD302)</f>
        <v/>
      </c>
      <c r="AF302" s="3">
        <f>B302*0.055</f>
        <v/>
      </c>
      <c r="AG302" s="3">
        <f>B302*0.035</f>
        <v/>
      </c>
      <c r="AH302" s="3">
        <f>B302*0.165</f>
        <v/>
      </c>
      <c r="AI302" s="3">
        <f>MAX(0,AE302-AF302-AH302)</f>
        <v/>
      </c>
      <c r="AJ302" s="3">
        <f>IF(AI302&lt;=490,0,IF(AI302&lt;=600,(AI302-490)*0.05,IF(AI302&lt;=730,5.5+(AI302-600)*0.10,IF(AI302&lt;=3896.67,18.5+(AI302-730)*0.175,IF(AI302&lt;=19896.67,572.67+(AI302-3896.67)*0.25,IF(AI302&lt;=50416.67,4572.67+(AI302-19896.67)*0.30,13728.67+(AI302-50416.67)*0.35))))))</f>
        <v/>
      </c>
      <c r="AK302" s="3" t="n"/>
      <c r="AL302" s="3" t="n"/>
      <c r="AM302" s="3" t="n"/>
      <c r="AN302" s="3" t="n"/>
      <c r="AO302" s="3" t="n"/>
      <c r="AP302" s="3">
        <f>SUM(AF302,AJ302,AK302,AL302,AM302,AN302,AO302,AG302,AH302)</f>
        <v/>
      </c>
      <c r="AQ302" s="3">
        <f>AE302-AP302</f>
        <v/>
      </c>
      <c r="AR302" s="3" t="n"/>
      <c r="AS302" s="3" t="n"/>
      <c r="AT302" s="3">
        <f>AR302-AS302</f>
        <v/>
      </c>
    </row>
    <row r="303">
      <c r="A303" s="2" t="n"/>
      <c r="B303" s="3" t="n"/>
      <c r="C303" s="4" t="n"/>
      <c r="D303" s="5" t="n"/>
      <c r="E303" s="3" t="n"/>
      <c r="F303" s="3">
        <f>IF(C303=0,0,IF(E303="",B303*D303/100,E303))</f>
        <v/>
      </c>
      <c r="G303" s="4" t="n"/>
      <c r="H303" s="5" t="n"/>
      <c r="I303" s="3" t="n"/>
      <c r="J303" s="3">
        <f>IF(G303=0,0,IF(I303="",B303*H303/100,I303))</f>
        <v/>
      </c>
      <c r="K303" s="4" t="n"/>
      <c r="L303" s="5" t="n"/>
      <c r="M303" s="3" t="n"/>
      <c r="N303" s="3">
        <f>IF(K303=0,0,IF(M303="",B303*L303/100,M303))</f>
        <v/>
      </c>
      <c r="O303" s="4" t="n"/>
      <c r="P303" s="5" t="n"/>
      <c r="Q303" s="3" t="n"/>
      <c r="R303" s="3">
        <f>IF(O303=0,0,IF(Q303="",B303*P303/100,Q303))</f>
        <v/>
      </c>
      <c r="S303" s="4" t="n"/>
      <c r="T303" s="5" t="n"/>
      <c r="U303" s="3" t="n"/>
      <c r="V303" s="3">
        <f>IF(S303=0,0,IF(U303="",B303*T303/100,U303))</f>
        <v/>
      </c>
      <c r="W303" s="4" t="n"/>
      <c r="X303" s="5" t="n"/>
      <c r="Y303" s="3" t="n"/>
      <c r="Z303" s="3">
        <f>IF(W303=0,0,IF(Y303="",B303*X303/100,Y303))</f>
        <v/>
      </c>
      <c r="AA303" s="3" t="n"/>
      <c r="AB303" s="3" t="n"/>
      <c r="AC303" s="3">
        <f>B303*0.035</f>
        <v/>
      </c>
      <c r="AD303" s="3">
        <f>B303*0.065</f>
        <v/>
      </c>
      <c r="AE303" s="3">
        <f>SUM(B303,F303,J303,N303,R303,V303,Z303,AA303,AB303,AC303,AD303)</f>
        <v/>
      </c>
      <c r="AF303" s="3">
        <f>B303*0.055</f>
        <v/>
      </c>
      <c r="AG303" s="3">
        <f>B303*0.035</f>
        <v/>
      </c>
      <c r="AH303" s="3">
        <f>B303*0.165</f>
        <v/>
      </c>
      <c r="AI303" s="3">
        <f>MAX(0,AE303-AF303-AH303)</f>
        <v/>
      </c>
      <c r="AJ303" s="3">
        <f>IF(AI303&lt;=490,0,IF(AI303&lt;=600,(AI303-490)*0.05,IF(AI303&lt;=730,5.5+(AI303-600)*0.10,IF(AI303&lt;=3896.67,18.5+(AI303-730)*0.175,IF(AI303&lt;=19896.67,572.67+(AI303-3896.67)*0.25,IF(AI303&lt;=50416.67,4572.67+(AI303-19896.67)*0.30,13728.67+(AI303-50416.67)*0.35))))))</f>
        <v/>
      </c>
      <c r="AK303" s="3" t="n"/>
      <c r="AL303" s="3" t="n"/>
      <c r="AM303" s="3" t="n"/>
      <c r="AN303" s="3" t="n"/>
      <c r="AO303" s="3" t="n"/>
      <c r="AP303" s="3">
        <f>SUM(AF303,AJ303,AK303,AL303,AM303,AN303,AO303,AG303,AH303)</f>
        <v/>
      </c>
      <c r="AQ303" s="3">
        <f>AE303-AP303</f>
        <v/>
      </c>
      <c r="AR303" s="3" t="n"/>
      <c r="AS303" s="3" t="n"/>
      <c r="AT303" s="3">
        <f>AR303-AS303</f>
        <v/>
      </c>
    </row>
    <row r="304">
      <c r="A304" s="2" t="n"/>
      <c r="B304" s="3" t="n"/>
      <c r="C304" s="4" t="n"/>
      <c r="D304" s="5" t="n"/>
      <c r="E304" s="3" t="n"/>
      <c r="F304" s="3">
        <f>IF(C304=0,0,IF(E304="",B304*D304/100,E304))</f>
        <v/>
      </c>
      <c r="G304" s="4" t="n"/>
      <c r="H304" s="5" t="n"/>
      <c r="I304" s="3" t="n"/>
      <c r="J304" s="3">
        <f>IF(G304=0,0,IF(I304="",B304*H304/100,I304))</f>
        <v/>
      </c>
      <c r="K304" s="4" t="n"/>
      <c r="L304" s="5" t="n"/>
      <c r="M304" s="3" t="n"/>
      <c r="N304" s="3">
        <f>IF(K304=0,0,IF(M304="",B304*L304/100,M304))</f>
        <v/>
      </c>
      <c r="O304" s="4" t="n"/>
      <c r="P304" s="5" t="n"/>
      <c r="Q304" s="3" t="n"/>
      <c r="R304" s="3">
        <f>IF(O304=0,0,IF(Q304="",B304*P304/100,Q304))</f>
        <v/>
      </c>
      <c r="S304" s="4" t="n"/>
      <c r="T304" s="5" t="n"/>
      <c r="U304" s="3" t="n"/>
      <c r="V304" s="3">
        <f>IF(S304=0,0,IF(U304="",B304*T304/100,U304))</f>
        <v/>
      </c>
      <c r="W304" s="4" t="n"/>
      <c r="X304" s="5" t="n"/>
      <c r="Y304" s="3" t="n"/>
      <c r="Z304" s="3">
        <f>IF(W304=0,0,IF(Y304="",B304*X304/100,Y304))</f>
        <v/>
      </c>
      <c r="AA304" s="3" t="n"/>
      <c r="AB304" s="3" t="n"/>
      <c r="AC304" s="3">
        <f>B304*0.035</f>
        <v/>
      </c>
      <c r="AD304" s="3">
        <f>B304*0.065</f>
        <v/>
      </c>
      <c r="AE304" s="3">
        <f>SUM(B304,F304,J304,N304,R304,V304,Z304,AA304,AB304,AC304,AD304)</f>
        <v/>
      </c>
      <c r="AF304" s="3">
        <f>B304*0.055</f>
        <v/>
      </c>
      <c r="AG304" s="3">
        <f>B304*0.035</f>
        <v/>
      </c>
      <c r="AH304" s="3">
        <f>B304*0.165</f>
        <v/>
      </c>
      <c r="AI304" s="3">
        <f>MAX(0,AE304-AF304-AH304)</f>
        <v/>
      </c>
      <c r="AJ304" s="3">
        <f>IF(AI304&lt;=490,0,IF(AI304&lt;=600,(AI304-490)*0.05,IF(AI304&lt;=730,5.5+(AI304-600)*0.10,IF(AI304&lt;=3896.67,18.5+(AI304-730)*0.175,IF(AI304&lt;=19896.67,572.67+(AI304-3896.67)*0.25,IF(AI304&lt;=50416.67,4572.67+(AI304-19896.67)*0.30,13728.67+(AI304-50416.67)*0.35))))))</f>
        <v/>
      </c>
      <c r="AK304" s="3" t="n"/>
      <c r="AL304" s="3" t="n"/>
      <c r="AM304" s="3" t="n"/>
      <c r="AN304" s="3" t="n"/>
      <c r="AO304" s="3" t="n"/>
      <c r="AP304" s="3">
        <f>SUM(AF304,AJ304,AK304,AL304,AM304,AN304,AO304,AG304,AH304)</f>
        <v/>
      </c>
      <c r="AQ304" s="3">
        <f>AE304-AP304</f>
        <v/>
      </c>
      <c r="AR304" s="3" t="n"/>
      <c r="AS304" s="3" t="n"/>
      <c r="AT304" s="3">
        <f>AR304-AS304</f>
        <v/>
      </c>
    </row>
    <row r="305">
      <c r="A305" s="2" t="n"/>
      <c r="B305" s="3" t="n"/>
      <c r="C305" s="4" t="n"/>
      <c r="D305" s="5" t="n"/>
      <c r="E305" s="3" t="n"/>
      <c r="F305" s="3">
        <f>IF(C305=0,0,IF(E305="",B305*D305/100,E305))</f>
        <v/>
      </c>
      <c r="G305" s="4" t="n"/>
      <c r="H305" s="5" t="n"/>
      <c r="I305" s="3" t="n"/>
      <c r="J305" s="3">
        <f>IF(G305=0,0,IF(I305="",B305*H305/100,I305))</f>
        <v/>
      </c>
      <c r="K305" s="4" t="n"/>
      <c r="L305" s="5" t="n"/>
      <c r="M305" s="3" t="n"/>
      <c r="N305" s="3">
        <f>IF(K305=0,0,IF(M305="",B305*L305/100,M305))</f>
        <v/>
      </c>
      <c r="O305" s="4" t="n"/>
      <c r="P305" s="5" t="n"/>
      <c r="Q305" s="3" t="n"/>
      <c r="R305" s="3">
        <f>IF(O305=0,0,IF(Q305="",B305*P305/100,Q305))</f>
        <v/>
      </c>
      <c r="S305" s="4" t="n"/>
      <c r="T305" s="5" t="n"/>
      <c r="U305" s="3" t="n"/>
      <c r="V305" s="3">
        <f>IF(S305=0,0,IF(U305="",B305*T305/100,U305))</f>
        <v/>
      </c>
      <c r="W305" s="4" t="n"/>
      <c r="X305" s="5" t="n"/>
      <c r="Y305" s="3" t="n"/>
      <c r="Z305" s="3">
        <f>IF(W305=0,0,IF(Y305="",B305*X305/100,Y305))</f>
        <v/>
      </c>
      <c r="AA305" s="3" t="n"/>
      <c r="AB305" s="3" t="n"/>
      <c r="AC305" s="3">
        <f>B305*0.035</f>
        <v/>
      </c>
      <c r="AD305" s="3">
        <f>B305*0.065</f>
        <v/>
      </c>
      <c r="AE305" s="3">
        <f>SUM(B305,F305,J305,N305,R305,V305,Z305,AA305,AB305,AC305,AD305)</f>
        <v/>
      </c>
      <c r="AF305" s="3">
        <f>B305*0.055</f>
        <v/>
      </c>
      <c r="AG305" s="3">
        <f>B305*0.035</f>
        <v/>
      </c>
      <c r="AH305" s="3">
        <f>B305*0.165</f>
        <v/>
      </c>
      <c r="AI305" s="3">
        <f>MAX(0,AE305-AF305-AH305)</f>
        <v/>
      </c>
      <c r="AJ305" s="3">
        <f>IF(AI305&lt;=490,0,IF(AI305&lt;=600,(AI305-490)*0.05,IF(AI305&lt;=730,5.5+(AI305-600)*0.10,IF(AI305&lt;=3896.67,18.5+(AI305-730)*0.175,IF(AI305&lt;=19896.67,572.67+(AI305-3896.67)*0.25,IF(AI305&lt;=50416.67,4572.67+(AI305-19896.67)*0.30,13728.67+(AI305-50416.67)*0.35))))))</f>
        <v/>
      </c>
      <c r="AK305" s="3" t="n"/>
      <c r="AL305" s="3" t="n"/>
      <c r="AM305" s="3" t="n"/>
      <c r="AN305" s="3" t="n"/>
      <c r="AO305" s="3" t="n"/>
      <c r="AP305" s="3">
        <f>SUM(AF305,AJ305,AK305,AL305,AM305,AN305,AO305,AG305,AH305)</f>
        <v/>
      </c>
      <c r="AQ305" s="3">
        <f>AE305-AP305</f>
        <v/>
      </c>
      <c r="AR305" s="3" t="n"/>
      <c r="AS305" s="3" t="n"/>
      <c r="AT305" s="3">
        <f>AR305-AS305</f>
        <v/>
      </c>
    </row>
    <row r="306">
      <c r="A306" s="2" t="n"/>
      <c r="B306" s="3" t="n"/>
      <c r="C306" s="4" t="n"/>
      <c r="D306" s="5" t="n"/>
      <c r="E306" s="3" t="n"/>
      <c r="F306" s="3">
        <f>IF(C306=0,0,IF(E306="",B306*D306/100,E306))</f>
        <v/>
      </c>
      <c r="G306" s="4" t="n"/>
      <c r="H306" s="5" t="n"/>
      <c r="I306" s="3" t="n"/>
      <c r="J306" s="3">
        <f>IF(G306=0,0,IF(I306="",B306*H306/100,I306))</f>
        <v/>
      </c>
      <c r="K306" s="4" t="n"/>
      <c r="L306" s="5" t="n"/>
      <c r="M306" s="3" t="n"/>
      <c r="N306" s="3">
        <f>IF(K306=0,0,IF(M306="",B306*L306/100,M306))</f>
        <v/>
      </c>
      <c r="O306" s="4" t="n"/>
      <c r="P306" s="5" t="n"/>
      <c r="Q306" s="3" t="n"/>
      <c r="R306" s="3">
        <f>IF(O306=0,0,IF(Q306="",B306*P306/100,Q306))</f>
        <v/>
      </c>
      <c r="S306" s="4" t="n"/>
      <c r="T306" s="5" t="n"/>
      <c r="U306" s="3" t="n"/>
      <c r="V306" s="3">
        <f>IF(S306=0,0,IF(U306="",B306*T306/100,U306))</f>
        <v/>
      </c>
      <c r="W306" s="4" t="n"/>
      <c r="X306" s="5" t="n"/>
      <c r="Y306" s="3" t="n"/>
      <c r="Z306" s="3">
        <f>IF(W306=0,0,IF(Y306="",B306*X306/100,Y306))</f>
        <v/>
      </c>
      <c r="AA306" s="3" t="n"/>
      <c r="AB306" s="3" t="n"/>
      <c r="AC306" s="3">
        <f>B306*0.035</f>
        <v/>
      </c>
      <c r="AD306" s="3">
        <f>B306*0.065</f>
        <v/>
      </c>
      <c r="AE306" s="3">
        <f>SUM(B306,F306,J306,N306,R306,V306,Z306,AA306,AB306,AC306,AD306)</f>
        <v/>
      </c>
      <c r="AF306" s="3">
        <f>B306*0.055</f>
        <v/>
      </c>
      <c r="AG306" s="3">
        <f>B306*0.035</f>
        <v/>
      </c>
      <c r="AH306" s="3">
        <f>B306*0.165</f>
        <v/>
      </c>
      <c r="AI306" s="3">
        <f>MAX(0,AE306-AF306-AH306)</f>
        <v/>
      </c>
      <c r="AJ306" s="3">
        <f>IF(AI306&lt;=490,0,IF(AI306&lt;=600,(AI306-490)*0.05,IF(AI306&lt;=730,5.5+(AI306-600)*0.10,IF(AI306&lt;=3896.67,18.5+(AI306-730)*0.175,IF(AI306&lt;=19896.67,572.67+(AI306-3896.67)*0.25,IF(AI306&lt;=50416.67,4572.67+(AI306-19896.67)*0.30,13728.67+(AI306-50416.67)*0.35))))))</f>
        <v/>
      </c>
      <c r="AK306" s="3" t="n"/>
      <c r="AL306" s="3" t="n"/>
      <c r="AM306" s="3" t="n"/>
      <c r="AN306" s="3" t="n"/>
      <c r="AO306" s="3" t="n"/>
      <c r="AP306" s="3">
        <f>SUM(AF306,AJ306,AK306,AL306,AM306,AN306,AO306,AG306,AH306)</f>
        <v/>
      </c>
      <c r="AQ306" s="3">
        <f>AE306-AP306</f>
        <v/>
      </c>
      <c r="AR306" s="3" t="n"/>
      <c r="AS306" s="3" t="n"/>
      <c r="AT306" s="3">
        <f>AR306-AS306</f>
        <v/>
      </c>
    </row>
    <row r="307">
      <c r="A307" s="2" t="n"/>
      <c r="B307" s="3" t="n"/>
      <c r="C307" s="4" t="n"/>
      <c r="D307" s="5" t="n"/>
      <c r="E307" s="3" t="n"/>
      <c r="F307" s="3">
        <f>IF(C307=0,0,IF(E307="",B307*D307/100,E307))</f>
        <v/>
      </c>
      <c r="G307" s="4" t="n"/>
      <c r="H307" s="5" t="n"/>
      <c r="I307" s="3" t="n"/>
      <c r="J307" s="3">
        <f>IF(G307=0,0,IF(I307="",B307*H307/100,I307))</f>
        <v/>
      </c>
      <c r="K307" s="4" t="n"/>
      <c r="L307" s="5" t="n"/>
      <c r="M307" s="3" t="n"/>
      <c r="N307" s="3">
        <f>IF(K307=0,0,IF(M307="",B307*L307/100,M307))</f>
        <v/>
      </c>
      <c r="O307" s="4" t="n"/>
      <c r="P307" s="5" t="n"/>
      <c r="Q307" s="3" t="n"/>
      <c r="R307" s="3">
        <f>IF(O307=0,0,IF(Q307="",B307*P307/100,Q307))</f>
        <v/>
      </c>
      <c r="S307" s="4" t="n"/>
      <c r="T307" s="5" t="n"/>
      <c r="U307" s="3" t="n"/>
      <c r="V307" s="3">
        <f>IF(S307=0,0,IF(U307="",B307*T307/100,U307))</f>
        <v/>
      </c>
      <c r="W307" s="4" t="n"/>
      <c r="X307" s="5" t="n"/>
      <c r="Y307" s="3" t="n"/>
      <c r="Z307" s="3">
        <f>IF(W307=0,0,IF(Y307="",B307*X307/100,Y307))</f>
        <v/>
      </c>
      <c r="AA307" s="3" t="n"/>
      <c r="AB307" s="3" t="n"/>
      <c r="AC307" s="3">
        <f>B307*0.035</f>
        <v/>
      </c>
      <c r="AD307" s="3">
        <f>B307*0.065</f>
        <v/>
      </c>
      <c r="AE307" s="3">
        <f>SUM(B307,F307,J307,N307,R307,V307,Z307,AA307,AB307,AC307,AD307)</f>
        <v/>
      </c>
      <c r="AF307" s="3">
        <f>B307*0.055</f>
        <v/>
      </c>
      <c r="AG307" s="3">
        <f>B307*0.035</f>
        <v/>
      </c>
      <c r="AH307" s="3">
        <f>B307*0.165</f>
        <v/>
      </c>
      <c r="AI307" s="3">
        <f>MAX(0,AE307-AF307-AH307)</f>
        <v/>
      </c>
      <c r="AJ307" s="3">
        <f>IF(AI307&lt;=490,0,IF(AI307&lt;=600,(AI307-490)*0.05,IF(AI307&lt;=730,5.5+(AI307-600)*0.10,IF(AI307&lt;=3896.67,18.5+(AI307-730)*0.175,IF(AI307&lt;=19896.67,572.67+(AI307-3896.67)*0.25,IF(AI307&lt;=50416.67,4572.67+(AI307-19896.67)*0.30,13728.67+(AI307-50416.67)*0.35))))))</f>
        <v/>
      </c>
      <c r="AK307" s="3" t="n"/>
      <c r="AL307" s="3" t="n"/>
      <c r="AM307" s="3" t="n"/>
      <c r="AN307" s="3" t="n"/>
      <c r="AO307" s="3" t="n"/>
      <c r="AP307" s="3">
        <f>SUM(AF307,AJ307,AK307,AL307,AM307,AN307,AO307,AG307,AH307)</f>
        <v/>
      </c>
      <c r="AQ307" s="3">
        <f>AE307-AP307</f>
        <v/>
      </c>
      <c r="AR307" s="3" t="n"/>
      <c r="AS307" s="3" t="n"/>
      <c r="AT307" s="3">
        <f>AR307-AS307</f>
        <v/>
      </c>
    </row>
    <row r="308">
      <c r="A308" s="2" t="n"/>
      <c r="B308" s="3" t="n"/>
      <c r="C308" s="4" t="n"/>
      <c r="D308" s="5" t="n"/>
      <c r="E308" s="3" t="n"/>
      <c r="F308" s="3">
        <f>IF(C308=0,0,IF(E308="",B308*D308/100,E308))</f>
        <v/>
      </c>
      <c r="G308" s="4" t="n"/>
      <c r="H308" s="5" t="n"/>
      <c r="I308" s="3" t="n"/>
      <c r="J308" s="3">
        <f>IF(G308=0,0,IF(I308="",B308*H308/100,I308))</f>
        <v/>
      </c>
      <c r="K308" s="4" t="n"/>
      <c r="L308" s="5" t="n"/>
      <c r="M308" s="3" t="n"/>
      <c r="N308" s="3">
        <f>IF(K308=0,0,IF(M308="",B308*L308/100,M308))</f>
        <v/>
      </c>
      <c r="O308" s="4" t="n"/>
      <c r="P308" s="5" t="n"/>
      <c r="Q308" s="3" t="n"/>
      <c r="R308" s="3">
        <f>IF(O308=0,0,IF(Q308="",B308*P308/100,Q308))</f>
        <v/>
      </c>
      <c r="S308" s="4" t="n"/>
      <c r="T308" s="5" t="n"/>
      <c r="U308" s="3" t="n"/>
      <c r="V308" s="3">
        <f>IF(S308=0,0,IF(U308="",B308*T308/100,U308))</f>
        <v/>
      </c>
      <c r="W308" s="4" t="n"/>
      <c r="X308" s="5" t="n"/>
      <c r="Y308" s="3" t="n"/>
      <c r="Z308" s="3">
        <f>IF(W308=0,0,IF(Y308="",B308*X308/100,Y308))</f>
        <v/>
      </c>
      <c r="AA308" s="3" t="n"/>
      <c r="AB308" s="3" t="n"/>
      <c r="AC308" s="3">
        <f>B308*0.035</f>
        <v/>
      </c>
      <c r="AD308" s="3">
        <f>B308*0.065</f>
        <v/>
      </c>
      <c r="AE308" s="3">
        <f>SUM(B308,F308,J308,N308,R308,V308,Z308,AA308,AB308,AC308,AD308)</f>
        <v/>
      </c>
      <c r="AF308" s="3">
        <f>B308*0.055</f>
        <v/>
      </c>
      <c r="AG308" s="3">
        <f>B308*0.035</f>
        <v/>
      </c>
      <c r="AH308" s="3">
        <f>B308*0.165</f>
        <v/>
      </c>
      <c r="AI308" s="3">
        <f>MAX(0,AE308-AF308-AH308)</f>
        <v/>
      </c>
      <c r="AJ308" s="3">
        <f>IF(AI308&lt;=490,0,IF(AI308&lt;=600,(AI308-490)*0.05,IF(AI308&lt;=730,5.5+(AI308-600)*0.10,IF(AI308&lt;=3896.67,18.5+(AI308-730)*0.175,IF(AI308&lt;=19896.67,572.67+(AI308-3896.67)*0.25,IF(AI308&lt;=50416.67,4572.67+(AI308-19896.67)*0.30,13728.67+(AI308-50416.67)*0.35))))))</f>
        <v/>
      </c>
      <c r="AK308" s="3" t="n"/>
      <c r="AL308" s="3" t="n"/>
      <c r="AM308" s="3" t="n"/>
      <c r="AN308" s="3" t="n"/>
      <c r="AO308" s="3" t="n"/>
      <c r="AP308" s="3">
        <f>SUM(AF308,AJ308,AK308,AL308,AM308,AN308,AO308,AG308,AH308)</f>
        <v/>
      </c>
      <c r="AQ308" s="3">
        <f>AE308-AP308</f>
        <v/>
      </c>
      <c r="AR308" s="3" t="n"/>
      <c r="AS308" s="3" t="n"/>
      <c r="AT308" s="3">
        <f>AR308-AS308</f>
        <v/>
      </c>
    </row>
    <row r="309">
      <c r="A309" s="2" t="n"/>
      <c r="B309" s="3" t="n"/>
      <c r="C309" s="4" t="n"/>
      <c r="D309" s="5" t="n"/>
      <c r="E309" s="3" t="n"/>
      <c r="F309" s="3">
        <f>IF(C309=0,0,IF(E309="",B309*D309/100,E309))</f>
        <v/>
      </c>
      <c r="G309" s="4" t="n"/>
      <c r="H309" s="5" t="n"/>
      <c r="I309" s="3" t="n"/>
      <c r="J309" s="3">
        <f>IF(G309=0,0,IF(I309="",B309*H309/100,I309))</f>
        <v/>
      </c>
      <c r="K309" s="4" t="n"/>
      <c r="L309" s="5" t="n"/>
      <c r="M309" s="3" t="n"/>
      <c r="N309" s="3">
        <f>IF(K309=0,0,IF(M309="",B309*L309/100,M309))</f>
        <v/>
      </c>
      <c r="O309" s="4" t="n"/>
      <c r="P309" s="5" t="n"/>
      <c r="Q309" s="3" t="n"/>
      <c r="R309" s="3">
        <f>IF(O309=0,0,IF(Q309="",B309*P309/100,Q309))</f>
        <v/>
      </c>
      <c r="S309" s="4" t="n"/>
      <c r="T309" s="5" t="n"/>
      <c r="U309" s="3" t="n"/>
      <c r="V309" s="3">
        <f>IF(S309=0,0,IF(U309="",B309*T309/100,U309))</f>
        <v/>
      </c>
      <c r="W309" s="4" t="n"/>
      <c r="X309" s="5" t="n"/>
      <c r="Y309" s="3" t="n"/>
      <c r="Z309" s="3">
        <f>IF(W309=0,0,IF(Y309="",B309*X309/100,Y309))</f>
        <v/>
      </c>
      <c r="AA309" s="3" t="n"/>
      <c r="AB309" s="3" t="n"/>
      <c r="AC309" s="3">
        <f>B309*0.035</f>
        <v/>
      </c>
      <c r="AD309" s="3">
        <f>B309*0.065</f>
        <v/>
      </c>
      <c r="AE309" s="3">
        <f>SUM(B309,F309,J309,N309,R309,V309,Z309,AA309,AB309,AC309,AD309)</f>
        <v/>
      </c>
      <c r="AF309" s="3">
        <f>B309*0.055</f>
        <v/>
      </c>
      <c r="AG309" s="3">
        <f>B309*0.035</f>
        <v/>
      </c>
      <c r="AH309" s="3">
        <f>B309*0.165</f>
        <v/>
      </c>
      <c r="AI309" s="3">
        <f>MAX(0,AE309-AF309-AH309)</f>
        <v/>
      </c>
      <c r="AJ309" s="3">
        <f>IF(AI309&lt;=490,0,IF(AI309&lt;=600,(AI309-490)*0.05,IF(AI309&lt;=730,5.5+(AI309-600)*0.10,IF(AI309&lt;=3896.67,18.5+(AI309-730)*0.175,IF(AI309&lt;=19896.67,572.67+(AI309-3896.67)*0.25,IF(AI309&lt;=50416.67,4572.67+(AI309-19896.67)*0.30,13728.67+(AI309-50416.67)*0.35))))))</f>
        <v/>
      </c>
      <c r="AK309" s="3" t="n"/>
      <c r="AL309" s="3" t="n"/>
      <c r="AM309" s="3" t="n"/>
      <c r="AN309" s="3" t="n"/>
      <c r="AO309" s="3" t="n"/>
      <c r="AP309" s="3">
        <f>SUM(AF309,AJ309,AK309,AL309,AM309,AN309,AO309,AG309,AH309)</f>
        <v/>
      </c>
      <c r="AQ309" s="3">
        <f>AE309-AP309</f>
        <v/>
      </c>
      <c r="AR309" s="3" t="n"/>
      <c r="AS309" s="3" t="n"/>
      <c r="AT309" s="3">
        <f>AR309-AS309</f>
        <v/>
      </c>
    </row>
    <row r="310">
      <c r="A310" s="2" t="n"/>
      <c r="B310" s="3" t="n"/>
      <c r="C310" s="4" t="n"/>
      <c r="D310" s="5" t="n"/>
      <c r="E310" s="3" t="n"/>
      <c r="F310" s="3">
        <f>IF(C310=0,0,IF(E310="",B310*D310/100,E310))</f>
        <v/>
      </c>
      <c r="G310" s="4" t="n"/>
      <c r="H310" s="5" t="n"/>
      <c r="I310" s="3" t="n"/>
      <c r="J310" s="3">
        <f>IF(G310=0,0,IF(I310="",B310*H310/100,I310))</f>
        <v/>
      </c>
      <c r="K310" s="4" t="n"/>
      <c r="L310" s="5" t="n"/>
      <c r="M310" s="3" t="n"/>
      <c r="N310" s="3">
        <f>IF(K310=0,0,IF(M310="",B310*L310/100,M310))</f>
        <v/>
      </c>
      <c r="O310" s="4" t="n"/>
      <c r="P310" s="5" t="n"/>
      <c r="Q310" s="3" t="n"/>
      <c r="R310" s="3">
        <f>IF(O310=0,0,IF(Q310="",B310*P310/100,Q310))</f>
        <v/>
      </c>
      <c r="S310" s="4" t="n"/>
      <c r="T310" s="5" t="n"/>
      <c r="U310" s="3" t="n"/>
      <c r="V310" s="3">
        <f>IF(S310=0,0,IF(U310="",B310*T310/100,U310))</f>
        <v/>
      </c>
      <c r="W310" s="4" t="n"/>
      <c r="X310" s="5" t="n"/>
      <c r="Y310" s="3" t="n"/>
      <c r="Z310" s="3">
        <f>IF(W310=0,0,IF(Y310="",B310*X310/100,Y310))</f>
        <v/>
      </c>
      <c r="AA310" s="3" t="n"/>
      <c r="AB310" s="3" t="n"/>
      <c r="AC310" s="3">
        <f>B310*0.035</f>
        <v/>
      </c>
      <c r="AD310" s="3">
        <f>B310*0.065</f>
        <v/>
      </c>
      <c r="AE310" s="3">
        <f>SUM(B310,F310,J310,N310,R310,V310,Z310,AA310,AB310,AC310,AD310)</f>
        <v/>
      </c>
      <c r="AF310" s="3">
        <f>B310*0.055</f>
        <v/>
      </c>
      <c r="AG310" s="3">
        <f>B310*0.035</f>
        <v/>
      </c>
      <c r="AH310" s="3">
        <f>B310*0.165</f>
        <v/>
      </c>
      <c r="AI310" s="3">
        <f>MAX(0,AE310-AF310-AH310)</f>
        <v/>
      </c>
      <c r="AJ310" s="3">
        <f>IF(AI310&lt;=490,0,IF(AI310&lt;=600,(AI310-490)*0.05,IF(AI310&lt;=730,5.5+(AI310-600)*0.10,IF(AI310&lt;=3896.67,18.5+(AI310-730)*0.175,IF(AI310&lt;=19896.67,572.67+(AI310-3896.67)*0.25,IF(AI310&lt;=50416.67,4572.67+(AI310-19896.67)*0.30,13728.67+(AI310-50416.67)*0.35))))))</f>
        <v/>
      </c>
      <c r="AK310" s="3" t="n"/>
      <c r="AL310" s="3" t="n"/>
      <c r="AM310" s="3" t="n"/>
      <c r="AN310" s="3" t="n"/>
      <c r="AO310" s="3" t="n"/>
      <c r="AP310" s="3">
        <f>SUM(AF310,AJ310,AK310,AL310,AM310,AN310,AO310,AG310,AH310)</f>
        <v/>
      </c>
      <c r="AQ310" s="3">
        <f>AE310-AP310</f>
        <v/>
      </c>
      <c r="AR310" s="3" t="n"/>
      <c r="AS310" s="3" t="n"/>
      <c r="AT310" s="3">
        <f>AR310-AS310</f>
        <v/>
      </c>
    </row>
    <row r="311">
      <c r="A311" s="2" t="n"/>
      <c r="B311" s="3" t="n"/>
      <c r="C311" s="4" t="n"/>
      <c r="D311" s="5" t="n"/>
      <c r="E311" s="3" t="n"/>
      <c r="F311" s="3">
        <f>IF(C311=0,0,IF(E311="",B311*D311/100,E311))</f>
        <v/>
      </c>
      <c r="G311" s="4" t="n"/>
      <c r="H311" s="5" t="n"/>
      <c r="I311" s="3" t="n"/>
      <c r="J311" s="3">
        <f>IF(G311=0,0,IF(I311="",B311*H311/100,I311))</f>
        <v/>
      </c>
      <c r="K311" s="4" t="n"/>
      <c r="L311" s="5" t="n"/>
      <c r="M311" s="3" t="n"/>
      <c r="N311" s="3">
        <f>IF(K311=0,0,IF(M311="",B311*L311/100,M311))</f>
        <v/>
      </c>
      <c r="O311" s="4" t="n"/>
      <c r="P311" s="5" t="n"/>
      <c r="Q311" s="3" t="n"/>
      <c r="R311" s="3">
        <f>IF(O311=0,0,IF(Q311="",B311*P311/100,Q311))</f>
        <v/>
      </c>
      <c r="S311" s="4" t="n"/>
      <c r="T311" s="5" t="n"/>
      <c r="U311" s="3" t="n"/>
      <c r="V311" s="3">
        <f>IF(S311=0,0,IF(U311="",B311*T311/100,U311))</f>
        <v/>
      </c>
      <c r="W311" s="4" t="n"/>
      <c r="X311" s="5" t="n"/>
      <c r="Y311" s="3" t="n"/>
      <c r="Z311" s="3">
        <f>IF(W311=0,0,IF(Y311="",B311*X311/100,Y311))</f>
        <v/>
      </c>
      <c r="AA311" s="3" t="n"/>
      <c r="AB311" s="3" t="n"/>
      <c r="AC311" s="3">
        <f>B311*0.035</f>
        <v/>
      </c>
      <c r="AD311" s="3">
        <f>B311*0.065</f>
        <v/>
      </c>
      <c r="AE311" s="3">
        <f>SUM(B311,F311,J311,N311,R311,V311,Z311,AA311,AB311,AC311,AD311)</f>
        <v/>
      </c>
      <c r="AF311" s="3">
        <f>B311*0.055</f>
        <v/>
      </c>
      <c r="AG311" s="3">
        <f>B311*0.035</f>
        <v/>
      </c>
      <c r="AH311" s="3">
        <f>B311*0.165</f>
        <v/>
      </c>
      <c r="AI311" s="3">
        <f>MAX(0,AE311-AF311-AH311)</f>
        <v/>
      </c>
      <c r="AJ311" s="3">
        <f>IF(AI311&lt;=490,0,IF(AI311&lt;=600,(AI311-490)*0.05,IF(AI311&lt;=730,5.5+(AI311-600)*0.10,IF(AI311&lt;=3896.67,18.5+(AI311-730)*0.175,IF(AI311&lt;=19896.67,572.67+(AI311-3896.67)*0.25,IF(AI311&lt;=50416.67,4572.67+(AI311-19896.67)*0.30,13728.67+(AI311-50416.67)*0.35))))))</f>
        <v/>
      </c>
      <c r="AK311" s="3" t="n"/>
      <c r="AL311" s="3" t="n"/>
      <c r="AM311" s="3" t="n"/>
      <c r="AN311" s="3" t="n"/>
      <c r="AO311" s="3" t="n"/>
      <c r="AP311" s="3">
        <f>SUM(AF311,AJ311,AK311,AL311,AM311,AN311,AO311,AG311,AH311)</f>
        <v/>
      </c>
      <c r="AQ311" s="3">
        <f>AE311-AP311</f>
        <v/>
      </c>
      <c r="AR311" s="3" t="n"/>
      <c r="AS311" s="3" t="n"/>
      <c r="AT311" s="3">
        <f>AR311-AS311</f>
        <v/>
      </c>
    </row>
    <row r="312">
      <c r="A312" s="2" t="n"/>
      <c r="B312" s="3" t="n"/>
      <c r="C312" s="4" t="n"/>
      <c r="D312" s="5" t="n"/>
      <c r="E312" s="3" t="n"/>
      <c r="F312" s="3">
        <f>IF(C312=0,0,IF(E312="",B312*D312/100,E312))</f>
        <v/>
      </c>
      <c r="G312" s="4" t="n"/>
      <c r="H312" s="5" t="n"/>
      <c r="I312" s="3" t="n"/>
      <c r="J312" s="3">
        <f>IF(G312=0,0,IF(I312="",B312*H312/100,I312))</f>
        <v/>
      </c>
      <c r="K312" s="4" t="n"/>
      <c r="L312" s="5" t="n"/>
      <c r="M312" s="3" t="n"/>
      <c r="N312" s="3">
        <f>IF(K312=0,0,IF(M312="",B312*L312/100,M312))</f>
        <v/>
      </c>
      <c r="O312" s="4" t="n"/>
      <c r="P312" s="5" t="n"/>
      <c r="Q312" s="3" t="n"/>
      <c r="R312" s="3">
        <f>IF(O312=0,0,IF(Q312="",B312*P312/100,Q312))</f>
        <v/>
      </c>
      <c r="S312" s="4" t="n"/>
      <c r="T312" s="5" t="n"/>
      <c r="U312" s="3" t="n"/>
      <c r="V312" s="3">
        <f>IF(S312=0,0,IF(U312="",B312*T312/100,U312))</f>
        <v/>
      </c>
      <c r="W312" s="4" t="n"/>
      <c r="X312" s="5" t="n"/>
      <c r="Y312" s="3" t="n"/>
      <c r="Z312" s="3">
        <f>IF(W312=0,0,IF(Y312="",B312*X312/100,Y312))</f>
        <v/>
      </c>
      <c r="AA312" s="3" t="n"/>
      <c r="AB312" s="3" t="n"/>
      <c r="AC312" s="3">
        <f>B312*0.035</f>
        <v/>
      </c>
      <c r="AD312" s="3">
        <f>B312*0.065</f>
        <v/>
      </c>
      <c r="AE312" s="3">
        <f>SUM(B312,F312,J312,N312,R312,V312,Z312,AA312,AB312,AC312,AD312)</f>
        <v/>
      </c>
      <c r="AF312" s="3">
        <f>B312*0.055</f>
        <v/>
      </c>
      <c r="AG312" s="3">
        <f>B312*0.035</f>
        <v/>
      </c>
      <c r="AH312" s="3">
        <f>B312*0.165</f>
        <v/>
      </c>
      <c r="AI312" s="3">
        <f>MAX(0,AE312-AF312-AH312)</f>
        <v/>
      </c>
      <c r="AJ312" s="3">
        <f>IF(AI312&lt;=490,0,IF(AI312&lt;=600,(AI312-490)*0.05,IF(AI312&lt;=730,5.5+(AI312-600)*0.10,IF(AI312&lt;=3896.67,18.5+(AI312-730)*0.175,IF(AI312&lt;=19896.67,572.67+(AI312-3896.67)*0.25,IF(AI312&lt;=50416.67,4572.67+(AI312-19896.67)*0.30,13728.67+(AI312-50416.67)*0.35))))))</f>
        <v/>
      </c>
      <c r="AK312" s="3" t="n"/>
      <c r="AL312" s="3" t="n"/>
      <c r="AM312" s="3" t="n"/>
      <c r="AN312" s="3" t="n"/>
      <c r="AO312" s="3" t="n"/>
      <c r="AP312" s="3">
        <f>SUM(AF312,AJ312,AK312,AL312,AM312,AN312,AO312,AG312,AH312)</f>
        <v/>
      </c>
      <c r="AQ312" s="3">
        <f>AE312-AP312</f>
        <v/>
      </c>
      <c r="AR312" s="3" t="n"/>
      <c r="AS312" s="3" t="n"/>
      <c r="AT312" s="3">
        <f>AR312-AS312</f>
        <v/>
      </c>
    </row>
    <row r="313">
      <c r="A313" s="2" t="n"/>
      <c r="B313" s="3" t="n"/>
      <c r="C313" s="4" t="n"/>
      <c r="D313" s="5" t="n"/>
      <c r="E313" s="3" t="n"/>
      <c r="F313" s="3">
        <f>IF(C313=0,0,IF(E313="",B313*D313/100,E313))</f>
        <v/>
      </c>
      <c r="G313" s="4" t="n"/>
      <c r="H313" s="5" t="n"/>
      <c r="I313" s="3" t="n"/>
      <c r="J313" s="3">
        <f>IF(G313=0,0,IF(I313="",B313*H313/100,I313))</f>
        <v/>
      </c>
      <c r="K313" s="4" t="n"/>
      <c r="L313" s="5" t="n"/>
      <c r="M313" s="3" t="n"/>
      <c r="N313" s="3">
        <f>IF(K313=0,0,IF(M313="",B313*L313/100,M313))</f>
        <v/>
      </c>
      <c r="O313" s="4" t="n"/>
      <c r="P313" s="5" t="n"/>
      <c r="Q313" s="3" t="n"/>
      <c r="R313" s="3">
        <f>IF(O313=0,0,IF(Q313="",B313*P313/100,Q313))</f>
        <v/>
      </c>
      <c r="S313" s="4" t="n"/>
      <c r="T313" s="5" t="n"/>
      <c r="U313" s="3" t="n"/>
      <c r="V313" s="3">
        <f>IF(S313=0,0,IF(U313="",B313*T313/100,U313))</f>
        <v/>
      </c>
      <c r="W313" s="4" t="n"/>
      <c r="X313" s="5" t="n"/>
      <c r="Y313" s="3" t="n"/>
      <c r="Z313" s="3">
        <f>IF(W313=0,0,IF(Y313="",B313*X313/100,Y313))</f>
        <v/>
      </c>
      <c r="AA313" s="3" t="n"/>
      <c r="AB313" s="3" t="n"/>
      <c r="AC313" s="3">
        <f>B313*0.035</f>
        <v/>
      </c>
      <c r="AD313" s="3">
        <f>B313*0.065</f>
        <v/>
      </c>
      <c r="AE313" s="3">
        <f>SUM(B313,F313,J313,N313,R313,V313,Z313,AA313,AB313,AC313,AD313)</f>
        <v/>
      </c>
      <c r="AF313" s="3">
        <f>B313*0.055</f>
        <v/>
      </c>
      <c r="AG313" s="3">
        <f>B313*0.035</f>
        <v/>
      </c>
      <c r="AH313" s="3">
        <f>B313*0.165</f>
        <v/>
      </c>
      <c r="AI313" s="3">
        <f>MAX(0,AE313-AF313-AH313)</f>
        <v/>
      </c>
      <c r="AJ313" s="3">
        <f>IF(AI313&lt;=490,0,IF(AI313&lt;=600,(AI313-490)*0.05,IF(AI313&lt;=730,5.5+(AI313-600)*0.10,IF(AI313&lt;=3896.67,18.5+(AI313-730)*0.175,IF(AI313&lt;=19896.67,572.67+(AI313-3896.67)*0.25,IF(AI313&lt;=50416.67,4572.67+(AI313-19896.67)*0.30,13728.67+(AI313-50416.67)*0.35))))))</f>
        <v/>
      </c>
      <c r="AK313" s="3" t="n"/>
      <c r="AL313" s="3" t="n"/>
      <c r="AM313" s="3" t="n"/>
      <c r="AN313" s="3" t="n"/>
      <c r="AO313" s="3" t="n"/>
      <c r="AP313" s="3">
        <f>SUM(AF313,AJ313,AK313,AL313,AM313,AN313,AO313,AG313,AH313)</f>
        <v/>
      </c>
      <c r="AQ313" s="3">
        <f>AE313-AP313</f>
        <v/>
      </c>
      <c r="AR313" s="3" t="n"/>
      <c r="AS313" s="3" t="n"/>
      <c r="AT313" s="3">
        <f>AR313-AS313</f>
        <v/>
      </c>
    </row>
    <row r="314">
      <c r="A314" s="2" t="n"/>
      <c r="B314" s="3" t="n"/>
      <c r="C314" s="4" t="n"/>
      <c r="D314" s="5" t="n"/>
      <c r="E314" s="3" t="n"/>
      <c r="F314" s="3">
        <f>IF(C314=0,0,IF(E314="",B314*D314/100,E314))</f>
        <v/>
      </c>
      <c r="G314" s="4" t="n"/>
      <c r="H314" s="5" t="n"/>
      <c r="I314" s="3" t="n"/>
      <c r="J314" s="3">
        <f>IF(G314=0,0,IF(I314="",B314*H314/100,I314))</f>
        <v/>
      </c>
      <c r="K314" s="4" t="n"/>
      <c r="L314" s="5" t="n"/>
      <c r="M314" s="3" t="n"/>
      <c r="N314" s="3">
        <f>IF(K314=0,0,IF(M314="",B314*L314/100,M314))</f>
        <v/>
      </c>
      <c r="O314" s="4" t="n"/>
      <c r="P314" s="5" t="n"/>
      <c r="Q314" s="3" t="n"/>
      <c r="R314" s="3">
        <f>IF(O314=0,0,IF(Q314="",B314*P314/100,Q314))</f>
        <v/>
      </c>
      <c r="S314" s="4" t="n"/>
      <c r="T314" s="5" t="n"/>
      <c r="U314" s="3" t="n"/>
      <c r="V314" s="3">
        <f>IF(S314=0,0,IF(U314="",B314*T314/100,U314))</f>
        <v/>
      </c>
      <c r="W314" s="4" t="n"/>
      <c r="X314" s="5" t="n"/>
      <c r="Y314" s="3" t="n"/>
      <c r="Z314" s="3">
        <f>IF(W314=0,0,IF(Y314="",B314*X314/100,Y314))</f>
        <v/>
      </c>
      <c r="AA314" s="3" t="n"/>
      <c r="AB314" s="3" t="n"/>
      <c r="AC314" s="3">
        <f>B314*0.035</f>
        <v/>
      </c>
      <c r="AD314" s="3">
        <f>B314*0.065</f>
        <v/>
      </c>
      <c r="AE314" s="3">
        <f>SUM(B314,F314,J314,N314,R314,V314,Z314,AA314,AB314,AC314,AD314)</f>
        <v/>
      </c>
      <c r="AF314" s="3">
        <f>B314*0.055</f>
        <v/>
      </c>
      <c r="AG314" s="3">
        <f>B314*0.035</f>
        <v/>
      </c>
      <c r="AH314" s="3">
        <f>B314*0.165</f>
        <v/>
      </c>
      <c r="AI314" s="3">
        <f>MAX(0,AE314-AF314-AH314)</f>
        <v/>
      </c>
      <c r="AJ314" s="3">
        <f>IF(AI314&lt;=490,0,IF(AI314&lt;=600,(AI314-490)*0.05,IF(AI314&lt;=730,5.5+(AI314-600)*0.10,IF(AI314&lt;=3896.67,18.5+(AI314-730)*0.175,IF(AI314&lt;=19896.67,572.67+(AI314-3896.67)*0.25,IF(AI314&lt;=50416.67,4572.67+(AI314-19896.67)*0.30,13728.67+(AI314-50416.67)*0.35))))))</f>
        <v/>
      </c>
      <c r="AK314" s="3" t="n"/>
      <c r="AL314" s="3" t="n"/>
      <c r="AM314" s="3" t="n"/>
      <c r="AN314" s="3" t="n"/>
      <c r="AO314" s="3" t="n"/>
      <c r="AP314" s="3">
        <f>SUM(AF314,AJ314,AK314,AL314,AM314,AN314,AO314,AG314,AH314)</f>
        <v/>
      </c>
      <c r="AQ314" s="3">
        <f>AE314-AP314</f>
        <v/>
      </c>
      <c r="AR314" s="3" t="n"/>
      <c r="AS314" s="3" t="n"/>
      <c r="AT314" s="3">
        <f>AR314-AS314</f>
        <v/>
      </c>
    </row>
    <row r="315">
      <c r="A315" s="2" t="n"/>
      <c r="B315" s="3" t="n"/>
      <c r="C315" s="4" t="n"/>
      <c r="D315" s="5" t="n"/>
      <c r="E315" s="3" t="n"/>
      <c r="F315" s="3">
        <f>IF(C315=0,0,IF(E315="",B315*D315/100,E315))</f>
        <v/>
      </c>
      <c r="G315" s="4" t="n"/>
      <c r="H315" s="5" t="n"/>
      <c r="I315" s="3" t="n"/>
      <c r="J315" s="3">
        <f>IF(G315=0,0,IF(I315="",B315*H315/100,I315))</f>
        <v/>
      </c>
      <c r="K315" s="4" t="n"/>
      <c r="L315" s="5" t="n"/>
      <c r="M315" s="3" t="n"/>
      <c r="N315" s="3">
        <f>IF(K315=0,0,IF(M315="",B315*L315/100,M315))</f>
        <v/>
      </c>
      <c r="O315" s="4" t="n"/>
      <c r="P315" s="5" t="n"/>
      <c r="Q315" s="3" t="n"/>
      <c r="R315" s="3">
        <f>IF(O315=0,0,IF(Q315="",B315*P315/100,Q315))</f>
        <v/>
      </c>
      <c r="S315" s="4" t="n"/>
      <c r="T315" s="5" t="n"/>
      <c r="U315" s="3" t="n"/>
      <c r="V315" s="3">
        <f>IF(S315=0,0,IF(U315="",B315*T315/100,U315))</f>
        <v/>
      </c>
      <c r="W315" s="4" t="n"/>
      <c r="X315" s="5" t="n"/>
      <c r="Y315" s="3" t="n"/>
      <c r="Z315" s="3">
        <f>IF(W315=0,0,IF(Y315="",B315*X315/100,Y315))</f>
        <v/>
      </c>
      <c r="AA315" s="3" t="n"/>
      <c r="AB315" s="3" t="n"/>
      <c r="AC315" s="3">
        <f>B315*0.035</f>
        <v/>
      </c>
      <c r="AD315" s="3">
        <f>B315*0.065</f>
        <v/>
      </c>
      <c r="AE315" s="3">
        <f>SUM(B315,F315,J315,N315,R315,V315,Z315,AA315,AB315,AC315,AD315)</f>
        <v/>
      </c>
      <c r="AF315" s="3">
        <f>B315*0.055</f>
        <v/>
      </c>
      <c r="AG315" s="3">
        <f>B315*0.035</f>
        <v/>
      </c>
      <c r="AH315" s="3">
        <f>B315*0.165</f>
        <v/>
      </c>
      <c r="AI315" s="3">
        <f>MAX(0,AE315-AF315-AH315)</f>
        <v/>
      </c>
      <c r="AJ315" s="3">
        <f>IF(AI315&lt;=490,0,IF(AI315&lt;=600,(AI315-490)*0.05,IF(AI315&lt;=730,5.5+(AI315-600)*0.10,IF(AI315&lt;=3896.67,18.5+(AI315-730)*0.175,IF(AI315&lt;=19896.67,572.67+(AI315-3896.67)*0.25,IF(AI315&lt;=50416.67,4572.67+(AI315-19896.67)*0.30,13728.67+(AI315-50416.67)*0.35))))))</f>
        <v/>
      </c>
      <c r="AK315" s="3" t="n"/>
      <c r="AL315" s="3" t="n"/>
      <c r="AM315" s="3" t="n"/>
      <c r="AN315" s="3" t="n"/>
      <c r="AO315" s="3" t="n"/>
      <c r="AP315" s="3">
        <f>SUM(AF315,AJ315,AK315,AL315,AM315,AN315,AO315,AG315,AH315)</f>
        <v/>
      </c>
      <c r="AQ315" s="3">
        <f>AE315-AP315</f>
        <v/>
      </c>
      <c r="AR315" s="3" t="n"/>
      <c r="AS315" s="3" t="n"/>
      <c r="AT315" s="3">
        <f>AR315-AS315</f>
        <v/>
      </c>
    </row>
    <row r="316">
      <c r="A316" s="2" t="n"/>
      <c r="B316" s="3" t="n"/>
      <c r="C316" s="4" t="n"/>
      <c r="D316" s="5" t="n"/>
      <c r="E316" s="3" t="n"/>
      <c r="F316" s="3">
        <f>IF(C316=0,0,IF(E316="",B316*D316/100,E316))</f>
        <v/>
      </c>
      <c r="G316" s="4" t="n"/>
      <c r="H316" s="5" t="n"/>
      <c r="I316" s="3" t="n"/>
      <c r="J316" s="3">
        <f>IF(G316=0,0,IF(I316="",B316*H316/100,I316))</f>
        <v/>
      </c>
      <c r="K316" s="4" t="n"/>
      <c r="L316" s="5" t="n"/>
      <c r="M316" s="3" t="n"/>
      <c r="N316" s="3">
        <f>IF(K316=0,0,IF(M316="",B316*L316/100,M316))</f>
        <v/>
      </c>
      <c r="O316" s="4" t="n"/>
      <c r="P316" s="5" t="n"/>
      <c r="Q316" s="3" t="n"/>
      <c r="R316" s="3">
        <f>IF(O316=0,0,IF(Q316="",B316*P316/100,Q316))</f>
        <v/>
      </c>
      <c r="S316" s="4" t="n"/>
      <c r="T316" s="5" t="n"/>
      <c r="U316" s="3" t="n"/>
      <c r="V316" s="3">
        <f>IF(S316=0,0,IF(U316="",B316*T316/100,U316))</f>
        <v/>
      </c>
      <c r="W316" s="4" t="n"/>
      <c r="X316" s="5" t="n"/>
      <c r="Y316" s="3" t="n"/>
      <c r="Z316" s="3">
        <f>IF(W316=0,0,IF(Y316="",B316*X316/100,Y316))</f>
        <v/>
      </c>
      <c r="AA316" s="3" t="n"/>
      <c r="AB316" s="3" t="n"/>
      <c r="AC316" s="3">
        <f>B316*0.035</f>
        <v/>
      </c>
      <c r="AD316" s="3">
        <f>B316*0.065</f>
        <v/>
      </c>
      <c r="AE316" s="3">
        <f>SUM(B316,F316,J316,N316,R316,V316,Z316,AA316,AB316,AC316,AD316)</f>
        <v/>
      </c>
      <c r="AF316" s="3">
        <f>B316*0.055</f>
        <v/>
      </c>
      <c r="AG316" s="3">
        <f>B316*0.035</f>
        <v/>
      </c>
      <c r="AH316" s="3">
        <f>B316*0.165</f>
        <v/>
      </c>
      <c r="AI316" s="3">
        <f>MAX(0,AE316-AF316-AH316)</f>
        <v/>
      </c>
      <c r="AJ316" s="3">
        <f>IF(AI316&lt;=490,0,IF(AI316&lt;=600,(AI316-490)*0.05,IF(AI316&lt;=730,5.5+(AI316-600)*0.10,IF(AI316&lt;=3896.67,18.5+(AI316-730)*0.175,IF(AI316&lt;=19896.67,572.67+(AI316-3896.67)*0.25,IF(AI316&lt;=50416.67,4572.67+(AI316-19896.67)*0.30,13728.67+(AI316-50416.67)*0.35))))))</f>
        <v/>
      </c>
      <c r="AK316" s="3" t="n"/>
      <c r="AL316" s="3" t="n"/>
      <c r="AM316" s="3" t="n"/>
      <c r="AN316" s="3" t="n"/>
      <c r="AO316" s="3" t="n"/>
      <c r="AP316" s="3">
        <f>SUM(AF316,AJ316,AK316,AL316,AM316,AN316,AO316,AG316,AH316)</f>
        <v/>
      </c>
      <c r="AQ316" s="3">
        <f>AE316-AP316</f>
        <v/>
      </c>
      <c r="AR316" s="3" t="n"/>
      <c r="AS316" s="3" t="n"/>
      <c r="AT316" s="3">
        <f>AR316-AS316</f>
        <v/>
      </c>
    </row>
    <row r="317">
      <c r="A317" s="2" t="n"/>
      <c r="B317" s="3" t="n"/>
      <c r="C317" s="4" t="n"/>
      <c r="D317" s="5" t="n"/>
      <c r="E317" s="3" t="n"/>
      <c r="F317" s="3">
        <f>IF(C317=0,0,IF(E317="",B317*D317/100,E317))</f>
        <v/>
      </c>
      <c r="G317" s="4" t="n"/>
      <c r="H317" s="5" t="n"/>
      <c r="I317" s="3" t="n"/>
      <c r="J317" s="3">
        <f>IF(G317=0,0,IF(I317="",B317*H317/100,I317))</f>
        <v/>
      </c>
      <c r="K317" s="4" t="n"/>
      <c r="L317" s="5" t="n"/>
      <c r="M317" s="3" t="n"/>
      <c r="N317" s="3">
        <f>IF(K317=0,0,IF(M317="",B317*L317/100,M317))</f>
        <v/>
      </c>
      <c r="O317" s="4" t="n"/>
      <c r="P317" s="5" t="n"/>
      <c r="Q317" s="3" t="n"/>
      <c r="R317" s="3">
        <f>IF(O317=0,0,IF(Q317="",B317*P317/100,Q317))</f>
        <v/>
      </c>
      <c r="S317" s="4" t="n"/>
      <c r="T317" s="5" t="n"/>
      <c r="U317" s="3" t="n"/>
      <c r="V317" s="3">
        <f>IF(S317=0,0,IF(U317="",B317*T317/100,U317))</f>
        <v/>
      </c>
      <c r="W317" s="4" t="n"/>
      <c r="X317" s="5" t="n"/>
      <c r="Y317" s="3" t="n"/>
      <c r="Z317" s="3">
        <f>IF(W317=0,0,IF(Y317="",B317*X317/100,Y317))</f>
        <v/>
      </c>
      <c r="AA317" s="3" t="n"/>
      <c r="AB317" s="3" t="n"/>
      <c r="AC317" s="3">
        <f>B317*0.035</f>
        <v/>
      </c>
      <c r="AD317" s="3">
        <f>B317*0.065</f>
        <v/>
      </c>
      <c r="AE317" s="3">
        <f>SUM(B317,F317,J317,N317,R317,V317,Z317,AA317,AB317,AC317,AD317)</f>
        <v/>
      </c>
      <c r="AF317" s="3">
        <f>B317*0.055</f>
        <v/>
      </c>
      <c r="AG317" s="3">
        <f>B317*0.035</f>
        <v/>
      </c>
      <c r="AH317" s="3">
        <f>B317*0.165</f>
        <v/>
      </c>
      <c r="AI317" s="3">
        <f>MAX(0,AE317-AF317-AH317)</f>
        <v/>
      </c>
      <c r="AJ317" s="3">
        <f>IF(AI317&lt;=490,0,IF(AI317&lt;=600,(AI317-490)*0.05,IF(AI317&lt;=730,5.5+(AI317-600)*0.10,IF(AI317&lt;=3896.67,18.5+(AI317-730)*0.175,IF(AI317&lt;=19896.67,572.67+(AI317-3896.67)*0.25,IF(AI317&lt;=50416.67,4572.67+(AI317-19896.67)*0.30,13728.67+(AI317-50416.67)*0.35))))))</f>
        <v/>
      </c>
      <c r="AK317" s="3" t="n"/>
      <c r="AL317" s="3" t="n"/>
      <c r="AM317" s="3" t="n"/>
      <c r="AN317" s="3" t="n"/>
      <c r="AO317" s="3" t="n"/>
      <c r="AP317" s="3">
        <f>SUM(AF317,AJ317,AK317,AL317,AM317,AN317,AO317,AG317,AH317)</f>
        <v/>
      </c>
      <c r="AQ317" s="3">
        <f>AE317-AP317</f>
        <v/>
      </c>
      <c r="AR317" s="3" t="n"/>
      <c r="AS317" s="3" t="n"/>
      <c r="AT317" s="3">
        <f>AR317-AS317</f>
        <v/>
      </c>
    </row>
    <row r="318">
      <c r="A318" s="2" t="n"/>
      <c r="B318" s="3" t="n"/>
      <c r="C318" s="4" t="n"/>
      <c r="D318" s="5" t="n"/>
      <c r="E318" s="3" t="n"/>
      <c r="F318" s="3">
        <f>IF(C318=0,0,IF(E318="",B318*D318/100,E318))</f>
        <v/>
      </c>
      <c r="G318" s="4" t="n"/>
      <c r="H318" s="5" t="n"/>
      <c r="I318" s="3" t="n"/>
      <c r="J318" s="3">
        <f>IF(G318=0,0,IF(I318="",B318*H318/100,I318))</f>
        <v/>
      </c>
      <c r="K318" s="4" t="n"/>
      <c r="L318" s="5" t="n"/>
      <c r="M318" s="3" t="n"/>
      <c r="N318" s="3">
        <f>IF(K318=0,0,IF(M318="",B318*L318/100,M318))</f>
        <v/>
      </c>
      <c r="O318" s="4" t="n"/>
      <c r="P318" s="5" t="n"/>
      <c r="Q318" s="3" t="n"/>
      <c r="R318" s="3">
        <f>IF(O318=0,0,IF(Q318="",B318*P318/100,Q318))</f>
        <v/>
      </c>
      <c r="S318" s="4" t="n"/>
      <c r="T318" s="5" t="n"/>
      <c r="U318" s="3" t="n"/>
      <c r="V318" s="3">
        <f>IF(S318=0,0,IF(U318="",B318*T318/100,U318))</f>
        <v/>
      </c>
      <c r="W318" s="4" t="n"/>
      <c r="X318" s="5" t="n"/>
      <c r="Y318" s="3" t="n"/>
      <c r="Z318" s="3">
        <f>IF(W318=0,0,IF(Y318="",B318*X318/100,Y318))</f>
        <v/>
      </c>
      <c r="AA318" s="3" t="n"/>
      <c r="AB318" s="3" t="n"/>
      <c r="AC318" s="3">
        <f>B318*0.035</f>
        <v/>
      </c>
      <c r="AD318" s="3">
        <f>B318*0.065</f>
        <v/>
      </c>
      <c r="AE318" s="3">
        <f>SUM(B318,F318,J318,N318,R318,V318,Z318,AA318,AB318,AC318,AD318)</f>
        <v/>
      </c>
      <c r="AF318" s="3">
        <f>B318*0.055</f>
        <v/>
      </c>
      <c r="AG318" s="3">
        <f>B318*0.035</f>
        <v/>
      </c>
      <c r="AH318" s="3">
        <f>B318*0.165</f>
        <v/>
      </c>
      <c r="AI318" s="3">
        <f>MAX(0,AE318-AF318-AH318)</f>
        <v/>
      </c>
      <c r="AJ318" s="3">
        <f>IF(AI318&lt;=490,0,IF(AI318&lt;=600,(AI318-490)*0.05,IF(AI318&lt;=730,5.5+(AI318-600)*0.10,IF(AI318&lt;=3896.67,18.5+(AI318-730)*0.175,IF(AI318&lt;=19896.67,572.67+(AI318-3896.67)*0.25,IF(AI318&lt;=50416.67,4572.67+(AI318-19896.67)*0.30,13728.67+(AI318-50416.67)*0.35))))))</f>
        <v/>
      </c>
      <c r="AK318" s="3" t="n"/>
      <c r="AL318" s="3" t="n"/>
      <c r="AM318" s="3" t="n"/>
      <c r="AN318" s="3" t="n"/>
      <c r="AO318" s="3" t="n"/>
      <c r="AP318" s="3">
        <f>SUM(AF318,AJ318,AK318,AL318,AM318,AN318,AO318,AG318,AH318)</f>
        <v/>
      </c>
      <c r="AQ318" s="3">
        <f>AE318-AP318</f>
        <v/>
      </c>
      <c r="AR318" s="3" t="n"/>
      <c r="AS318" s="3" t="n"/>
      <c r="AT318" s="3">
        <f>AR318-AS318</f>
        <v/>
      </c>
    </row>
    <row r="319">
      <c r="A319" s="2" t="n"/>
      <c r="B319" s="3" t="n"/>
      <c r="C319" s="4" t="n"/>
      <c r="D319" s="5" t="n"/>
      <c r="E319" s="3" t="n"/>
      <c r="F319" s="3">
        <f>IF(C319=0,0,IF(E319="",B319*D319/100,E319))</f>
        <v/>
      </c>
      <c r="G319" s="4" t="n"/>
      <c r="H319" s="5" t="n"/>
      <c r="I319" s="3" t="n"/>
      <c r="J319" s="3">
        <f>IF(G319=0,0,IF(I319="",B319*H319/100,I319))</f>
        <v/>
      </c>
      <c r="K319" s="4" t="n"/>
      <c r="L319" s="5" t="n"/>
      <c r="M319" s="3" t="n"/>
      <c r="N319" s="3">
        <f>IF(K319=0,0,IF(M319="",B319*L319/100,M319))</f>
        <v/>
      </c>
      <c r="O319" s="4" t="n"/>
      <c r="P319" s="5" t="n"/>
      <c r="Q319" s="3" t="n"/>
      <c r="R319" s="3">
        <f>IF(O319=0,0,IF(Q319="",B319*P319/100,Q319))</f>
        <v/>
      </c>
      <c r="S319" s="4" t="n"/>
      <c r="T319" s="5" t="n"/>
      <c r="U319" s="3" t="n"/>
      <c r="V319" s="3">
        <f>IF(S319=0,0,IF(U319="",B319*T319/100,U319))</f>
        <v/>
      </c>
      <c r="W319" s="4" t="n"/>
      <c r="X319" s="5" t="n"/>
      <c r="Y319" s="3" t="n"/>
      <c r="Z319" s="3">
        <f>IF(W319=0,0,IF(Y319="",B319*X319/100,Y319))</f>
        <v/>
      </c>
      <c r="AA319" s="3" t="n"/>
      <c r="AB319" s="3" t="n"/>
      <c r="AC319" s="3">
        <f>B319*0.035</f>
        <v/>
      </c>
      <c r="AD319" s="3">
        <f>B319*0.065</f>
        <v/>
      </c>
      <c r="AE319" s="3">
        <f>SUM(B319,F319,J319,N319,R319,V319,Z319,AA319,AB319,AC319,AD319)</f>
        <v/>
      </c>
      <c r="AF319" s="3">
        <f>B319*0.055</f>
        <v/>
      </c>
      <c r="AG319" s="3">
        <f>B319*0.035</f>
        <v/>
      </c>
      <c r="AH319" s="3">
        <f>B319*0.165</f>
        <v/>
      </c>
      <c r="AI319" s="3">
        <f>MAX(0,AE319-AF319-AH319)</f>
        <v/>
      </c>
      <c r="AJ319" s="3">
        <f>IF(AI319&lt;=490,0,IF(AI319&lt;=600,(AI319-490)*0.05,IF(AI319&lt;=730,5.5+(AI319-600)*0.10,IF(AI319&lt;=3896.67,18.5+(AI319-730)*0.175,IF(AI319&lt;=19896.67,572.67+(AI319-3896.67)*0.25,IF(AI319&lt;=50416.67,4572.67+(AI319-19896.67)*0.30,13728.67+(AI319-50416.67)*0.35))))))</f>
        <v/>
      </c>
      <c r="AK319" s="3" t="n"/>
      <c r="AL319" s="3" t="n"/>
      <c r="AM319" s="3" t="n"/>
      <c r="AN319" s="3" t="n"/>
      <c r="AO319" s="3" t="n"/>
      <c r="AP319" s="3">
        <f>SUM(AF319,AJ319,AK319,AL319,AM319,AN319,AO319,AG319,AH319)</f>
        <v/>
      </c>
      <c r="AQ319" s="3">
        <f>AE319-AP319</f>
        <v/>
      </c>
      <c r="AR319" s="3" t="n"/>
      <c r="AS319" s="3" t="n"/>
      <c r="AT319" s="3">
        <f>AR319-AS319</f>
        <v/>
      </c>
    </row>
    <row r="320">
      <c r="A320" s="2" t="n"/>
      <c r="B320" s="3" t="n"/>
      <c r="C320" s="4" t="n"/>
      <c r="D320" s="5" t="n"/>
      <c r="E320" s="3" t="n"/>
      <c r="F320" s="3">
        <f>IF(C320=0,0,IF(E320="",B320*D320/100,E320))</f>
        <v/>
      </c>
      <c r="G320" s="4" t="n"/>
      <c r="H320" s="5" t="n"/>
      <c r="I320" s="3" t="n"/>
      <c r="J320" s="3">
        <f>IF(G320=0,0,IF(I320="",B320*H320/100,I320))</f>
        <v/>
      </c>
      <c r="K320" s="4" t="n"/>
      <c r="L320" s="5" t="n"/>
      <c r="M320" s="3" t="n"/>
      <c r="N320" s="3">
        <f>IF(K320=0,0,IF(M320="",B320*L320/100,M320))</f>
        <v/>
      </c>
      <c r="O320" s="4" t="n"/>
      <c r="P320" s="5" t="n"/>
      <c r="Q320" s="3" t="n"/>
      <c r="R320" s="3">
        <f>IF(O320=0,0,IF(Q320="",B320*P320/100,Q320))</f>
        <v/>
      </c>
      <c r="S320" s="4" t="n"/>
      <c r="T320" s="5" t="n"/>
      <c r="U320" s="3" t="n"/>
      <c r="V320" s="3">
        <f>IF(S320=0,0,IF(U320="",B320*T320/100,U320))</f>
        <v/>
      </c>
      <c r="W320" s="4" t="n"/>
      <c r="X320" s="5" t="n"/>
      <c r="Y320" s="3" t="n"/>
      <c r="Z320" s="3">
        <f>IF(W320=0,0,IF(Y320="",B320*X320/100,Y320))</f>
        <v/>
      </c>
      <c r="AA320" s="3" t="n"/>
      <c r="AB320" s="3" t="n"/>
      <c r="AC320" s="3">
        <f>B320*0.035</f>
        <v/>
      </c>
      <c r="AD320" s="3">
        <f>B320*0.065</f>
        <v/>
      </c>
      <c r="AE320" s="3">
        <f>SUM(B320,F320,J320,N320,R320,V320,Z320,AA320,AB320,AC320,AD320)</f>
        <v/>
      </c>
      <c r="AF320" s="3">
        <f>B320*0.055</f>
        <v/>
      </c>
      <c r="AG320" s="3">
        <f>B320*0.035</f>
        <v/>
      </c>
      <c r="AH320" s="3">
        <f>B320*0.165</f>
        <v/>
      </c>
      <c r="AI320" s="3">
        <f>MAX(0,AE320-AF320-AH320)</f>
        <v/>
      </c>
      <c r="AJ320" s="3">
        <f>IF(AI320&lt;=490,0,IF(AI320&lt;=600,(AI320-490)*0.05,IF(AI320&lt;=730,5.5+(AI320-600)*0.10,IF(AI320&lt;=3896.67,18.5+(AI320-730)*0.175,IF(AI320&lt;=19896.67,572.67+(AI320-3896.67)*0.25,IF(AI320&lt;=50416.67,4572.67+(AI320-19896.67)*0.30,13728.67+(AI320-50416.67)*0.35))))))</f>
        <v/>
      </c>
      <c r="AK320" s="3" t="n"/>
      <c r="AL320" s="3" t="n"/>
      <c r="AM320" s="3" t="n"/>
      <c r="AN320" s="3" t="n"/>
      <c r="AO320" s="3" t="n"/>
      <c r="AP320" s="3">
        <f>SUM(AF320,AJ320,AK320,AL320,AM320,AN320,AO320,AG320,AH320)</f>
        <v/>
      </c>
      <c r="AQ320" s="3">
        <f>AE320-AP320</f>
        <v/>
      </c>
      <c r="AR320" s="3" t="n"/>
      <c r="AS320" s="3" t="n"/>
      <c r="AT320" s="3">
        <f>AR320-AS320</f>
        <v/>
      </c>
    </row>
    <row r="321">
      <c r="A321" s="2" t="n"/>
      <c r="B321" s="3" t="n"/>
      <c r="C321" s="4" t="n"/>
      <c r="D321" s="5" t="n"/>
      <c r="E321" s="3" t="n"/>
      <c r="F321" s="3">
        <f>IF(C321=0,0,IF(E321="",B321*D321/100,E321))</f>
        <v/>
      </c>
      <c r="G321" s="4" t="n"/>
      <c r="H321" s="5" t="n"/>
      <c r="I321" s="3" t="n"/>
      <c r="J321" s="3">
        <f>IF(G321=0,0,IF(I321="",B321*H321/100,I321))</f>
        <v/>
      </c>
      <c r="K321" s="4" t="n"/>
      <c r="L321" s="5" t="n"/>
      <c r="M321" s="3" t="n"/>
      <c r="N321" s="3">
        <f>IF(K321=0,0,IF(M321="",B321*L321/100,M321))</f>
        <v/>
      </c>
      <c r="O321" s="4" t="n"/>
      <c r="P321" s="5" t="n"/>
      <c r="Q321" s="3" t="n"/>
      <c r="R321" s="3">
        <f>IF(O321=0,0,IF(Q321="",B321*P321/100,Q321))</f>
        <v/>
      </c>
      <c r="S321" s="4" t="n"/>
      <c r="T321" s="5" t="n"/>
      <c r="U321" s="3" t="n"/>
      <c r="V321" s="3">
        <f>IF(S321=0,0,IF(U321="",B321*T321/100,U321))</f>
        <v/>
      </c>
      <c r="W321" s="4" t="n"/>
      <c r="X321" s="5" t="n"/>
      <c r="Y321" s="3" t="n"/>
      <c r="Z321" s="3">
        <f>IF(W321=0,0,IF(Y321="",B321*X321/100,Y321))</f>
        <v/>
      </c>
      <c r="AA321" s="3" t="n"/>
      <c r="AB321" s="3" t="n"/>
      <c r="AC321" s="3">
        <f>B321*0.035</f>
        <v/>
      </c>
      <c r="AD321" s="3">
        <f>B321*0.065</f>
        <v/>
      </c>
      <c r="AE321" s="3">
        <f>SUM(B321,F321,J321,N321,R321,V321,Z321,AA321,AB321,AC321,AD321)</f>
        <v/>
      </c>
      <c r="AF321" s="3">
        <f>B321*0.055</f>
        <v/>
      </c>
      <c r="AG321" s="3">
        <f>B321*0.035</f>
        <v/>
      </c>
      <c r="AH321" s="3">
        <f>B321*0.165</f>
        <v/>
      </c>
      <c r="AI321" s="3">
        <f>MAX(0,AE321-AF321-AH321)</f>
        <v/>
      </c>
      <c r="AJ321" s="3">
        <f>IF(AI321&lt;=490,0,IF(AI321&lt;=600,(AI321-490)*0.05,IF(AI321&lt;=730,5.5+(AI321-600)*0.10,IF(AI321&lt;=3896.67,18.5+(AI321-730)*0.175,IF(AI321&lt;=19896.67,572.67+(AI321-3896.67)*0.25,IF(AI321&lt;=50416.67,4572.67+(AI321-19896.67)*0.30,13728.67+(AI321-50416.67)*0.35))))))</f>
        <v/>
      </c>
      <c r="AK321" s="3" t="n"/>
      <c r="AL321" s="3" t="n"/>
      <c r="AM321" s="3" t="n"/>
      <c r="AN321" s="3" t="n"/>
      <c r="AO321" s="3" t="n"/>
      <c r="AP321" s="3">
        <f>SUM(AF321,AJ321,AK321,AL321,AM321,AN321,AO321,AG321,AH321)</f>
        <v/>
      </c>
      <c r="AQ321" s="3">
        <f>AE321-AP321</f>
        <v/>
      </c>
      <c r="AR321" s="3" t="n"/>
      <c r="AS321" s="3" t="n"/>
      <c r="AT321" s="3">
        <f>AR321-AS321</f>
        <v/>
      </c>
    </row>
    <row r="322">
      <c r="A322" s="2" t="n"/>
      <c r="B322" s="3" t="n"/>
      <c r="C322" s="4" t="n"/>
      <c r="D322" s="5" t="n"/>
      <c r="E322" s="3" t="n"/>
      <c r="F322" s="3">
        <f>IF(C322=0,0,IF(E322="",B322*D322/100,E322))</f>
        <v/>
      </c>
      <c r="G322" s="4" t="n"/>
      <c r="H322" s="5" t="n"/>
      <c r="I322" s="3" t="n"/>
      <c r="J322" s="3">
        <f>IF(G322=0,0,IF(I322="",B322*H322/100,I322))</f>
        <v/>
      </c>
      <c r="K322" s="4" t="n"/>
      <c r="L322" s="5" t="n"/>
      <c r="M322" s="3" t="n"/>
      <c r="N322" s="3">
        <f>IF(K322=0,0,IF(M322="",B322*L322/100,M322))</f>
        <v/>
      </c>
      <c r="O322" s="4" t="n"/>
      <c r="P322" s="5" t="n"/>
      <c r="Q322" s="3" t="n"/>
      <c r="R322" s="3">
        <f>IF(O322=0,0,IF(Q322="",B322*P322/100,Q322))</f>
        <v/>
      </c>
      <c r="S322" s="4" t="n"/>
      <c r="T322" s="5" t="n"/>
      <c r="U322" s="3" t="n"/>
      <c r="V322" s="3">
        <f>IF(S322=0,0,IF(U322="",B322*T322/100,U322))</f>
        <v/>
      </c>
      <c r="W322" s="4" t="n"/>
      <c r="X322" s="5" t="n"/>
      <c r="Y322" s="3" t="n"/>
      <c r="Z322" s="3">
        <f>IF(W322=0,0,IF(Y322="",B322*X322/100,Y322))</f>
        <v/>
      </c>
      <c r="AA322" s="3" t="n"/>
      <c r="AB322" s="3" t="n"/>
      <c r="AC322" s="3">
        <f>B322*0.035</f>
        <v/>
      </c>
      <c r="AD322" s="3">
        <f>B322*0.065</f>
        <v/>
      </c>
      <c r="AE322" s="3">
        <f>SUM(B322,F322,J322,N322,R322,V322,Z322,AA322,AB322,AC322,AD322)</f>
        <v/>
      </c>
      <c r="AF322" s="3">
        <f>B322*0.055</f>
        <v/>
      </c>
      <c r="AG322" s="3">
        <f>B322*0.035</f>
        <v/>
      </c>
      <c r="AH322" s="3">
        <f>B322*0.165</f>
        <v/>
      </c>
      <c r="AI322" s="3">
        <f>MAX(0,AE322-AF322-AH322)</f>
        <v/>
      </c>
      <c r="AJ322" s="3">
        <f>IF(AI322&lt;=490,0,IF(AI322&lt;=600,(AI322-490)*0.05,IF(AI322&lt;=730,5.5+(AI322-600)*0.10,IF(AI322&lt;=3896.67,18.5+(AI322-730)*0.175,IF(AI322&lt;=19896.67,572.67+(AI322-3896.67)*0.25,IF(AI322&lt;=50416.67,4572.67+(AI322-19896.67)*0.30,13728.67+(AI322-50416.67)*0.35))))))</f>
        <v/>
      </c>
      <c r="AK322" s="3" t="n"/>
      <c r="AL322" s="3" t="n"/>
      <c r="AM322" s="3" t="n"/>
      <c r="AN322" s="3" t="n"/>
      <c r="AO322" s="3" t="n"/>
      <c r="AP322" s="3">
        <f>SUM(AF322,AJ322,AK322,AL322,AM322,AN322,AO322,AG322,AH322)</f>
        <v/>
      </c>
      <c r="AQ322" s="3">
        <f>AE322-AP322</f>
        <v/>
      </c>
      <c r="AR322" s="3" t="n"/>
      <c r="AS322" s="3" t="n"/>
      <c r="AT322" s="3">
        <f>AR322-AS322</f>
        <v/>
      </c>
    </row>
    <row r="323">
      <c r="A323" s="2" t="n"/>
      <c r="B323" s="3" t="n"/>
      <c r="C323" s="4" t="n"/>
      <c r="D323" s="5" t="n"/>
      <c r="E323" s="3" t="n"/>
      <c r="F323" s="3">
        <f>IF(C323=0,0,IF(E323="",B323*D323/100,E323))</f>
        <v/>
      </c>
      <c r="G323" s="4" t="n"/>
      <c r="H323" s="5" t="n"/>
      <c r="I323" s="3" t="n"/>
      <c r="J323" s="3">
        <f>IF(G323=0,0,IF(I323="",B323*H323/100,I323))</f>
        <v/>
      </c>
      <c r="K323" s="4" t="n"/>
      <c r="L323" s="5" t="n"/>
      <c r="M323" s="3" t="n"/>
      <c r="N323" s="3">
        <f>IF(K323=0,0,IF(M323="",B323*L323/100,M323))</f>
        <v/>
      </c>
      <c r="O323" s="4" t="n"/>
      <c r="P323" s="5" t="n"/>
      <c r="Q323" s="3" t="n"/>
      <c r="R323" s="3">
        <f>IF(O323=0,0,IF(Q323="",B323*P323/100,Q323))</f>
        <v/>
      </c>
      <c r="S323" s="4" t="n"/>
      <c r="T323" s="5" t="n"/>
      <c r="U323" s="3" t="n"/>
      <c r="V323" s="3">
        <f>IF(S323=0,0,IF(U323="",B323*T323/100,U323))</f>
        <v/>
      </c>
      <c r="W323" s="4" t="n"/>
      <c r="X323" s="5" t="n"/>
      <c r="Y323" s="3" t="n"/>
      <c r="Z323" s="3">
        <f>IF(W323=0,0,IF(Y323="",B323*X323/100,Y323))</f>
        <v/>
      </c>
      <c r="AA323" s="3" t="n"/>
      <c r="AB323" s="3" t="n"/>
      <c r="AC323" s="3">
        <f>B323*0.035</f>
        <v/>
      </c>
      <c r="AD323" s="3">
        <f>B323*0.065</f>
        <v/>
      </c>
      <c r="AE323" s="3">
        <f>SUM(B323,F323,J323,N323,R323,V323,Z323,AA323,AB323,AC323,AD323)</f>
        <v/>
      </c>
      <c r="AF323" s="3">
        <f>B323*0.055</f>
        <v/>
      </c>
      <c r="AG323" s="3">
        <f>B323*0.035</f>
        <v/>
      </c>
      <c r="AH323" s="3">
        <f>B323*0.165</f>
        <v/>
      </c>
      <c r="AI323" s="3">
        <f>MAX(0,AE323-AF323-AH323)</f>
        <v/>
      </c>
      <c r="AJ323" s="3">
        <f>IF(AI323&lt;=490,0,IF(AI323&lt;=600,(AI323-490)*0.05,IF(AI323&lt;=730,5.5+(AI323-600)*0.10,IF(AI323&lt;=3896.67,18.5+(AI323-730)*0.175,IF(AI323&lt;=19896.67,572.67+(AI323-3896.67)*0.25,IF(AI323&lt;=50416.67,4572.67+(AI323-19896.67)*0.30,13728.67+(AI323-50416.67)*0.35))))))</f>
        <v/>
      </c>
      <c r="AK323" s="3" t="n"/>
      <c r="AL323" s="3" t="n"/>
      <c r="AM323" s="3" t="n"/>
      <c r="AN323" s="3" t="n"/>
      <c r="AO323" s="3" t="n"/>
      <c r="AP323" s="3">
        <f>SUM(AF323,AJ323,AK323,AL323,AM323,AN323,AO323,AG323,AH323)</f>
        <v/>
      </c>
      <c r="AQ323" s="3">
        <f>AE323-AP323</f>
        <v/>
      </c>
      <c r="AR323" s="3" t="n"/>
      <c r="AS323" s="3" t="n"/>
      <c r="AT323" s="3">
        <f>AR323-AS323</f>
        <v/>
      </c>
    </row>
    <row r="324">
      <c r="A324" s="2" t="n"/>
      <c r="B324" s="3" t="n"/>
      <c r="C324" s="4" t="n"/>
      <c r="D324" s="5" t="n"/>
      <c r="E324" s="3" t="n"/>
      <c r="F324" s="3">
        <f>IF(C324=0,0,IF(E324="",B324*D324/100,E324))</f>
        <v/>
      </c>
      <c r="G324" s="4" t="n"/>
      <c r="H324" s="5" t="n"/>
      <c r="I324" s="3" t="n"/>
      <c r="J324" s="3">
        <f>IF(G324=0,0,IF(I324="",B324*H324/100,I324))</f>
        <v/>
      </c>
      <c r="K324" s="4" t="n"/>
      <c r="L324" s="5" t="n"/>
      <c r="M324" s="3" t="n"/>
      <c r="N324" s="3">
        <f>IF(K324=0,0,IF(M324="",B324*L324/100,M324))</f>
        <v/>
      </c>
      <c r="O324" s="4" t="n"/>
      <c r="P324" s="5" t="n"/>
      <c r="Q324" s="3" t="n"/>
      <c r="R324" s="3">
        <f>IF(O324=0,0,IF(Q324="",B324*P324/100,Q324))</f>
        <v/>
      </c>
      <c r="S324" s="4" t="n"/>
      <c r="T324" s="5" t="n"/>
      <c r="U324" s="3" t="n"/>
      <c r="V324" s="3">
        <f>IF(S324=0,0,IF(U324="",B324*T324/100,U324))</f>
        <v/>
      </c>
      <c r="W324" s="4" t="n"/>
      <c r="X324" s="5" t="n"/>
      <c r="Y324" s="3" t="n"/>
      <c r="Z324" s="3">
        <f>IF(W324=0,0,IF(Y324="",B324*X324/100,Y324))</f>
        <v/>
      </c>
      <c r="AA324" s="3" t="n"/>
      <c r="AB324" s="3" t="n"/>
      <c r="AC324" s="3">
        <f>B324*0.035</f>
        <v/>
      </c>
      <c r="AD324" s="3">
        <f>B324*0.065</f>
        <v/>
      </c>
      <c r="AE324" s="3">
        <f>SUM(B324,F324,J324,N324,R324,V324,Z324,AA324,AB324,AC324,AD324)</f>
        <v/>
      </c>
      <c r="AF324" s="3">
        <f>B324*0.055</f>
        <v/>
      </c>
      <c r="AG324" s="3">
        <f>B324*0.035</f>
        <v/>
      </c>
      <c r="AH324" s="3">
        <f>B324*0.165</f>
        <v/>
      </c>
      <c r="AI324" s="3">
        <f>MAX(0,AE324-AF324-AH324)</f>
        <v/>
      </c>
      <c r="AJ324" s="3">
        <f>IF(AI324&lt;=490,0,IF(AI324&lt;=600,(AI324-490)*0.05,IF(AI324&lt;=730,5.5+(AI324-600)*0.10,IF(AI324&lt;=3896.67,18.5+(AI324-730)*0.175,IF(AI324&lt;=19896.67,572.67+(AI324-3896.67)*0.25,IF(AI324&lt;=50416.67,4572.67+(AI324-19896.67)*0.30,13728.67+(AI324-50416.67)*0.35))))))</f>
        <v/>
      </c>
      <c r="AK324" s="3" t="n"/>
      <c r="AL324" s="3" t="n"/>
      <c r="AM324" s="3" t="n"/>
      <c r="AN324" s="3" t="n"/>
      <c r="AO324" s="3" t="n"/>
      <c r="AP324" s="3">
        <f>SUM(AF324,AJ324,AK324,AL324,AM324,AN324,AO324,AG324,AH324)</f>
        <v/>
      </c>
      <c r="AQ324" s="3">
        <f>AE324-AP324</f>
        <v/>
      </c>
      <c r="AR324" s="3" t="n"/>
      <c r="AS324" s="3" t="n"/>
      <c r="AT324" s="3">
        <f>AR324-AS324</f>
        <v/>
      </c>
    </row>
    <row r="325">
      <c r="A325" s="2" t="n"/>
      <c r="B325" s="3" t="n"/>
      <c r="C325" s="4" t="n"/>
      <c r="D325" s="5" t="n"/>
      <c r="E325" s="3" t="n"/>
      <c r="F325" s="3">
        <f>IF(C325=0,0,IF(E325="",B325*D325/100,E325))</f>
        <v/>
      </c>
      <c r="G325" s="4" t="n"/>
      <c r="H325" s="5" t="n"/>
      <c r="I325" s="3" t="n"/>
      <c r="J325" s="3">
        <f>IF(G325=0,0,IF(I325="",B325*H325/100,I325))</f>
        <v/>
      </c>
      <c r="K325" s="4" t="n"/>
      <c r="L325" s="5" t="n"/>
      <c r="M325" s="3" t="n"/>
      <c r="N325" s="3">
        <f>IF(K325=0,0,IF(M325="",B325*L325/100,M325))</f>
        <v/>
      </c>
      <c r="O325" s="4" t="n"/>
      <c r="P325" s="5" t="n"/>
      <c r="Q325" s="3" t="n"/>
      <c r="R325" s="3">
        <f>IF(O325=0,0,IF(Q325="",B325*P325/100,Q325))</f>
        <v/>
      </c>
      <c r="S325" s="4" t="n"/>
      <c r="T325" s="5" t="n"/>
      <c r="U325" s="3" t="n"/>
      <c r="V325" s="3">
        <f>IF(S325=0,0,IF(U325="",B325*T325/100,U325))</f>
        <v/>
      </c>
      <c r="W325" s="4" t="n"/>
      <c r="X325" s="5" t="n"/>
      <c r="Y325" s="3" t="n"/>
      <c r="Z325" s="3">
        <f>IF(W325=0,0,IF(Y325="",B325*X325/100,Y325))</f>
        <v/>
      </c>
      <c r="AA325" s="3" t="n"/>
      <c r="AB325" s="3" t="n"/>
      <c r="AC325" s="3">
        <f>B325*0.035</f>
        <v/>
      </c>
      <c r="AD325" s="3">
        <f>B325*0.065</f>
        <v/>
      </c>
      <c r="AE325" s="3">
        <f>SUM(B325,F325,J325,N325,R325,V325,Z325,AA325,AB325,AC325,AD325)</f>
        <v/>
      </c>
      <c r="AF325" s="3">
        <f>B325*0.055</f>
        <v/>
      </c>
      <c r="AG325" s="3">
        <f>B325*0.035</f>
        <v/>
      </c>
      <c r="AH325" s="3">
        <f>B325*0.165</f>
        <v/>
      </c>
      <c r="AI325" s="3">
        <f>MAX(0,AE325-AF325-AH325)</f>
        <v/>
      </c>
      <c r="AJ325" s="3">
        <f>IF(AI325&lt;=490,0,IF(AI325&lt;=600,(AI325-490)*0.05,IF(AI325&lt;=730,5.5+(AI325-600)*0.10,IF(AI325&lt;=3896.67,18.5+(AI325-730)*0.175,IF(AI325&lt;=19896.67,572.67+(AI325-3896.67)*0.25,IF(AI325&lt;=50416.67,4572.67+(AI325-19896.67)*0.30,13728.67+(AI325-50416.67)*0.35))))))</f>
        <v/>
      </c>
      <c r="AK325" s="3" t="n"/>
      <c r="AL325" s="3" t="n"/>
      <c r="AM325" s="3" t="n"/>
      <c r="AN325" s="3" t="n"/>
      <c r="AO325" s="3" t="n"/>
      <c r="AP325" s="3">
        <f>SUM(AF325,AJ325,AK325,AL325,AM325,AN325,AO325,AG325,AH325)</f>
        <v/>
      </c>
      <c r="AQ325" s="3">
        <f>AE325-AP325</f>
        <v/>
      </c>
      <c r="AR325" s="3" t="n"/>
      <c r="AS325" s="3" t="n"/>
      <c r="AT325" s="3">
        <f>AR325-AS325</f>
        <v/>
      </c>
    </row>
    <row r="326">
      <c r="A326" s="2" t="n"/>
      <c r="B326" s="3" t="n"/>
      <c r="C326" s="4" t="n"/>
      <c r="D326" s="5" t="n"/>
      <c r="E326" s="3" t="n"/>
      <c r="F326" s="3">
        <f>IF(C326=0,0,IF(E326="",B326*D326/100,E326))</f>
        <v/>
      </c>
      <c r="G326" s="4" t="n"/>
      <c r="H326" s="5" t="n"/>
      <c r="I326" s="3" t="n"/>
      <c r="J326" s="3">
        <f>IF(G326=0,0,IF(I326="",B326*H326/100,I326))</f>
        <v/>
      </c>
      <c r="K326" s="4" t="n"/>
      <c r="L326" s="5" t="n"/>
      <c r="M326" s="3" t="n"/>
      <c r="N326" s="3">
        <f>IF(K326=0,0,IF(M326="",B326*L326/100,M326))</f>
        <v/>
      </c>
      <c r="O326" s="4" t="n"/>
      <c r="P326" s="5" t="n"/>
      <c r="Q326" s="3" t="n"/>
      <c r="R326" s="3">
        <f>IF(O326=0,0,IF(Q326="",B326*P326/100,Q326))</f>
        <v/>
      </c>
      <c r="S326" s="4" t="n"/>
      <c r="T326" s="5" t="n"/>
      <c r="U326" s="3" t="n"/>
      <c r="V326" s="3">
        <f>IF(S326=0,0,IF(U326="",B326*T326/100,U326))</f>
        <v/>
      </c>
      <c r="W326" s="4" t="n"/>
      <c r="X326" s="5" t="n"/>
      <c r="Y326" s="3" t="n"/>
      <c r="Z326" s="3">
        <f>IF(W326=0,0,IF(Y326="",B326*X326/100,Y326))</f>
        <v/>
      </c>
      <c r="AA326" s="3" t="n"/>
      <c r="AB326" s="3" t="n"/>
      <c r="AC326" s="3">
        <f>B326*0.035</f>
        <v/>
      </c>
      <c r="AD326" s="3">
        <f>B326*0.065</f>
        <v/>
      </c>
      <c r="AE326" s="3">
        <f>SUM(B326,F326,J326,N326,R326,V326,Z326,AA326,AB326,AC326,AD326)</f>
        <v/>
      </c>
      <c r="AF326" s="3">
        <f>B326*0.055</f>
        <v/>
      </c>
      <c r="AG326" s="3">
        <f>B326*0.035</f>
        <v/>
      </c>
      <c r="AH326" s="3">
        <f>B326*0.165</f>
        <v/>
      </c>
      <c r="AI326" s="3">
        <f>MAX(0,AE326-AF326-AH326)</f>
        <v/>
      </c>
      <c r="AJ326" s="3">
        <f>IF(AI326&lt;=490,0,IF(AI326&lt;=600,(AI326-490)*0.05,IF(AI326&lt;=730,5.5+(AI326-600)*0.10,IF(AI326&lt;=3896.67,18.5+(AI326-730)*0.175,IF(AI326&lt;=19896.67,572.67+(AI326-3896.67)*0.25,IF(AI326&lt;=50416.67,4572.67+(AI326-19896.67)*0.30,13728.67+(AI326-50416.67)*0.35))))))</f>
        <v/>
      </c>
      <c r="AK326" s="3" t="n"/>
      <c r="AL326" s="3" t="n"/>
      <c r="AM326" s="3" t="n"/>
      <c r="AN326" s="3" t="n"/>
      <c r="AO326" s="3" t="n"/>
      <c r="AP326" s="3">
        <f>SUM(AF326,AJ326,AK326,AL326,AM326,AN326,AO326,AG326,AH326)</f>
        <v/>
      </c>
      <c r="AQ326" s="3">
        <f>AE326-AP326</f>
        <v/>
      </c>
      <c r="AR326" s="3" t="n"/>
      <c r="AS326" s="3" t="n"/>
      <c r="AT326" s="3">
        <f>AR326-AS326</f>
        <v/>
      </c>
    </row>
    <row r="327">
      <c r="A327" s="2" t="n"/>
      <c r="B327" s="3" t="n"/>
      <c r="C327" s="4" t="n"/>
      <c r="D327" s="5" t="n"/>
      <c r="E327" s="3" t="n"/>
      <c r="F327" s="3">
        <f>IF(C327=0,0,IF(E327="",B327*D327/100,E327))</f>
        <v/>
      </c>
      <c r="G327" s="4" t="n"/>
      <c r="H327" s="5" t="n"/>
      <c r="I327" s="3" t="n"/>
      <c r="J327" s="3">
        <f>IF(G327=0,0,IF(I327="",B327*H327/100,I327))</f>
        <v/>
      </c>
      <c r="K327" s="4" t="n"/>
      <c r="L327" s="5" t="n"/>
      <c r="M327" s="3" t="n"/>
      <c r="N327" s="3">
        <f>IF(K327=0,0,IF(M327="",B327*L327/100,M327))</f>
        <v/>
      </c>
      <c r="O327" s="4" t="n"/>
      <c r="P327" s="5" t="n"/>
      <c r="Q327" s="3" t="n"/>
      <c r="R327" s="3">
        <f>IF(O327=0,0,IF(Q327="",B327*P327/100,Q327))</f>
        <v/>
      </c>
      <c r="S327" s="4" t="n"/>
      <c r="T327" s="5" t="n"/>
      <c r="U327" s="3" t="n"/>
      <c r="V327" s="3">
        <f>IF(S327=0,0,IF(U327="",B327*T327/100,U327))</f>
        <v/>
      </c>
      <c r="W327" s="4" t="n"/>
      <c r="X327" s="5" t="n"/>
      <c r="Y327" s="3" t="n"/>
      <c r="Z327" s="3">
        <f>IF(W327=0,0,IF(Y327="",B327*X327/100,Y327))</f>
        <v/>
      </c>
      <c r="AA327" s="3" t="n"/>
      <c r="AB327" s="3" t="n"/>
      <c r="AC327" s="3">
        <f>B327*0.035</f>
        <v/>
      </c>
      <c r="AD327" s="3">
        <f>B327*0.065</f>
        <v/>
      </c>
      <c r="AE327" s="3">
        <f>SUM(B327,F327,J327,N327,R327,V327,Z327,AA327,AB327,AC327,AD327)</f>
        <v/>
      </c>
      <c r="AF327" s="3">
        <f>B327*0.055</f>
        <v/>
      </c>
      <c r="AG327" s="3">
        <f>B327*0.035</f>
        <v/>
      </c>
      <c r="AH327" s="3">
        <f>B327*0.165</f>
        <v/>
      </c>
      <c r="AI327" s="3">
        <f>MAX(0,AE327-AF327-AH327)</f>
        <v/>
      </c>
      <c r="AJ327" s="3">
        <f>IF(AI327&lt;=490,0,IF(AI327&lt;=600,(AI327-490)*0.05,IF(AI327&lt;=730,5.5+(AI327-600)*0.10,IF(AI327&lt;=3896.67,18.5+(AI327-730)*0.175,IF(AI327&lt;=19896.67,572.67+(AI327-3896.67)*0.25,IF(AI327&lt;=50416.67,4572.67+(AI327-19896.67)*0.30,13728.67+(AI327-50416.67)*0.35))))))</f>
        <v/>
      </c>
      <c r="AK327" s="3" t="n"/>
      <c r="AL327" s="3" t="n"/>
      <c r="AM327" s="3" t="n"/>
      <c r="AN327" s="3" t="n"/>
      <c r="AO327" s="3" t="n"/>
      <c r="AP327" s="3">
        <f>SUM(AF327,AJ327,AK327,AL327,AM327,AN327,AO327,AG327,AH327)</f>
        <v/>
      </c>
      <c r="AQ327" s="3">
        <f>AE327-AP327</f>
        <v/>
      </c>
      <c r="AR327" s="3" t="n"/>
      <c r="AS327" s="3" t="n"/>
      <c r="AT327" s="3">
        <f>AR327-AS327</f>
        <v/>
      </c>
    </row>
    <row r="328">
      <c r="A328" s="2" t="n"/>
      <c r="B328" s="3" t="n"/>
      <c r="C328" s="4" t="n"/>
      <c r="D328" s="5" t="n"/>
      <c r="E328" s="3" t="n"/>
      <c r="F328" s="3">
        <f>IF(C328=0,0,IF(E328="",B328*D328/100,E328))</f>
        <v/>
      </c>
      <c r="G328" s="4" t="n"/>
      <c r="H328" s="5" t="n"/>
      <c r="I328" s="3" t="n"/>
      <c r="J328" s="3">
        <f>IF(G328=0,0,IF(I328="",B328*H328/100,I328))</f>
        <v/>
      </c>
      <c r="K328" s="4" t="n"/>
      <c r="L328" s="5" t="n"/>
      <c r="M328" s="3" t="n"/>
      <c r="N328" s="3">
        <f>IF(K328=0,0,IF(M328="",B328*L328/100,M328))</f>
        <v/>
      </c>
      <c r="O328" s="4" t="n"/>
      <c r="P328" s="5" t="n"/>
      <c r="Q328" s="3" t="n"/>
      <c r="R328" s="3">
        <f>IF(O328=0,0,IF(Q328="",B328*P328/100,Q328))</f>
        <v/>
      </c>
      <c r="S328" s="4" t="n"/>
      <c r="T328" s="5" t="n"/>
      <c r="U328" s="3" t="n"/>
      <c r="V328" s="3">
        <f>IF(S328=0,0,IF(U328="",B328*T328/100,U328))</f>
        <v/>
      </c>
      <c r="W328" s="4" t="n"/>
      <c r="X328" s="5" t="n"/>
      <c r="Y328" s="3" t="n"/>
      <c r="Z328" s="3">
        <f>IF(W328=0,0,IF(Y328="",B328*X328/100,Y328))</f>
        <v/>
      </c>
      <c r="AA328" s="3" t="n"/>
      <c r="AB328" s="3" t="n"/>
      <c r="AC328" s="3">
        <f>B328*0.035</f>
        <v/>
      </c>
      <c r="AD328" s="3">
        <f>B328*0.065</f>
        <v/>
      </c>
      <c r="AE328" s="3">
        <f>SUM(B328,F328,J328,N328,R328,V328,Z328,AA328,AB328,AC328,AD328)</f>
        <v/>
      </c>
      <c r="AF328" s="3">
        <f>B328*0.055</f>
        <v/>
      </c>
      <c r="AG328" s="3">
        <f>B328*0.035</f>
        <v/>
      </c>
      <c r="AH328" s="3">
        <f>B328*0.165</f>
        <v/>
      </c>
      <c r="AI328" s="3">
        <f>MAX(0,AE328-AF328-AH328)</f>
        <v/>
      </c>
      <c r="AJ328" s="3">
        <f>IF(AI328&lt;=490,0,IF(AI328&lt;=600,(AI328-490)*0.05,IF(AI328&lt;=730,5.5+(AI328-600)*0.10,IF(AI328&lt;=3896.67,18.5+(AI328-730)*0.175,IF(AI328&lt;=19896.67,572.67+(AI328-3896.67)*0.25,IF(AI328&lt;=50416.67,4572.67+(AI328-19896.67)*0.30,13728.67+(AI328-50416.67)*0.35))))))</f>
        <v/>
      </c>
      <c r="AK328" s="3" t="n"/>
      <c r="AL328" s="3" t="n"/>
      <c r="AM328" s="3" t="n"/>
      <c r="AN328" s="3" t="n"/>
      <c r="AO328" s="3" t="n"/>
      <c r="AP328" s="3">
        <f>SUM(AF328,AJ328,AK328,AL328,AM328,AN328,AO328,AG328,AH328)</f>
        <v/>
      </c>
      <c r="AQ328" s="3">
        <f>AE328-AP328</f>
        <v/>
      </c>
      <c r="AR328" s="3" t="n"/>
      <c r="AS328" s="3" t="n"/>
      <c r="AT328" s="3">
        <f>AR328-AS328</f>
        <v/>
      </c>
    </row>
    <row r="329">
      <c r="A329" s="2" t="n"/>
      <c r="B329" s="3" t="n"/>
      <c r="C329" s="4" t="n"/>
      <c r="D329" s="5" t="n"/>
      <c r="E329" s="3" t="n"/>
      <c r="F329" s="3">
        <f>IF(C329=0,0,IF(E329="",B329*D329/100,E329))</f>
        <v/>
      </c>
      <c r="G329" s="4" t="n"/>
      <c r="H329" s="5" t="n"/>
      <c r="I329" s="3" t="n"/>
      <c r="J329" s="3">
        <f>IF(G329=0,0,IF(I329="",B329*H329/100,I329))</f>
        <v/>
      </c>
      <c r="K329" s="4" t="n"/>
      <c r="L329" s="5" t="n"/>
      <c r="M329" s="3" t="n"/>
      <c r="N329" s="3">
        <f>IF(K329=0,0,IF(M329="",B329*L329/100,M329))</f>
        <v/>
      </c>
      <c r="O329" s="4" t="n"/>
      <c r="P329" s="5" t="n"/>
      <c r="Q329" s="3" t="n"/>
      <c r="R329" s="3">
        <f>IF(O329=0,0,IF(Q329="",B329*P329/100,Q329))</f>
        <v/>
      </c>
      <c r="S329" s="4" t="n"/>
      <c r="T329" s="5" t="n"/>
      <c r="U329" s="3" t="n"/>
      <c r="V329" s="3">
        <f>IF(S329=0,0,IF(U329="",B329*T329/100,U329))</f>
        <v/>
      </c>
      <c r="W329" s="4" t="n"/>
      <c r="X329" s="5" t="n"/>
      <c r="Y329" s="3" t="n"/>
      <c r="Z329" s="3">
        <f>IF(W329=0,0,IF(Y329="",B329*X329/100,Y329))</f>
        <v/>
      </c>
      <c r="AA329" s="3" t="n"/>
      <c r="AB329" s="3" t="n"/>
      <c r="AC329" s="3">
        <f>B329*0.035</f>
        <v/>
      </c>
      <c r="AD329" s="3">
        <f>B329*0.065</f>
        <v/>
      </c>
      <c r="AE329" s="3">
        <f>SUM(B329,F329,J329,N329,R329,V329,Z329,AA329,AB329,AC329,AD329)</f>
        <v/>
      </c>
      <c r="AF329" s="3">
        <f>B329*0.055</f>
        <v/>
      </c>
      <c r="AG329" s="3">
        <f>B329*0.035</f>
        <v/>
      </c>
      <c r="AH329" s="3">
        <f>B329*0.165</f>
        <v/>
      </c>
      <c r="AI329" s="3">
        <f>MAX(0,AE329-AF329-AH329)</f>
        <v/>
      </c>
      <c r="AJ329" s="3">
        <f>IF(AI329&lt;=490,0,IF(AI329&lt;=600,(AI329-490)*0.05,IF(AI329&lt;=730,5.5+(AI329-600)*0.10,IF(AI329&lt;=3896.67,18.5+(AI329-730)*0.175,IF(AI329&lt;=19896.67,572.67+(AI329-3896.67)*0.25,IF(AI329&lt;=50416.67,4572.67+(AI329-19896.67)*0.30,13728.67+(AI329-50416.67)*0.35))))))</f>
        <v/>
      </c>
      <c r="AK329" s="3" t="n"/>
      <c r="AL329" s="3" t="n"/>
      <c r="AM329" s="3" t="n"/>
      <c r="AN329" s="3" t="n"/>
      <c r="AO329" s="3" t="n"/>
      <c r="AP329" s="3">
        <f>SUM(AF329,AJ329,AK329,AL329,AM329,AN329,AO329,AG329,AH329)</f>
        <v/>
      </c>
      <c r="AQ329" s="3">
        <f>AE329-AP329</f>
        <v/>
      </c>
      <c r="AR329" s="3" t="n"/>
      <c r="AS329" s="3" t="n"/>
      <c r="AT329" s="3">
        <f>AR329-AS329</f>
        <v/>
      </c>
    </row>
    <row r="330">
      <c r="A330" s="2" t="n"/>
      <c r="B330" s="3" t="n"/>
      <c r="C330" s="4" t="n"/>
      <c r="D330" s="5" t="n"/>
      <c r="E330" s="3" t="n"/>
      <c r="F330" s="3">
        <f>IF(C330=0,0,IF(E330="",B330*D330/100,E330))</f>
        <v/>
      </c>
      <c r="G330" s="4" t="n"/>
      <c r="H330" s="5" t="n"/>
      <c r="I330" s="3" t="n"/>
      <c r="J330" s="3">
        <f>IF(G330=0,0,IF(I330="",B330*H330/100,I330))</f>
        <v/>
      </c>
      <c r="K330" s="4" t="n"/>
      <c r="L330" s="5" t="n"/>
      <c r="M330" s="3" t="n"/>
      <c r="N330" s="3">
        <f>IF(K330=0,0,IF(M330="",B330*L330/100,M330))</f>
        <v/>
      </c>
      <c r="O330" s="4" t="n"/>
      <c r="P330" s="5" t="n"/>
      <c r="Q330" s="3" t="n"/>
      <c r="R330" s="3">
        <f>IF(O330=0,0,IF(Q330="",B330*P330/100,Q330))</f>
        <v/>
      </c>
      <c r="S330" s="4" t="n"/>
      <c r="T330" s="5" t="n"/>
      <c r="U330" s="3" t="n"/>
      <c r="V330" s="3">
        <f>IF(S330=0,0,IF(U330="",B330*T330/100,U330))</f>
        <v/>
      </c>
      <c r="W330" s="4" t="n"/>
      <c r="X330" s="5" t="n"/>
      <c r="Y330" s="3" t="n"/>
      <c r="Z330" s="3">
        <f>IF(W330=0,0,IF(Y330="",B330*X330/100,Y330))</f>
        <v/>
      </c>
      <c r="AA330" s="3" t="n"/>
      <c r="AB330" s="3" t="n"/>
      <c r="AC330" s="3">
        <f>B330*0.035</f>
        <v/>
      </c>
      <c r="AD330" s="3">
        <f>B330*0.065</f>
        <v/>
      </c>
      <c r="AE330" s="3">
        <f>SUM(B330,F330,J330,N330,R330,V330,Z330,AA330,AB330,AC330,AD330)</f>
        <v/>
      </c>
      <c r="AF330" s="3">
        <f>B330*0.055</f>
        <v/>
      </c>
      <c r="AG330" s="3">
        <f>B330*0.035</f>
        <v/>
      </c>
      <c r="AH330" s="3">
        <f>B330*0.165</f>
        <v/>
      </c>
      <c r="AI330" s="3">
        <f>MAX(0,AE330-AF330-AH330)</f>
        <v/>
      </c>
      <c r="AJ330" s="3">
        <f>IF(AI330&lt;=490,0,IF(AI330&lt;=600,(AI330-490)*0.05,IF(AI330&lt;=730,5.5+(AI330-600)*0.10,IF(AI330&lt;=3896.67,18.5+(AI330-730)*0.175,IF(AI330&lt;=19896.67,572.67+(AI330-3896.67)*0.25,IF(AI330&lt;=50416.67,4572.67+(AI330-19896.67)*0.30,13728.67+(AI330-50416.67)*0.35))))))</f>
        <v/>
      </c>
      <c r="AK330" s="3" t="n"/>
      <c r="AL330" s="3" t="n"/>
      <c r="AM330" s="3" t="n"/>
      <c r="AN330" s="3" t="n"/>
      <c r="AO330" s="3" t="n"/>
      <c r="AP330" s="3">
        <f>SUM(AF330,AJ330,AK330,AL330,AM330,AN330,AO330,AG330,AH330)</f>
        <v/>
      </c>
      <c r="AQ330" s="3">
        <f>AE330-AP330</f>
        <v/>
      </c>
      <c r="AR330" s="3" t="n"/>
      <c r="AS330" s="3" t="n"/>
      <c r="AT330" s="3">
        <f>AR330-AS330</f>
        <v/>
      </c>
    </row>
    <row r="331">
      <c r="A331" s="2" t="n"/>
      <c r="B331" s="3" t="n"/>
      <c r="C331" s="4" t="n"/>
      <c r="D331" s="5" t="n"/>
      <c r="E331" s="3" t="n"/>
      <c r="F331" s="3">
        <f>IF(C331=0,0,IF(E331="",B331*D331/100,E331))</f>
        <v/>
      </c>
      <c r="G331" s="4" t="n"/>
      <c r="H331" s="5" t="n"/>
      <c r="I331" s="3" t="n"/>
      <c r="J331" s="3">
        <f>IF(G331=0,0,IF(I331="",B331*H331/100,I331))</f>
        <v/>
      </c>
      <c r="K331" s="4" t="n"/>
      <c r="L331" s="5" t="n"/>
      <c r="M331" s="3" t="n"/>
      <c r="N331" s="3">
        <f>IF(K331=0,0,IF(M331="",B331*L331/100,M331))</f>
        <v/>
      </c>
      <c r="O331" s="4" t="n"/>
      <c r="P331" s="5" t="n"/>
      <c r="Q331" s="3" t="n"/>
      <c r="R331" s="3">
        <f>IF(O331=0,0,IF(Q331="",B331*P331/100,Q331))</f>
        <v/>
      </c>
      <c r="S331" s="4" t="n"/>
      <c r="T331" s="5" t="n"/>
      <c r="U331" s="3" t="n"/>
      <c r="V331" s="3">
        <f>IF(S331=0,0,IF(U331="",B331*T331/100,U331))</f>
        <v/>
      </c>
      <c r="W331" s="4" t="n"/>
      <c r="X331" s="5" t="n"/>
      <c r="Y331" s="3" t="n"/>
      <c r="Z331" s="3">
        <f>IF(W331=0,0,IF(Y331="",B331*X331/100,Y331))</f>
        <v/>
      </c>
      <c r="AA331" s="3" t="n"/>
      <c r="AB331" s="3" t="n"/>
      <c r="AC331" s="3">
        <f>B331*0.035</f>
        <v/>
      </c>
      <c r="AD331" s="3">
        <f>B331*0.065</f>
        <v/>
      </c>
      <c r="AE331" s="3">
        <f>SUM(B331,F331,J331,N331,R331,V331,Z331,AA331,AB331,AC331,AD331)</f>
        <v/>
      </c>
      <c r="AF331" s="3">
        <f>B331*0.055</f>
        <v/>
      </c>
      <c r="AG331" s="3">
        <f>B331*0.035</f>
        <v/>
      </c>
      <c r="AH331" s="3">
        <f>B331*0.165</f>
        <v/>
      </c>
      <c r="AI331" s="3">
        <f>MAX(0,AE331-AF331-AH331)</f>
        <v/>
      </c>
      <c r="AJ331" s="3">
        <f>IF(AI331&lt;=490,0,IF(AI331&lt;=600,(AI331-490)*0.05,IF(AI331&lt;=730,5.5+(AI331-600)*0.10,IF(AI331&lt;=3896.67,18.5+(AI331-730)*0.175,IF(AI331&lt;=19896.67,572.67+(AI331-3896.67)*0.25,IF(AI331&lt;=50416.67,4572.67+(AI331-19896.67)*0.30,13728.67+(AI331-50416.67)*0.35))))))</f>
        <v/>
      </c>
      <c r="AK331" s="3" t="n"/>
      <c r="AL331" s="3" t="n"/>
      <c r="AM331" s="3" t="n"/>
      <c r="AN331" s="3" t="n"/>
      <c r="AO331" s="3" t="n"/>
      <c r="AP331" s="3">
        <f>SUM(AF331,AJ331,AK331,AL331,AM331,AN331,AO331,AG331,AH331)</f>
        <v/>
      </c>
      <c r="AQ331" s="3">
        <f>AE331-AP331</f>
        <v/>
      </c>
      <c r="AR331" s="3" t="n"/>
      <c r="AS331" s="3" t="n"/>
      <c r="AT331" s="3">
        <f>AR331-AS331</f>
        <v/>
      </c>
    </row>
    <row r="332">
      <c r="A332" s="2" t="n"/>
      <c r="B332" s="3" t="n"/>
      <c r="C332" s="4" t="n"/>
      <c r="D332" s="5" t="n"/>
      <c r="E332" s="3" t="n"/>
      <c r="F332" s="3">
        <f>IF(C332=0,0,IF(E332="",B332*D332/100,E332))</f>
        <v/>
      </c>
      <c r="G332" s="4" t="n"/>
      <c r="H332" s="5" t="n"/>
      <c r="I332" s="3" t="n"/>
      <c r="J332" s="3">
        <f>IF(G332=0,0,IF(I332="",B332*H332/100,I332))</f>
        <v/>
      </c>
      <c r="K332" s="4" t="n"/>
      <c r="L332" s="5" t="n"/>
      <c r="M332" s="3" t="n"/>
      <c r="N332" s="3">
        <f>IF(K332=0,0,IF(M332="",B332*L332/100,M332))</f>
        <v/>
      </c>
      <c r="O332" s="4" t="n"/>
      <c r="P332" s="5" t="n"/>
      <c r="Q332" s="3" t="n"/>
      <c r="R332" s="3">
        <f>IF(O332=0,0,IF(Q332="",B332*P332/100,Q332))</f>
        <v/>
      </c>
      <c r="S332" s="4" t="n"/>
      <c r="T332" s="5" t="n"/>
      <c r="U332" s="3" t="n"/>
      <c r="V332" s="3">
        <f>IF(S332=0,0,IF(U332="",B332*T332/100,U332))</f>
        <v/>
      </c>
      <c r="W332" s="4" t="n"/>
      <c r="X332" s="5" t="n"/>
      <c r="Y332" s="3" t="n"/>
      <c r="Z332" s="3">
        <f>IF(W332=0,0,IF(Y332="",B332*X332/100,Y332))</f>
        <v/>
      </c>
      <c r="AA332" s="3" t="n"/>
      <c r="AB332" s="3" t="n"/>
      <c r="AC332" s="3">
        <f>B332*0.035</f>
        <v/>
      </c>
      <c r="AD332" s="3">
        <f>B332*0.065</f>
        <v/>
      </c>
      <c r="AE332" s="3">
        <f>SUM(B332,F332,J332,N332,R332,V332,Z332,AA332,AB332,AC332,AD332)</f>
        <v/>
      </c>
      <c r="AF332" s="3">
        <f>B332*0.055</f>
        <v/>
      </c>
      <c r="AG332" s="3">
        <f>B332*0.035</f>
        <v/>
      </c>
      <c r="AH332" s="3">
        <f>B332*0.165</f>
        <v/>
      </c>
      <c r="AI332" s="3">
        <f>MAX(0,AE332-AF332-AH332)</f>
        <v/>
      </c>
      <c r="AJ332" s="3">
        <f>IF(AI332&lt;=490,0,IF(AI332&lt;=600,(AI332-490)*0.05,IF(AI332&lt;=730,5.5+(AI332-600)*0.10,IF(AI332&lt;=3896.67,18.5+(AI332-730)*0.175,IF(AI332&lt;=19896.67,572.67+(AI332-3896.67)*0.25,IF(AI332&lt;=50416.67,4572.67+(AI332-19896.67)*0.30,13728.67+(AI332-50416.67)*0.35))))))</f>
        <v/>
      </c>
      <c r="AK332" s="3" t="n"/>
      <c r="AL332" s="3" t="n"/>
      <c r="AM332" s="3" t="n"/>
      <c r="AN332" s="3" t="n"/>
      <c r="AO332" s="3" t="n"/>
      <c r="AP332" s="3">
        <f>SUM(AF332,AJ332,AK332,AL332,AM332,AN332,AO332,AG332,AH332)</f>
        <v/>
      </c>
      <c r="AQ332" s="3">
        <f>AE332-AP332</f>
        <v/>
      </c>
      <c r="AR332" s="3" t="n"/>
      <c r="AS332" s="3" t="n"/>
      <c r="AT332" s="3">
        <f>AR332-AS332</f>
        <v/>
      </c>
    </row>
    <row r="333">
      <c r="A333" s="2" t="n"/>
      <c r="B333" s="3" t="n"/>
      <c r="C333" s="4" t="n"/>
      <c r="D333" s="5" t="n"/>
      <c r="E333" s="3" t="n"/>
      <c r="F333" s="3">
        <f>IF(C333=0,0,IF(E333="",B333*D333/100,E333))</f>
        <v/>
      </c>
      <c r="G333" s="4" t="n"/>
      <c r="H333" s="5" t="n"/>
      <c r="I333" s="3" t="n"/>
      <c r="J333" s="3">
        <f>IF(G333=0,0,IF(I333="",B333*H333/100,I333))</f>
        <v/>
      </c>
      <c r="K333" s="4" t="n"/>
      <c r="L333" s="5" t="n"/>
      <c r="M333" s="3" t="n"/>
      <c r="N333" s="3">
        <f>IF(K333=0,0,IF(M333="",B333*L333/100,M333))</f>
        <v/>
      </c>
      <c r="O333" s="4" t="n"/>
      <c r="P333" s="5" t="n"/>
      <c r="Q333" s="3" t="n"/>
      <c r="R333" s="3">
        <f>IF(O333=0,0,IF(Q333="",B333*P333/100,Q333))</f>
        <v/>
      </c>
      <c r="S333" s="4" t="n"/>
      <c r="T333" s="5" t="n"/>
      <c r="U333" s="3" t="n"/>
      <c r="V333" s="3">
        <f>IF(S333=0,0,IF(U333="",B333*T333/100,U333))</f>
        <v/>
      </c>
      <c r="W333" s="4" t="n"/>
      <c r="X333" s="5" t="n"/>
      <c r="Y333" s="3" t="n"/>
      <c r="Z333" s="3">
        <f>IF(W333=0,0,IF(Y333="",B333*X333/100,Y333))</f>
        <v/>
      </c>
      <c r="AA333" s="3" t="n"/>
      <c r="AB333" s="3" t="n"/>
      <c r="AC333" s="3">
        <f>B333*0.035</f>
        <v/>
      </c>
      <c r="AD333" s="3">
        <f>B333*0.065</f>
        <v/>
      </c>
      <c r="AE333" s="3">
        <f>SUM(B333,F333,J333,N333,R333,V333,Z333,AA333,AB333,AC333,AD333)</f>
        <v/>
      </c>
      <c r="AF333" s="3">
        <f>B333*0.055</f>
        <v/>
      </c>
      <c r="AG333" s="3">
        <f>B333*0.035</f>
        <v/>
      </c>
      <c r="AH333" s="3">
        <f>B333*0.165</f>
        <v/>
      </c>
      <c r="AI333" s="3">
        <f>MAX(0,AE333-AF333-AH333)</f>
        <v/>
      </c>
      <c r="AJ333" s="3">
        <f>IF(AI333&lt;=490,0,IF(AI333&lt;=600,(AI333-490)*0.05,IF(AI333&lt;=730,5.5+(AI333-600)*0.10,IF(AI333&lt;=3896.67,18.5+(AI333-730)*0.175,IF(AI333&lt;=19896.67,572.67+(AI333-3896.67)*0.25,IF(AI333&lt;=50416.67,4572.67+(AI333-19896.67)*0.30,13728.67+(AI333-50416.67)*0.35))))))</f>
        <v/>
      </c>
      <c r="AK333" s="3" t="n"/>
      <c r="AL333" s="3" t="n"/>
      <c r="AM333" s="3" t="n"/>
      <c r="AN333" s="3" t="n"/>
      <c r="AO333" s="3" t="n"/>
      <c r="AP333" s="3">
        <f>SUM(AF333,AJ333,AK333,AL333,AM333,AN333,AO333,AG333,AH333)</f>
        <v/>
      </c>
      <c r="AQ333" s="3">
        <f>AE333-AP333</f>
        <v/>
      </c>
      <c r="AR333" s="3" t="n"/>
      <c r="AS333" s="3" t="n"/>
      <c r="AT333" s="3">
        <f>AR333-AS333</f>
        <v/>
      </c>
    </row>
    <row r="334">
      <c r="A334" s="2" t="n"/>
      <c r="B334" s="3" t="n"/>
      <c r="C334" s="4" t="n"/>
      <c r="D334" s="5" t="n"/>
      <c r="E334" s="3" t="n"/>
      <c r="F334" s="3">
        <f>IF(C334=0,0,IF(E334="",B334*D334/100,E334))</f>
        <v/>
      </c>
      <c r="G334" s="4" t="n"/>
      <c r="H334" s="5" t="n"/>
      <c r="I334" s="3" t="n"/>
      <c r="J334" s="3">
        <f>IF(G334=0,0,IF(I334="",B334*H334/100,I334))</f>
        <v/>
      </c>
      <c r="K334" s="4" t="n"/>
      <c r="L334" s="5" t="n"/>
      <c r="M334" s="3" t="n"/>
      <c r="N334" s="3">
        <f>IF(K334=0,0,IF(M334="",B334*L334/100,M334))</f>
        <v/>
      </c>
      <c r="O334" s="4" t="n"/>
      <c r="P334" s="5" t="n"/>
      <c r="Q334" s="3" t="n"/>
      <c r="R334" s="3">
        <f>IF(O334=0,0,IF(Q334="",B334*P334/100,Q334))</f>
        <v/>
      </c>
      <c r="S334" s="4" t="n"/>
      <c r="T334" s="5" t="n"/>
      <c r="U334" s="3" t="n"/>
      <c r="V334" s="3">
        <f>IF(S334=0,0,IF(U334="",B334*T334/100,U334))</f>
        <v/>
      </c>
      <c r="W334" s="4" t="n"/>
      <c r="X334" s="5" t="n"/>
      <c r="Y334" s="3" t="n"/>
      <c r="Z334" s="3">
        <f>IF(W334=0,0,IF(Y334="",B334*X334/100,Y334))</f>
        <v/>
      </c>
      <c r="AA334" s="3" t="n"/>
      <c r="AB334" s="3" t="n"/>
      <c r="AC334" s="3">
        <f>B334*0.035</f>
        <v/>
      </c>
      <c r="AD334" s="3">
        <f>B334*0.065</f>
        <v/>
      </c>
      <c r="AE334" s="3">
        <f>SUM(B334,F334,J334,N334,R334,V334,Z334,AA334,AB334,AC334,AD334)</f>
        <v/>
      </c>
      <c r="AF334" s="3">
        <f>B334*0.055</f>
        <v/>
      </c>
      <c r="AG334" s="3">
        <f>B334*0.035</f>
        <v/>
      </c>
      <c r="AH334" s="3">
        <f>B334*0.165</f>
        <v/>
      </c>
      <c r="AI334" s="3">
        <f>MAX(0,AE334-AF334-AH334)</f>
        <v/>
      </c>
      <c r="AJ334" s="3">
        <f>IF(AI334&lt;=490,0,IF(AI334&lt;=600,(AI334-490)*0.05,IF(AI334&lt;=730,5.5+(AI334-600)*0.10,IF(AI334&lt;=3896.67,18.5+(AI334-730)*0.175,IF(AI334&lt;=19896.67,572.67+(AI334-3896.67)*0.25,IF(AI334&lt;=50416.67,4572.67+(AI334-19896.67)*0.30,13728.67+(AI334-50416.67)*0.35))))))</f>
        <v/>
      </c>
      <c r="AK334" s="3" t="n"/>
      <c r="AL334" s="3" t="n"/>
      <c r="AM334" s="3" t="n"/>
      <c r="AN334" s="3" t="n"/>
      <c r="AO334" s="3" t="n"/>
      <c r="AP334" s="3">
        <f>SUM(AF334,AJ334,AK334,AL334,AM334,AN334,AO334,AG334,AH334)</f>
        <v/>
      </c>
      <c r="AQ334" s="3">
        <f>AE334-AP334</f>
        <v/>
      </c>
      <c r="AR334" s="3" t="n"/>
      <c r="AS334" s="3" t="n"/>
      <c r="AT334" s="3">
        <f>AR334-AS334</f>
        <v/>
      </c>
    </row>
    <row r="335">
      <c r="A335" s="2" t="n"/>
      <c r="B335" s="3" t="n"/>
      <c r="C335" s="4" t="n"/>
      <c r="D335" s="5" t="n"/>
      <c r="E335" s="3" t="n"/>
      <c r="F335" s="3">
        <f>IF(C335=0,0,IF(E335="",B335*D335/100,E335))</f>
        <v/>
      </c>
      <c r="G335" s="4" t="n"/>
      <c r="H335" s="5" t="n"/>
      <c r="I335" s="3" t="n"/>
      <c r="J335" s="3">
        <f>IF(G335=0,0,IF(I335="",B335*H335/100,I335))</f>
        <v/>
      </c>
      <c r="K335" s="4" t="n"/>
      <c r="L335" s="5" t="n"/>
      <c r="M335" s="3" t="n"/>
      <c r="N335" s="3">
        <f>IF(K335=0,0,IF(M335="",B335*L335/100,M335))</f>
        <v/>
      </c>
      <c r="O335" s="4" t="n"/>
      <c r="P335" s="5" t="n"/>
      <c r="Q335" s="3" t="n"/>
      <c r="R335" s="3">
        <f>IF(O335=0,0,IF(Q335="",B335*P335/100,Q335))</f>
        <v/>
      </c>
      <c r="S335" s="4" t="n"/>
      <c r="T335" s="5" t="n"/>
      <c r="U335" s="3" t="n"/>
      <c r="V335" s="3">
        <f>IF(S335=0,0,IF(U335="",B335*T335/100,U335))</f>
        <v/>
      </c>
      <c r="W335" s="4" t="n"/>
      <c r="X335" s="5" t="n"/>
      <c r="Y335" s="3" t="n"/>
      <c r="Z335" s="3">
        <f>IF(W335=0,0,IF(Y335="",B335*X335/100,Y335))</f>
        <v/>
      </c>
      <c r="AA335" s="3" t="n"/>
      <c r="AB335" s="3" t="n"/>
      <c r="AC335" s="3">
        <f>B335*0.035</f>
        <v/>
      </c>
      <c r="AD335" s="3">
        <f>B335*0.065</f>
        <v/>
      </c>
      <c r="AE335" s="3">
        <f>SUM(B335,F335,J335,N335,R335,V335,Z335,AA335,AB335,AC335,AD335)</f>
        <v/>
      </c>
      <c r="AF335" s="3">
        <f>B335*0.055</f>
        <v/>
      </c>
      <c r="AG335" s="3">
        <f>B335*0.035</f>
        <v/>
      </c>
      <c r="AH335" s="3">
        <f>B335*0.165</f>
        <v/>
      </c>
      <c r="AI335" s="3">
        <f>MAX(0,AE335-AF335-AH335)</f>
        <v/>
      </c>
      <c r="AJ335" s="3">
        <f>IF(AI335&lt;=490,0,IF(AI335&lt;=600,(AI335-490)*0.05,IF(AI335&lt;=730,5.5+(AI335-600)*0.10,IF(AI335&lt;=3896.67,18.5+(AI335-730)*0.175,IF(AI335&lt;=19896.67,572.67+(AI335-3896.67)*0.25,IF(AI335&lt;=50416.67,4572.67+(AI335-19896.67)*0.30,13728.67+(AI335-50416.67)*0.35))))))</f>
        <v/>
      </c>
      <c r="AK335" s="3" t="n"/>
      <c r="AL335" s="3" t="n"/>
      <c r="AM335" s="3" t="n"/>
      <c r="AN335" s="3" t="n"/>
      <c r="AO335" s="3" t="n"/>
      <c r="AP335" s="3">
        <f>SUM(AF335,AJ335,AK335,AL335,AM335,AN335,AO335,AG335,AH335)</f>
        <v/>
      </c>
      <c r="AQ335" s="3">
        <f>AE335-AP335</f>
        <v/>
      </c>
      <c r="AR335" s="3" t="n"/>
      <c r="AS335" s="3" t="n"/>
      <c r="AT335" s="3">
        <f>AR335-AS335</f>
        <v/>
      </c>
    </row>
    <row r="336">
      <c r="A336" s="2" t="n"/>
      <c r="B336" s="3" t="n"/>
      <c r="C336" s="4" t="n"/>
      <c r="D336" s="5" t="n"/>
      <c r="E336" s="3" t="n"/>
      <c r="F336" s="3">
        <f>IF(C336=0,0,IF(E336="",B336*D336/100,E336))</f>
        <v/>
      </c>
      <c r="G336" s="4" t="n"/>
      <c r="H336" s="5" t="n"/>
      <c r="I336" s="3" t="n"/>
      <c r="J336" s="3">
        <f>IF(G336=0,0,IF(I336="",B336*H336/100,I336))</f>
        <v/>
      </c>
      <c r="K336" s="4" t="n"/>
      <c r="L336" s="5" t="n"/>
      <c r="M336" s="3" t="n"/>
      <c r="N336" s="3">
        <f>IF(K336=0,0,IF(M336="",B336*L336/100,M336))</f>
        <v/>
      </c>
      <c r="O336" s="4" t="n"/>
      <c r="P336" s="5" t="n"/>
      <c r="Q336" s="3" t="n"/>
      <c r="R336" s="3">
        <f>IF(O336=0,0,IF(Q336="",B336*P336/100,Q336))</f>
        <v/>
      </c>
      <c r="S336" s="4" t="n"/>
      <c r="T336" s="5" t="n"/>
      <c r="U336" s="3" t="n"/>
      <c r="V336" s="3">
        <f>IF(S336=0,0,IF(U336="",B336*T336/100,U336))</f>
        <v/>
      </c>
      <c r="W336" s="4" t="n"/>
      <c r="X336" s="5" t="n"/>
      <c r="Y336" s="3" t="n"/>
      <c r="Z336" s="3">
        <f>IF(W336=0,0,IF(Y336="",B336*X336/100,Y336))</f>
        <v/>
      </c>
      <c r="AA336" s="3" t="n"/>
      <c r="AB336" s="3" t="n"/>
      <c r="AC336" s="3">
        <f>B336*0.035</f>
        <v/>
      </c>
      <c r="AD336" s="3">
        <f>B336*0.065</f>
        <v/>
      </c>
      <c r="AE336" s="3">
        <f>SUM(B336,F336,J336,N336,R336,V336,Z336,AA336,AB336,AC336,AD336)</f>
        <v/>
      </c>
      <c r="AF336" s="3">
        <f>B336*0.055</f>
        <v/>
      </c>
      <c r="AG336" s="3">
        <f>B336*0.035</f>
        <v/>
      </c>
      <c r="AH336" s="3">
        <f>B336*0.165</f>
        <v/>
      </c>
      <c r="AI336" s="3">
        <f>MAX(0,AE336-AF336-AH336)</f>
        <v/>
      </c>
      <c r="AJ336" s="3">
        <f>IF(AI336&lt;=490,0,IF(AI336&lt;=600,(AI336-490)*0.05,IF(AI336&lt;=730,5.5+(AI336-600)*0.10,IF(AI336&lt;=3896.67,18.5+(AI336-730)*0.175,IF(AI336&lt;=19896.67,572.67+(AI336-3896.67)*0.25,IF(AI336&lt;=50416.67,4572.67+(AI336-19896.67)*0.30,13728.67+(AI336-50416.67)*0.35))))))</f>
        <v/>
      </c>
      <c r="AK336" s="3" t="n"/>
      <c r="AL336" s="3" t="n"/>
      <c r="AM336" s="3" t="n"/>
      <c r="AN336" s="3" t="n"/>
      <c r="AO336" s="3" t="n"/>
      <c r="AP336" s="3">
        <f>SUM(AF336,AJ336,AK336,AL336,AM336,AN336,AO336,AG336,AH336)</f>
        <v/>
      </c>
      <c r="AQ336" s="3">
        <f>AE336-AP336</f>
        <v/>
      </c>
      <c r="AR336" s="3" t="n"/>
      <c r="AS336" s="3" t="n"/>
      <c r="AT336" s="3">
        <f>AR336-AS336</f>
        <v/>
      </c>
    </row>
    <row r="337">
      <c r="A337" s="2" t="n"/>
      <c r="B337" s="3" t="n"/>
      <c r="C337" s="4" t="n"/>
      <c r="D337" s="5" t="n"/>
      <c r="E337" s="3" t="n"/>
      <c r="F337" s="3">
        <f>IF(C337=0,0,IF(E337="",B337*D337/100,E337))</f>
        <v/>
      </c>
      <c r="G337" s="4" t="n"/>
      <c r="H337" s="5" t="n"/>
      <c r="I337" s="3" t="n"/>
      <c r="J337" s="3">
        <f>IF(G337=0,0,IF(I337="",B337*H337/100,I337))</f>
        <v/>
      </c>
      <c r="K337" s="4" t="n"/>
      <c r="L337" s="5" t="n"/>
      <c r="M337" s="3" t="n"/>
      <c r="N337" s="3">
        <f>IF(K337=0,0,IF(M337="",B337*L337/100,M337))</f>
        <v/>
      </c>
      <c r="O337" s="4" t="n"/>
      <c r="P337" s="5" t="n"/>
      <c r="Q337" s="3" t="n"/>
      <c r="R337" s="3">
        <f>IF(O337=0,0,IF(Q337="",B337*P337/100,Q337))</f>
        <v/>
      </c>
      <c r="S337" s="4" t="n"/>
      <c r="T337" s="5" t="n"/>
      <c r="U337" s="3" t="n"/>
      <c r="V337" s="3">
        <f>IF(S337=0,0,IF(U337="",B337*T337/100,U337))</f>
        <v/>
      </c>
      <c r="W337" s="4" t="n"/>
      <c r="X337" s="5" t="n"/>
      <c r="Y337" s="3" t="n"/>
      <c r="Z337" s="3">
        <f>IF(W337=0,0,IF(Y337="",B337*X337/100,Y337))</f>
        <v/>
      </c>
      <c r="AA337" s="3" t="n"/>
      <c r="AB337" s="3" t="n"/>
      <c r="AC337" s="3">
        <f>B337*0.035</f>
        <v/>
      </c>
      <c r="AD337" s="3">
        <f>B337*0.065</f>
        <v/>
      </c>
      <c r="AE337" s="3">
        <f>SUM(B337,F337,J337,N337,R337,V337,Z337,AA337,AB337,AC337,AD337)</f>
        <v/>
      </c>
      <c r="AF337" s="3">
        <f>B337*0.055</f>
        <v/>
      </c>
      <c r="AG337" s="3">
        <f>B337*0.035</f>
        <v/>
      </c>
      <c r="AH337" s="3">
        <f>B337*0.165</f>
        <v/>
      </c>
      <c r="AI337" s="3">
        <f>MAX(0,AE337-AF337-AH337)</f>
        <v/>
      </c>
      <c r="AJ337" s="3">
        <f>IF(AI337&lt;=490,0,IF(AI337&lt;=600,(AI337-490)*0.05,IF(AI337&lt;=730,5.5+(AI337-600)*0.10,IF(AI337&lt;=3896.67,18.5+(AI337-730)*0.175,IF(AI337&lt;=19896.67,572.67+(AI337-3896.67)*0.25,IF(AI337&lt;=50416.67,4572.67+(AI337-19896.67)*0.30,13728.67+(AI337-50416.67)*0.35))))))</f>
        <v/>
      </c>
      <c r="AK337" s="3" t="n"/>
      <c r="AL337" s="3" t="n"/>
      <c r="AM337" s="3" t="n"/>
      <c r="AN337" s="3" t="n"/>
      <c r="AO337" s="3" t="n"/>
      <c r="AP337" s="3">
        <f>SUM(AF337,AJ337,AK337,AL337,AM337,AN337,AO337,AG337,AH337)</f>
        <v/>
      </c>
      <c r="AQ337" s="3">
        <f>AE337-AP337</f>
        <v/>
      </c>
      <c r="AR337" s="3" t="n"/>
      <c r="AS337" s="3" t="n"/>
      <c r="AT337" s="3">
        <f>AR337-AS337</f>
        <v/>
      </c>
    </row>
    <row r="338">
      <c r="A338" s="2" t="n"/>
      <c r="B338" s="3" t="n"/>
      <c r="C338" s="4" t="n"/>
      <c r="D338" s="5" t="n"/>
      <c r="E338" s="3" t="n"/>
      <c r="F338" s="3">
        <f>IF(C338=0,0,IF(E338="",B338*D338/100,E338))</f>
        <v/>
      </c>
      <c r="G338" s="4" t="n"/>
      <c r="H338" s="5" t="n"/>
      <c r="I338" s="3" t="n"/>
      <c r="J338" s="3">
        <f>IF(G338=0,0,IF(I338="",B338*H338/100,I338))</f>
        <v/>
      </c>
      <c r="K338" s="4" t="n"/>
      <c r="L338" s="5" t="n"/>
      <c r="M338" s="3" t="n"/>
      <c r="N338" s="3">
        <f>IF(K338=0,0,IF(M338="",B338*L338/100,M338))</f>
        <v/>
      </c>
      <c r="O338" s="4" t="n"/>
      <c r="P338" s="5" t="n"/>
      <c r="Q338" s="3" t="n"/>
      <c r="R338" s="3">
        <f>IF(O338=0,0,IF(Q338="",B338*P338/100,Q338))</f>
        <v/>
      </c>
      <c r="S338" s="4" t="n"/>
      <c r="T338" s="5" t="n"/>
      <c r="U338" s="3" t="n"/>
      <c r="V338" s="3">
        <f>IF(S338=0,0,IF(U338="",B338*T338/100,U338))</f>
        <v/>
      </c>
      <c r="W338" s="4" t="n"/>
      <c r="X338" s="5" t="n"/>
      <c r="Y338" s="3" t="n"/>
      <c r="Z338" s="3">
        <f>IF(W338=0,0,IF(Y338="",B338*X338/100,Y338))</f>
        <v/>
      </c>
      <c r="AA338" s="3" t="n"/>
      <c r="AB338" s="3" t="n"/>
      <c r="AC338" s="3">
        <f>B338*0.035</f>
        <v/>
      </c>
      <c r="AD338" s="3">
        <f>B338*0.065</f>
        <v/>
      </c>
      <c r="AE338" s="3">
        <f>SUM(B338,F338,J338,N338,R338,V338,Z338,AA338,AB338,AC338,AD338)</f>
        <v/>
      </c>
      <c r="AF338" s="3">
        <f>B338*0.055</f>
        <v/>
      </c>
      <c r="AG338" s="3">
        <f>B338*0.035</f>
        <v/>
      </c>
      <c r="AH338" s="3">
        <f>B338*0.165</f>
        <v/>
      </c>
      <c r="AI338" s="3">
        <f>MAX(0,AE338-AF338-AH338)</f>
        <v/>
      </c>
      <c r="AJ338" s="3">
        <f>IF(AI338&lt;=490,0,IF(AI338&lt;=600,(AI338-490)*0.05,IF(AI338&lt;=730,5.5+(AI338-600)*0.10,IF(AI338&lt;=3896.67,18.5+(AI338-730)*0.175,IF(AI338&lt;=19896.67,572.67+(AI338-3896.67)*0.25,IF(AI338&lt;=50416.67,4572.67+(AI338-19896.67)*0.30,13728.67+(AI338-50416.67)*0.35))))))</f>
        <v/>
      </c>
      <c r="AK338" s="3" t="n"/>
      <c r="AL338" s="3" t="n"/>
      <c r="AM338" s="3" t="n"/>
      <c r="AN338" s="3" t="n"/>
      <c r="AO338" s="3" t="n"/>
      <c r="AP338" s="3">
        <f>SUM(AF338,AJ338,AK338,AL338,AM338,AN338,AO338,AG338,AH338)</f>
        <v/>
      </c>
      <c r="AQ338" s="3">
        <f>AE338-AP338</f>
        <v/>
      </c>
      <c r="AR338" s="3" t="n"/>
      <c r="AS338" s="3" t="n"/>
      <c r="AT338" s="3">
        <f>AR338-AS338</f>
        <v/>
      </c>
    </row>
    <row r="339">
      <c r="A339" s="2" t="n"/>
      <c r="B339" s="3" t="n"/>
      <c r="C339" s="4" t="n"/>
      <c r="D339" s="5" t="n"/>
      <c r="E339" s="3" t="n"/>
      <c r="F339" s="3">
        <f>IF(C339=0,0,IF(E339="",B339*D339/100,E339))</f>
        <v/>
      </c>
      <c r="G339" s="4" t="n"/>
      <c r="H339" s="5" t="n"/>
      <c r="I339" s="3" t="n"/>
      <c r="J339" s="3">
        <f>IF(G339=0,0,IF(I339="",B339*H339/100,I339))</f>
        <v/>
      </c>
      <c r="K339" s="4" t="n"/>
      <c r="L339" s="5" t="n"/>
      <c r="M339" s="3" t="n"/>
      <c r="N339" s="3">
        <f>IF(K339=0,0,IF(M339="",B339*L339/100,M339))</f>
        <v/>
      </c>
      <c r="O339" s="4" t="n"/>
      <c r="P339" s="5" t="n"/>
      <c r="Q339" s="3" t="n"/>
      <c r="R339" s="3">
        <f>IF(O339=0,0,IF(Q339="",B339*P339/100,Q339))</f>
        <v/>
      </c>
      <c r="S339" s="4" t="n"/>
      <c r="T339" s="5" t="n"/>
      <c r="U339" s="3" t="n"/>
      <c r="V339" s="3">
        <f>IF(S339=0,0,IF(U339="",B339*T339/100,U339))</f>
        <v/>
      </c>
      <c r="W339" s="4" t="n"/>
      <c r="X339" s="5" t="n"/>
      <c r="Y339" s="3" t="n"/>
      <c r="Z339" s="3">
        <f>IF(W339=0,0,IF(Y339="",B339*X339/100,Y339))</f>
        <v/>
      </c>
      <c r="AA339" s="3" t="n"/>
      <c r="AB339" s="3" t="n"/>
      <c r="AC339" s="3">
        <f>B339*0.035</f>
        <v/>
      </c>
      <c r="AD339" s="3">
        <f>B339*0.065</f>
        <v/>
      </c>
      <c r="AE339" s="3">
        <f>SUM(B339,F339,J339,N339,R339,V339,Z339,AA339,AB339,AC339,AD339)</f>
        <v/>
      </c>
      <c r="AF339" s="3">
        <f>B339*0.055</f>
        <v/>
      </c>
      <c r="AG339" s="3">
        <f>B339*0.035</f>
        <v/>
      </c>
      <c r="AH339" s="3">
        <f>B339*0.165</f>
        <v/>
      </c>
      <c r="AI339" s="3">
        <f>MAX(0,AE339-AF339-AH339)</f>
        <v/>
      </c>
      <c r="AJ339" s="3">
        <f>IF(AI339&lt;=490,0,IF(AI339&lt;=600,(AI339-490)*0.05,IF(AI339&lt;=730,5.5+(AI339-600)*0.10,IF(AI339&lt;=3896.67,18.5+(AI339-730)*0.175,IF(AI339&lt;=19896.67,572.67+(AI339-3896.67)*0.25,IF(AI339&lt;=50416.67,4572.67+(AI339-19896.67)*0.30,13728.67+(AI339-50416.67)*0.35))))))</f>
        <v/>
      </c>
      <c r="AK339" s="3" t="n"/>
      <c r="AL339" s="3" t="n"/>
      <c r="AM339" s="3" t="n"/>
      <c r="AN339" s="3" t="n"/>
      <c r="AO339" s="3" t="n"/>
      <c r="AP339" s="3">
        <f>SUM(AF339,AJ339,AK339,AL339,AM339,AN339,AO339,AG339,AH339)</f>
        <v/>
      </c>
      <c r="AQ339" s="3">
        <f>AE339-AP339</f>
        <v/>
      </c>
      <c r="AR339" s="3" t="n"/>
      <c r="AS339" s="3" t="n"/>
      <c r="AT339" s="3">
        <f>AR339-AS339</f>
        <v/>
      </c>
    </row>
    <row r="340">
      <c r="A340" s="2" t="n"/>
      <c r="B340" s="3" t="n"/>
      <c r="C340" s="4" t="n"/>
      <c r="D340" s="5" t="n"/>
      <c r="E340" s="3" t="n"/>
      <c r="F340" s="3">
        <f>IF(C340=0,0,IF(E340="",B340*D340/100,E340))</f>
        <v/>
      </c>
      <c r="G340" s="4" t="n"/>
      <c r="H340" s="5" t="n"/>
      <c r="I340" s="3" t="n"/>
      <c r="J340" s="3">
        <f>IF(G340=0,0,IF(I340="",B340*H340/100,I340))</f>
        <v/>
      </c>
      <c r="K340" s="4" t="n"/>
      <c r="L340" s="5" t="n"/>
      <c r="M340" s="3" t="n"/>
      <c r="N340" s="3">
        <f>IF(K340=0,0,IF(M340="",B340*L340/100,M340))</f>
        <v/>
      </c>
      <c r="O340" s="4" t="n"/>
      <c r="P340" s="5" t="n"/>
      <c r="Q340" s="3" t="n"/>
      <c r="R340" s="3">
        <f>IF(O340=0,0,IF(Q340="",B340*P340/100,Q340))</f>
        <v/>
      </c>
      <c r="S340" s="4" t="n"/>
      <c r="T340" s="5" t="n"/>
      <c r="U340" s="3" t="n"/>
      <c r="V340" s="3">
        <f>IF(S340=0,0,IF(U340="",B340*T340/100,U340))</f>
        <v/>
      </c>
      <c r="W340" s="4" t="n"/>
      <c r="X340" s="5" t="n"/>
      <c r="Y340" s="3" t="n"/>
      <c r="Z340" s="3">
        <f>IF(W340=0,0,IF(Y340="",B340*X340/100,Y340))</f>
        <v/>
      </c>
      <c r="AA340" s="3" t="n"/>
      <c r="AB340" s="3" t="n"/>
      <c r="AC340" s="3">
        <f>B340*0.035</f>
        <v/>
      </c>
      <c r="AD340" s="3">
        <f>B340*0.065</f>
        <v/>
      </c>
      <c r="AE340" s="3">
        <f>SUM(B340,F340,J340,N340,R340,V340,Z340,AA340,AB340,AC340,AD340)</f>
        <v/>
      </c>
      <c r="AF340" s="3">
        <f>B340*0.055</f>
        <v/>
      </c>
      <c r="AG340" s="3">
        <f>B340*0.035</f>
        <v/>
      </c>
      <c r="AH340" s="3">
        <f>B340*0.165</f>
        <v/>
      </c>
      <c r="AI340" s="3">
        <f>MAX(0,AE340-AF340-AH340)</f>
        <v/>
      </c>
      <c r="AJ340" s="3">
        <f>IF(AI340&lt;=490,0,IF(AI340&lt;=600,(AI340-490)*0.05,IF(AI340&lt;=730,5.5+(AI340-600)*0.10,IF(AI340&lt;=3896.67,18.5+(AI340-730)*0.175,IF(AI340&lt;=19896.67,572.67+(AI340-3896.67)*0.25,IF(AI340&lt;=50416.67,4572.67+(AI340-19896.67)*0.30,13728.67+(AI340-50416.67)*0.35))))))</f>
        <v/>
      </c>
      <c r="AK340" s="3" t="n"/>
      <c r="AL340" s="3" t="n"/>
      <c r="AM340" s="3" t="n"/>
      <c r="AN340" s="3" t="n"/>
      <c r="AO340" s="3" t="n"/>
      <c r="AP340" s="3">
        <f>SUM(AF340,AJ340,AK340,AL340,AM340,AN340,AO340,AG340,AH340)</f>
        <v/>
      </c>
      <c r="AQ340" s="3">
        <f>AE340-AP340</f>
        <v/>
      </c>
      <c r="AR340" s="3" t="n"/>
      <c r="AS340" s="3" t="n"/>
      <c r="AT340" s="3">
        <f>AR340-AS340</f>
        <v/>
      </c>
    </row>
    <row r="341">
      <c r="A341" s="2" t="n"/>
      <c r="B341" s="3" t="n"/>
      <c r="C341" s="4" t="n"/>
      <c r="D341" s="5" t="n"/>
      <c r="E341" s="3" t="n"/>
      <c r="F341" s="3">
        <f>IF(C341=0,0,IF(E341="",B341*D341/100,E341))</f>
        <v/>
      </c>
      <c r="G341" s="4" t="n"/>
      <c r="H341" s="5" t="n"/>
      <c r="I341" s="3" t="n"/>
      <c r="J341" s="3">
        <f>IF(G341=0,0,IF(I341="",B341*H341/100,I341))</f>
        <v/>
      </c>
      <c r="K341" s="4" t="n"/>
      <c r="L341" s="5" t="n"/>
      <c r="M341" s="3" t="n"/>
      <c r="N341" s="3">
        <f>IF(K341=0,0,IF(M341="",B341*L341/100,M341))</f>
        <v/>
      </c>
      <c r="O341" s="4" t="n"/>
      <c r="P341" s="5" t="n"/>
      <c r="Q341" s="3" t="n"/>
      <c r="R341" s="3">
        <f>IF(O341=0,0,IF(Q341="",B341*P341/100,Q341))</f>
        <v/>
      </c>
      <c r="S341" s="4" t="n"/>
      <c r="T341" s="5" t="n"/>
      <c r="U341" s="3" t="n"/>
      <c r="V341" s="3">
        <f>IF(S341=0,0,IF(U341="",B341*T341/100,U341))</f>
        <v/>
      </c>
      <c r="W341" s="4" t="n"/>
      <c r="X341" s="5" t="n"/>
      <c r="Y341" s="3" t="n"/>
      <c r="Z341" s="3">
        <f>IF(W341=0,0,IF(Y341="",B341*X341/100,Y341))</f>
        <v/>
      </c>
      <c r="AA341" s="3" t="n"/>
      <c r="AB341" s="3" t="n"/>
      <c r="AC341" s="3">
        <f>B341*0.035</f>
        <v/>
      </c>
      <c r="AD341" s="3">
        <f>B341*0.065</f>
        <v/>
      </c>
      <c r="AE341" s="3">
        <f>SUM(B341,F341,J341,N341,R341,V341,Z341,AA341,AB341,AC341,AD341)</f>
        <v/>
      </c>
      <c r="AF341" s="3">
        <f>B341*0.055</f>
        <v/>
      </c>
      <c r="AG341" s="3">
        <f>B341*0.035</f>
        <v/>
      </c>
      <c r="AH341" s="3">
        <f>B341*0.165</f>
        <v/>
      </c>
      <c r="AI341" s="3">
        <f>MAX(0,AE341-AF341-AH341)</f>
        <v/>
      </c>
      <c r="AJ341" s="3">
        <f>IF(AI341&lt;=490,0,IF(AI341&lt;=600,(AI341-490)*0.05,IF(AI341&lt;=730,5.5+(AI341-600)*0.10,IF(AI341&lt;=3896.67,18.5+(AI341-730)*0.175,IF(AI341&lt;=19896.67,572.67+(AI341-3896.67)*0.25,IF(AI341&lt;=50416.67,4572.67+(AI341-19896.67)*0.30,13728.67+(AI341-50416.67)*0.35))))))</f>
        <v/>
      </c>
      <c r="AK341" s="3" t="n"/>
      <c r="AL341" s="3" t="n"/>
      <c r="AM341" s="3" t="n"/>
      <c r="AN341" s="3" t="n"/>
      <c r="AO341" s="3" t="n"/>
      <c r="AP341" s="3">
        <f>SUM(AF341,AJ341,AK341,AL341,AM341,AN341,AO341,AG341,AH341)</f>
        <v/>
      </c>
      <c r="AQ341" s="3">
        <f>AE341-AP341</f>
        <v/>
      </c>
      <c r="AR341" s="3" t="n"/>
      <c r="AS341" s="3" t="n"/>
      <c r="AT341" s="3">
        <f>AR341-AS341</f>
        <v/>
      </c>
    </row>
    <row r="342">
      <c r="A342" s="2" t="n"/>
      <c r="B342" s="3" t="n"/>
      <c r="C342" s="4" t="n"/>
      <c r="D342" s="5" t="n"/>
      <c r="E342" s="3" t="n"/>
      <c r="F342" s="3">
        <f>IF(C342=0,0,IF(E342="",B342*D342/100,E342))</f>
        <v/>
      </c>
      <c r="G342" s="4" t="n"/>
      <c r="H342" s="5" t="n"/>
      <c r="I342" s="3" t="n"/>
      <c r="J342" s="3">
        <f>IF(G342=0,0,IF(I342="",B342*H342/100,I342))</f>
        <v/>
      </c>
      <c r="K342" s="4" t="n"/>
      <c r="L342" s="5" t="n"/>
      <c r="M342" s="3" t="n"/>
      <c r="N342" s="3">
        <f>IF(K342=0,0,IF(M342="",B342*L342/100,M342))</f>
        <v/>
      </c>
      <c r="O342" s="4" t="n"/>
      <c r="P342" s="5" t="n"/>
      <c r="Q342" s="3" t="n"/>
      <c r="R342" s="3">
        <f>IF(O342=0,0,IF(Q342="",B342*P342/100,Q342))</f>
        <v/>
      </c>
      <c r="S342" s="4" t="n"/>
      <c r="T342" s="5" t="n"/>
      <c r="U342" s="3" t="n"/>
      <c r="V342" s="3">
        <f>IF(S342=0,0,IF(U342="",B342*T342/100,U342))</f>
        <v/>
      </c>
      <c r="W342" s="4" t="n"/>
      <c r="X342" s="5" t="n"/>
      <c r="Y342" s="3" t="n"/>
      <c r="Z342" s="3">
        <f>IF(W342=0,0,IF(Y342="",B342*X342/100,Y342))</f>
        <v/>
      </c>
      <c r="AA342" s="3" t="n"/>
      <c r="AB342" s="3" t="n"/>
      <c r="AC342" s="3">
        <f>B342*0.035</f>
        <v/>
      </c>
      <c r="AD342" s="3">
        <f>B342*0.065</f>
        <v/>
      </c>
      <c r="AE342" s="3">
        <f>SUM(B342,F342,J342,N342,R342,V342,Z342,AA342,AB342,AC342,AD342)</f>
        <v/>
      </c>
      <c r="AF342" s="3">
        <f>B342*0.055</f>
        <v/>
      </c>
      <c r="AG342" s="3">
        <f>B342*0.035</f>
        <v/>
      </c>
      <c r="AH342" s="3">
        <f>B342*0.165</f>
        <v/>
      </c>
      <c r="AI342" s="3">
        <f>MAX(0,AE342-AF342-AH342)</f>
        <v/>
      </c>
      <c r="AJ342" s="3">
        <f>IF(AI342&lt;=490,0,IF(AI342&lt;=600,(AI342-490)*0.05,IF(AI342&lt;=730,5.5+(AI342-600)*0.10,IF(AI342&lt;=3896.67,18.5+(AI342-730)*0.175,IF(AI342&lt;=19896.67,572.67+(AI342-3896.67)*0.25,IF(AI342&lt;=50416.67,4572.67+(AI342-19896.67)*0.30,13728.67+(AI342-50416.67)*0.35))))))</f>
        <v/>
      </c>
      <c r="AK342" s="3" t="n"/>
      <c r="AL342" s="3" t="n"/>
      <c r="AM342" s="3" t="n"/>
      <c r="AN342" s="3" t="n"/>
      <c r="AO342" s="3" t="n"/>
      <c r="AP342" s="3">
        <f>SUM(AF342,AJ342,AK342,AL342,AM342,AN342,AO342,AG342,AH342)</f>
        <v/>
      </c>
      <c r="AQ342" s="3">
        <f>AE342-AP342</f>
        <v/>
      </c>
      <c r="AR342" s="3" t="n"/>
      <c r="AS342" s="3" t="n"/>
      <c r="AT342" s="3">
        <f>AR342-AS342</f>
        <v/>
      </c>
    </row>
    <row r="343">
      <c r="A343" s="2" t="n"/>
      <c r="B343" s="3" t="n"/>
      <c r="C343" s="4" t="n"/>
      <c r="D343" s="5" t="n"/>
      <c r="E343" s="3" t="n"/>
      <c r="F343" s="3">
        <f>IF(C343=0,0,IF(E343="",B343*D343/100,E343))</f>
        <v/>
      </c>
      <c r="G343" s="4" t="n"/>
      <c r="H343" s="5" t="n"/>
      <c r="I343" s="3" t="n"/>
      <c r="J343" s="3">
        <f>IF(G343=0,0,IF(I343="",B343*H343/100,I343))</f>
        <v/>
      </c>
      <c r="K343" s="4" t="n"/>
      <c r="L343" s="5" t="n"/>
      <c r="M343" s="3" t="n"/>
      <c r="N343" s="3">
        <f>IF(K343=0,0,IF(M343="",B343*L343/100,M343))</f>
        <v/>
      </c>
      <c r="O343" s="4" t="n"/>
      <c r="P343" s="5" t="n"/>
      <c r="Q343" s="3" t="n"/>
      <c r="R343" s="3">
        <f>IF(O343=0,0,IF(Q343="",B343*P343/100,Q343))</f>
        <v/>
      </c>
      <c r="S343" s="4" t="n"/>
      <c r="T343" s="5" t="n"/>
      <c r="U343" s="3" t="n"/>
      <c r="V343" s="3">
        <f>IF(S343=0,0,IF(U343="",B343*T343/100,U343))</f>
        <v/>
      </c>
      <c r="W343" s="4" t="n"/>
      <c r="X343" s="5" t="n"/>
      <c r="Y343" s="3" t="n"/>
      <c r="Z343" s="3">
        <f>IF(W343=0,0,IF(Y343="",B343*X343/100,Y343))</f>
        <v/>
      </c>
      <c r="AA343" s="3" t="n"/>
      <c r="AB343" s="3" t="n"/>
      <c r="AC343" s="3">
        <f>B343*0.035</f>
        <v/>
      </c>
      <c r="AD343" s="3">
        <f>B343*0.065</f>
        <v/>
      </c>
      <c r="AE343" s="3">
        <f>SUM(B343,F343,J343,N343,R343,V343,Z343,AA343,AB343,AC343,AD343)</f>
        <v/>
      </c>
      <c r="AF343" s="3">
        <f>B343*0.055</f>
        <v/>
      </c>
      <c r="AG343" s="3">
        <f>B343*0.035</f>
        <v/>
      </c>
      <c r="AH343" s="3">
        <f>B343*0.165</f>
        <v/>
      </c>
      <c r="AI343" s="3">
        <f>MAX(0,AE343-AF343-AH343)</f>
        <v/>
      </c>
      <c r="AJ343" s="3">
        <f>IF(AI343&lt;=490,0,IF(AI343&lt;=600,(AI343-490)*0.05,IF(AI343&lt;=730,5.5+(AI343-600)*0.10,IF(AI343&lt;=3896.67,18.5+(AI343-730)*0.175,IF(AI343&lt;=19896.67,572.67+(AI343-3896.67)*0.25,IF(AI343&lt;=50416.67,4572.67+(AI343-19896.67)*0.30,13728.67+(AI343-50416.67)*0.35))))))</f>
        <v/>
      </c>
      <c r="AK343" s="3" t="n"/>
      <c r="AL343" s="3" t="n"/>
      <c r="AM343" s="3" t="n"/>
      <c r="AN343" s="3" t="n"/>
      <c r="AO343" s="3" t="n"/>
      <c r="AP343" s="3">
        <f>SUM(AF343,AJ343,AK343,AL343,AM343,AN343,AO343,AG343,AH343)</f>
        <v/>
      </c>
      <c r="AQ343" s="3">
        <f>AE343-AP343</f>
        <v/>
      </c>
      <c r="AR343" s="3" t="n"/>
      <c r="AS343" s="3" t="n"/>
      <c r="AT343" s="3">
        <f>AR343-AS343</f>
        <v/>
      </c>
    </row>
    <row r="344">
      <c r="A344" s="2" t="n"/>
      <c r="B344" s="3" t="n"/>
      <c r="C344" s="4" t="n"/>
      <c r="D344" s="5" t="n"/>
      <c r="E344" s="3" t="n"/>
      <c r="F344" s="3">
        <f>IF(C344=0,0,IF(E344="",B344*D344/100,E344))</f>
        <v/>
      </c>
      <c r="G344" s="4" t="n"/>
      <c r="H344" s="5" t="n"/>
      <c r="I344" s="3" t="n"/>
      <c r="J344" s="3">
        <f>IF(G344=0,0,IF(I344="",B344*H344/100,I344))</f>
        <v/>
      </c>
      <c r="K344" s="4" t="n"/>
      <c r="L344" s="5" t="n"/>
      <c r="M344" s="3" t="n"/>
      <c r="N344" s="3">
        <f>IF(K344=0,0,IF(M344="",B344*L344/100,M344))</f>
        <v/>
      </c>
      <c r="O344" s="4" t="n"/>
      <c r="P344" s="5" t="n"/>
      <c r="Q344" s="3" t="n"/>
      <c r="R344" s="3">
        <f>IF(O344=0,0,IF(Q344="",B344*P344/100,Q344))</f>
        <v/>
      </c>
      <c r="S344" s="4" t="n"/>
      <c r="T344" s="5" t="n"/>
      <c r="U344" s="3" t="n"/>
      <c r="V344" s="3">
        <f>IF(S344=0,0,IF(U344="",B344*T344/100,U344))</f>
        <v/>
      </c>
      <c r="W344" s="4" t="n"/>
      <c r="X344" s="5" t="n"/>
      <c r="Y344" s="3" t="n"/>
      <c r="Z344" s="3">
        <f>IF(W344=0,0,IF(Y344="",B344*X344/100,Y344))</f>
        <v/>
      </c>
      <c r="AA344" s="3" t="n"/>
      <c r="AB344" s="3" t="n"/>
      <c r="AC344" s="3">
        <f>B344*0.035</f>
        <v/>
      </c>
      <c r="AD344" s="3">
        <f>B344*0.065</f>
        <v/>
      </c>
      <c r="AE344" s="3">
        <f>SUM(B344,F344,J344,N344,R344,V344,Z344,AA344,AB344,AC344,AD344)</f>
        <v/>
      </c>
      <c r="AF344" s="3">
        <f>B344*0.055</f>
        <v/>
      </c>
      <c r="AG344" s="3">
        <f>B344*0.035</f>
        <v/>
      </c>
      <c r="AH344" s="3">
        <f>B344*0.165</f>
        <v/>
      </c>
      <c r="AI344" s="3">
        <f>MAX(0,AE344-AF344-AH344)</f>
        <v/>
      </c>
      <c r="AJ344" s="3">
        <f>IF(AI344&lt;=490,0,IF(AI344&lt;=600,(AI344-490)*0.05,IF(AI344&lt;=730,5.5+(AI344-600)*0.10,IF(AI344&lt;=3896.67,18.5+(AI344-730)*0.175,IF(AI344&lt;=19896.67,572.67+(AI344-3896.67)*0.25,IF(AI344&lt;=50416.67,4572.67+(AI344-19896.67)*0.30,13728.67+(AI344-50416.67)*0.35))))))</f>
        <v/>
      </c>
      <c r="AK344" s="3" t="n"/>
      <c r="AL344" s="3" t="n"/>
      <c r="AM344" s="3" t="n"/>
      <c r="AN344" s="3" t="n"/>
      <c r="AO344" s="3" t="n"/>
      <c r="AP344" s="3">
        <f>SUM(AF344,AJ344,AK344,AL344,AM344,AN344,AO344,AG344,AH344)</f>
        <v/>
      </c>
      <c r="AQ344" s="3">
        <f>AE344-AP344</f>
        <v/>
      </c>
      <c r="AR344" s="3" t="n"/>
      <c r="AS344" s="3" t="n"/>
      <c r="AT344" s="3">
        <f>AR344-AS344</f>
        <v/>
      </c>
    </row>
    <row r="345">
      <c r="A345" s="2" t="n"/>
      <c r="B345" s="3" t="n"/>
      <c r="C345" s="4" t="n"/>
      <c r="D345" s="5" t="n"/>
      <c r="E345" s="3" t="n"/>
      <c r="F345" s="3">
        <f>IF(C345=0,0,IF(E345="",B345*D345/100,E345))</f>
        <v/>
      </c>
      <c r="G345" s="4" t="n"/>
      <c r="H345" s="5" t="n"/>
      <c r="I345" s="3" t="n"/>
      <c r="J345" s="3">
        <f>IF(G345=0,0,IF(I345="",B345*H345/100,I345))</f>
        <v/>
      </c>
      <c r="K345" s="4" t="n"/>
      <c r="L345" s="5" t="n"/>
      <c r="M345" s="3" t="n"/>
      <c r="N345" s="3">
        <f>IF(K345=0,0,IF(M345="",B345*L345/100,M345))</f>
        <v/>
      </c>
      <c r="O345" s="4" t="n"/>
      <c r="P345" s="5" t="n"/>
      <c r="Q345" s="3" t="n"/>
      <c r="R345" s="3">
        <f>IF(O345=0,0,IF(Q345="",B345*P345/100,Q345))</f>
        <v/>
      </c>
      <c r="S345" s="4" t="n"/>
      <c r="T345" s="5" t="n"/>
      <c r="U345" s="3" t="n"/>
      <c r="V345" s="3">
        <f>IF(S345=0,0,IF(U345="",B345*T345/100,U345))</f>
        <v/>
      </c>
      <c r="W345" s="4" t="n"/>
      <c r="X345" s="5" t="n"/>
      <c r="Y345" s="3" t="n"/>
      <c r="Z345" s="3">
        <f>IF(W345=0,0,IF(Y345="",B345*X345/100,Y345))</f>
        <v/>
      </c>
      <c r="AA345" s="3" t="n"/>
      <c r="AB345" s="3" t="n"/>
      <c r="AC345" s="3">
        <f>B345*0.035</f>
        <v/>
      </c>
      <c r="AD345" s="3">
        <f>B345*0.065</f>
        <v/>
      </c>
      <c r="AE345" s="3">
        <f>SUM(B345,F345,J345,N345,R345,V345,Z345,AA345,AB345,AC345,AD345)</f>
        <v/>
      </c>
      <c r="AF345" s="3">
        <f>B345*0.055</f>
        <v/>
      </c>
      <c r="AG345" s="3">
        <f>B345*0.035</f>
        <v/>
      </c>
      <c r="AH345" s="3">
        <f>B345*0.165</f>
        <v/>
      </c>
      <c r="AI345" s="3">
        <f>MAX(0,AE345-AF345-AH345)</f>
        <v/>
      </c>
      <c r="AJ345" s="3">
        <f>IF(AI345&lt;=490,0,IF(AI345&lt;=600,(AI345-490)*0.05,IF(AI345&lt;=730,5.5+(AI345-600)*0.10,IF(AI345&lt;=3896.67,18.5+(AI345-730)*0.175,IF(AI345&lt;=19896.67,572.67+(AI345-3896.67)*0.25,IF(AI345&lt;=50416.67,4572.67+(AI345-19896.67)*0.30,13728.67+(AI345-50416.67)*0.35))))))</f>
        <v/>
      </c>
      <c r="AK345" s="3" t="n"/>
      <c r="AL345" s="3" t="n"/>
      <c r="AM345" s="3" t="n"/>
      <c r="AN345" s="3" t="n"/>
      <c r="AO345" s="3" t="n"/>
      <c r="AP345" s="3">
        <f>SUM(AF345,AJ345,AK345,AL345,AM345,AN345,AO345,AG345,AH345)</f>
        <v/>
      </c>
      <c r="AQ345" s="3">
        <f>AE345-AP345</f>
        <v/>
      </c>
      <c r="AR345" s="3" t="n"/>
      <c r="AS345" s="3" t="n"/>
      <c r="AT345" s="3">
        <f>AR345-AS345</f>
        <v/>
      </c>
    </row>
    <row r="346">
      <c r="A346" s="2" t="n"/>
      <c r="B346" s="3" t="n"/>
      <c r="C346" s="4" t="n"/>
      <c r="D346" s="5" t="n"/>
      <c r="E346" s="3" t="n"/>
      <c r="F346" s="3">
        <f>IF(C346=0,0,IF(E346="",B346*D346/100,E346))</f>
        <v/>
      </c>
      <c r="G346" s="4" t="n"/>
      <c r="H346" s="5" t="n"/>
      <c r="I346" s="3" t="n"/>
      <c r="J346" s="3">
        <f>IF(G346=0,0,IF(I346="",B346*H346/100,I346))</f>
        <v/>
      </c>
      <c r="K346" s="4" t="n"/>
      <c r="L346" s="5" t="n"/>
      <c r="M346" s="3" t="n"/>
      <c r="N346" s="3">
        <f>IF(K346=0,0,IF(M346="",B346*L346/100,M346))</f>
        <v/>
      </c>
      <c r="O346" s="4" t="n"/>
      <c r="P346" s="5" t="n"/>
      <c r="Q346" s="3" t="n"/>
      <c r="R346" s="3">
        <f>IF(O346=0,0,IF(Q346="",B346*P346/100,Q346))</f>
        <v/>
      </c>
      <c r="S346" s="4" t="n"/>
      <c r="T346" s="5" t="n"/>
      <c r="U346" s="3" t="n"/>
      <c r="V346" s="3">
        <f>IF(S346=0,0,IF(U346="",B346*T346/100,U346))</f>
        <v/>
      </c>
      <c r="W346" s="4" t="n"/>
      <c r="X346" s="5" t="n"/>
      <c r="Y346" s="3" t="n"/>
      <c r="Z346" s="3">
        <f>IF(W346=0,0,IF(Y346="",B346*X346/100,Y346))</f>
        <v/>
      </c>
      <c r="AA346" s="3" t="n"/>
      <c r="AB346" s="3" t="n"/>
      <c r="AC346" s="3">
        <f>B346*0.035</f>
        <v/>
      </c>
      <c r="AD346" s="3">
        <f>B346*0.065</f>
        <v/>
      </c>
      <c r="AE346" s="3">
        <f>SUM(B346,F346,J346,N346,R346,V346,Z346,AA346,AB346,AC346,AD346)</f>
        <v/>
      </c>
      <c r="AF346" s="3">
        <f>B346*0.055</f>
        <v/>
      </c>
      <c r="AG346" s="3">
        <f>B346*0.035</f>
        <v/>
      </c>
      <c r="AH346" s="3">
        <f>B346*0.165</f>
        <v/>
      </c>
      <c r="AI346" s="3">
        <f>MAX(0,AE346-AF346-AH346)</f>
        <v/>
      </c>
      <c r="AJ346" s="3">
        <f>IF(AI346&lt;=490,0,IF(AI346&lt;=600,(AI346-490)*0.05,IF(AI346&lt;=730,5.5+(AI346-600)*0.10,IF(AI346&lt;=3896.67,18.5+(AI346-730)*0.175,IF(AI346&lt;=19896.67,572.67+(AI346-3896.67)*0.25,IF(AI346&lt;=50416.67,4572.67+(AI346-19896.67)*0.30,13728.67+(AI346-50416.67)*0.35))))))</f>
        <v/>
      </c>
      <c r="AK346" s="3" t="n"/>
      <c r="AL346" s="3" t="n"/>
      <c r="AM346" s="3" t="n"/>
      <c r="AN346" s="3" t="n"/>
      <c r="AO346" s="3" t="n"/>
      <c r="AP346" s="3">
        <f>SUM(AF346,AJ346,AK346,AL346,AM346,AN346,AO346,AG346,AH346)</f>
        <v/>
      </c>
      <c r="AQ346" s="3">
        <f>AE346-AP346</f>
        <v/>
      </c>
      <c r="AR346" s="3" t="n"/>
      <c r="AS346" s="3" t="n"/>
      <c r="AT346" s="3">
        <f>AR346-AS346</f>
        <v/>
      </c>
    </row>
    <row r="347">
      <c r="A347" s="2" t="n"/>
      <c r="B347" s="3" t="n"/>
      <c r="C347" s="4" t="n"/>
      <c r="D347" s="5" t="n"/>
      <c r="E347" s="3" t="n"/>
      <c r="F347" s="3">
        <f>IF(C347=0,0,IF(E347="",B347*D347/100,E347))</f>
        <v/>
      </c>
      <c r="G347" s="4" t="n"/>
      <c r="H347" s="5" t="n"/>
      <c r="I347" s="3" t="n"/>
      <c r="J347" s="3">
        <f>IF(G347=0,0,IF(I347="",B347*H347/100,I347))</f>
        <v/>
      </c>
      <c r="K347" s="4" t="n"/>
      <c r="L347" s="5" t="n"/>
      <c r="M347" s="3" t="n"/>
      <c r="N347" s="3">
        <f>IF(K347=0,0,IF(M347="",B347*L347/100,M347))</f>
        <v/>
      </c>
      <c r="O347" s="4" t="n"/>
      <c r="P347" s="5" t="n"/>
      <c r="Q347" s="3" t="n"/>
      <c r="R347" s="3">
        <f>IF(O347=0,0,IF(Q347="",B347*P347/100,Q347))</f>
        <v/>
      </c>
      <c r="S347" s="4" t="n"/>
      <c r="T347" s="5" t="n"/>
      <c r="U347" s="3" t="n"/>
      <c r="V347" s="3">
        <f>IF(S347=0,0,IF(U347="",B347*T347/100,U347))</f>
        <v/>
      </c>
      <c r="W347" s="4" t="n"/>
      <c r="X347" s="5" t="n"/>
      <c r="Y347" s="3" t="n"/>
      <c r="Z347" s="3">
        <f>IF(W347=0,0,IF(Y347="",B347*X347/100,Y347))</f>
        <v/>
      </c>
      <c r="AA347" s="3" t="n"/>
      <c r="AB347" s="3" t="n"/>
      <c r="AC347" s="3">
        <f>B347*0.035</f>
        <v/>
      </c>
      <c r="AD347" s="3">
        <f>B347*0.065</f>
        <v/>
      </c>
      <c r="AE347" s="3">
        <f>SUM(B347,F347,J347,N347,R347,V347,Z347,AA347,AB347,AC347,AD347)</f>
        <v/>
      </c>
      <c r="AF347" s="3">
        <f>B347*0.055</f>
        <v/>
      </c>
      <c r="AG347" s="3">
        <f>B347*0.035</f>
        <v/>
      </c>
      <c r="AH347" s="3">
        <f>B347*0.165</f>
        <v/>
      </c>
      <c r="AI347" s="3">
        <f>MAX(0,AE347-AF347-AH347)</f>
        <v/>
      </c>
      <c r="AJ347" s="3">
        <f>IF(AI347&lt;=490,0,IF(AI347&lt;=600,(AI347-490)*0.05,IF(AI347&lt;=730,5.5+(AI347-600)*0.10,IF(AI347&lt;=3896.67,18.5+(AI347-730)*0.175,IF(AI347&lt;=19896.67,572.67+(AI347-3896.67)*0.25,IF(AI347&lt;=50416.67,4572.67+(AI347-19896.67)*0.30,13728.67+(AI347-50416.67)*0.35))))))</f>
        <v/>
      </c>
      <c r="AK347" s="3" t="n"/>
      <c r="AL347" s="3" t="n"/>
      <c r="AM347" s="3" t="n"/>
      <c r="AN347" s="3" t="n"/>
      <c r="AO347" s="3" t="n"/>
      <c r="AP347" s="3">
        <f>SUM(AF347,AJ347,AK347,AL347,AM347,AN347,AO347,AG347,AH347)</f>
        <v/>
      </c>
      <c r="AQ347" s="3">
        <f>AE347-AP347</f>
        <v/>
      </c>
      <c r="AR347" s="3" t="n"/>
      <c r="AS347" s="3" t="n"/>
      <c r="AT347" s="3">
        <f>AR347-AS347</f>
        <v/>
      </c>
    </row>
    <row r="348">
      <c r="A348" s="2" t="n"/>
      <c r="B348" s="3" t="n"/>
      <c r="C348" s="4" t="n"/>
      <c r="D348" s="5" t="n"/>
      <c r="E348" s="3" t="n"/>
      <c r="F348" s="3">
        <f>IF(C348=0,0,IF(E348="",B348*D348/100,E348))</f>
        <v/>
      </c>
      <c r="G348" s="4" t="n"/>
      <c r="H348" s="5" t="n"/>
      <c r="I348" s="3" t="n"/>
      <c r="J348" s="3">
        <f>IF(G348=0,0,IF(I348="",B348*H348/100,I348))</f>
        <v/>
      </c>
      <c r="K348" s="4" t="n"/>
      <c r="L348" s="5" t="n"/>
      <c r="M348" s="3" t="n"/>
      <c r="N348" s="3">
        <f>IF(K348=0,0,IF(M348="",B348*L348/100,M348))</f>
        <v/>
      </c>
      <c r="O348" s="4" t="n"/>
      <c r="P348" s="5" t="n"/>
      <c r="Q348" s="3" t="n"/>
      <c r="R348" s="3">
        <f>IF(O348=0,0,IF(Q348="",B348*P348/100,Q348))</f>
        <v/>
      </c>
      <c r="S348" s="4" t="n"/>
      <c r="T348" s="5" t="n"/>
      <c r="U348" s="3" t="n"/>
      <c r="V348" s="3">
        <f>IF(S348=0,0,IF(U348="",B348*T348/100,U348))</f>
        <v/>
      </c>
      <c r="W348" s="4" t="n"/>
      <c r="X348" s="5" t="n"/>
      <c r="Y348" s="3" t="n"/>
      <c r="Z348" s="3">
        <f>IF(W348=0,0,IF(Y348="",B348*X348/100,Y348))</f>
        <v/>
      </c>
      <c r="AA348" s="3" t="n"/>
      <c r="AB348" s="3" t="n"/>
      <c r="AC348" s="3">
        <f>B348*0.035</f>
        <v/>
      </c>
      <c r="AD348" s="3">
        <f>B348*0.065</f>
        <v/>
      </c>
      <c r="AE348" s="3">
        <f>SUM(B348,F348,J348,N348,R348,V348,Z348,AA348,AB348,AC348,AD348)</f>
        <v/>
      </c>
      <c r="AF348" s="3">
        <f>B348*0.055</f>
        <v/>
      </c>
      <c r="AG348" s="3">
        <f>B348*0.035</f>
        <v/>
      </c>
      <c r="AH348" s="3">
        <f>B348*0.165</f>
        <v/>
      </c>
      <c r="AI348" s="3">
        <f>MAX(0,AE348-AF348-AH348)</f>
        <v/>
      </c>
      <c r="AJ348" s="3">
        <f>IF(AI348&lt;=490,0,IF(AI348&lt;=600,(AI348-490)*0.05,IF(AI348&lt;=730,5.5+(AI348-600)*0.10,IF(AI348&lt;=3896.67,18.5+(AI348-730)*0.175,IF(AI348&lt;=19896.67,572.67+(AI348-3896.67)*0.25,IF(AI348&lt;=50416.67,4572.67+(AI348-19896.67)*0.30,13728.67+(AI348-50416.67)*0.35))))))</f>
        <v/>
      </c>
      <c r="AK348" s="3" t="n"/>
      <c r="AL348" s="3" t="n"/>
      <c r="AM348" s="3" t="n"/>
      <c r="AN348" s="3" t="n"/>
      <c r="AO348" s="3" t="n"/>
      <c r="AP348" s="3">
        <f>SUM(AF348,AJ348,AK348,AL348,AM348,AN348,AO348,AG348,AH348)</f>
        <v/>
      </c>
      <c r="AQ348" s="3">
        <f>AE348-AP348</f>
        <v/>
      </c>
      <c r="AR348" s="3" t="n"/>
      <c r="AS348" s="3" t="n"/>
      <c r="AT348" s="3">
        <f>AR348-AS348</f>
        <v/>
      </c>
    </row>
    <row r="349">
      <c r="A349" s="2" t="n"/>
      <c r="B349" s="3" t="n"/>
      <c r="C349" s="4" t="n"/>
      <c r="D349" s="5" t="n"/>
      <c r="E349" s="3" t="n"/>
      <c r="F349" s="3">
        <f>IF(C349=0,0,IF(E349="",B349*D349/100,E349))</f>
        <v/>
      </c>
      <c r="G349" s="4" t="n"/>
      <c r="H349" s="5" t="n"/>
      <c r="I349" s="3" t="n"/>
      <c r="J349" s="3">
        <f>IF(G349=0,0,IF(I349="",B349*H349/100,I349))</f>
        <v/>
      </c>
      <c r="K349" s="4" t="n"/>
      <c r="L349" s="5" t="n"/>
      <c r="M349" s="3" t="n"/>
      <c r="N349" s="3">
        <f>IF(K349=0,0,IF(M349="",B349*L349/100,M349))</f>
        <v/>
      </c>
      <c r="O349" s="4" t="n"/>
      <c r="P349" s="5" t="n"/>
      <c r="Q349" s="3" t="n"/>
      <c r="R349" s="3">
        <f>IF(O349=0,0,IF(Q349="",B349*P349/100,Q349))</f>
        <v/>
      </c>
      <c r="S349" s="4" t="n"/>
      <c r="T349" s="5" t="n"/>
      <c r="U349" s="3" t="n"/>
      <c r="V349" s="3">
        <f>IF(S349=0,0,IF(U349="",B349*T349/100,U349))</f>
        <v/>
      </c>
      <c r="W349" s="4" t="n"/>
      <c r="X349" s="5" t="n"/>
      <c r="Y349" s="3" t="n"/>
      <c r="Z349" s="3">
        <f>IF(W349=0,0,IF(Y349="",B349*X349/100,Y349))</f>
        <v/>
      </c>
      <c r="AA349" s="3" t="n"/>
      <c r="AB349" s="3" t="n"/>
      <c r="AC349" s="3">
        <f>B349*0.035</f>
        <v/>
      </c>
      <c r="AD349" s="3">
        <f>B349*0.065</f>
        <v/>
      </c>
      <c r="AE349" s="3">
        <f>SUM(B349,F349,J349,N349,R349,V349,Z349,AA349,AB349,AC349,AD349)</f>
        <v/>
      </c>
      <c r="AF349" s="3">
        <f>B349*0.055</f>
        <v/>
      </c>
      <c r="AG349" s="3">
        <f>B349*0.035</f>
        <v/>
      </c>
      <c r="AH349" s="3">
        <f>B349*0.165</f>
        <v/>
      </c>
      <c r="AI349" s="3">
        <f>MAX(0,AE349-AF349-AH349)</f>
        <v/>
      </c>
      <c r="AJ349" s="3">
        <f>IF(AI349&lt;=490,0,IF(AI349&lt;=600,(AI349-490)*0.05,IF(AI349&lt;=730,5.5+(AI349-600)*0.10,IF(AI349&lt;=3896.67,18.5+(AI349-730)*0.175,IF(AI349&lt;=19896.67,572.67+(AI349-3896.67)*0.25,IF(AI349&lt;=50416.67,4572.67+(AI349-19896.67)*0.30,13728.67+(AI349-50416.67)*0.35))))))</f>
        <v/>
      </c>
      <c r="AK349" s="3" t="n"/>
      <c r="AL349" s="3" t="n"/>
      <c r="AM349" s="3" t="n"/>
      <c r="AN349" s="3" t="n"/>
      <c r="AO349" s="3" t="n"/>
      <c r="AP349" s="3">
        <f>SUM(AF349,AJ349,AK349,AL349,AM349,AN349,AO349,AG349,AH349)</f>
        <v/>
      </c>
      <c r="AQ349" s="3">
        <f>AE349-AP349</f>
        <v/>
      </c>
      <c r="AR349" s="3" t="n"/>
      <c r="AS349" s="3" t="n"/>
      <c r="AT349" s="3">
        <f>AR349-AS349</f>
        <v/>
      </c>
    </row>
    <row r="350">
      <c r="A350" s="2" t="n"/>
      <c r="B350" s="3" t="n"/>
      <c r="C350" s="4" t="n"/>
      <c r="D350" s="5" t="n"/>
      <c r="E350" s="3" t="n"/>
      <c r="F350" s="3">
        <f>IF(C350=0,0,IF(E350="",B350*D350/100,E350))</f>
        <v/>
      </c>
      <c r="G350" s="4" t="n"/>
      <c r="H350" s="5" t="n"/>
      <c r="I350" s="3" t="n"/>
      <c r="J350" s="3">
        <f>IF(G350=0,0,IF(I350="",B350*H350/100,I350))</f>
        <v/>
      </c>
      <c r="K350" s="4" t="n"/>
      <c r="L350" s="5" t="n"/>
      <c r="M350" s="3" t="n"/>
      <c r="N350" s="3">
        <f>IF(K350=0,0,IF(M350="",B350*L350/100,M350))</f>
        <v/>
      </c>
      <c r="O350" s="4" t="n"/>
      <c r="P350" s="5" t="n"/>
      <c r="Q350" s="3" t="n"/>
      <c r="R350" s="3">
        <f>IF(O350=0,0,IF(Q350="",B350*P350/100,Q350))</f>
        <v/>
      </c>
      <c r="S350" s="4" t="n"/>
      <c r="T350" s="5" t="n"/>
      <c r="U350" s="3" t="n"/>
      <c r="V350" s="3">
        <f>IF(S350=0,0,IF(U350="",B350*T350/100,U350))</f>
        <v/>
      </c>
      <c r="W350" s="4" t="n"/>
      <c r="X350" s="5" t="n"/>
      <c r="Y350" s="3" t="n"/>
      <c r="Z350" s="3">
        <f>IF(W350=0,0,IF(Y350="",B350*X350/100,Y350))</f>
        <v/>
      </c>
      <c r="AA350" s="3" t="n"/>
      <c r="AB350" s="3" t="n"/>
      <c r="AC350" s="3">
        <f>B350*0.035</f>
        <v/>
      </c>
      <c r="AD350" s="3">
        <f>B350*0.065</f>
        <v/>
      </c>
      <c r="AE350" s="3">
        <f>SUM(B350,F350,J350,N350,R350,V350,Z350,AA350,AB350,AC350,AD350)</f>
        <v/>
      </c>
      <c r="AF350" s="3">
        <f>B350*0.055</f>
        <v/>
      </c>
      <c r="AG350" s="3">
        <f>B350*0.035</f>
        <v/>
      </c>
      <c r="AH350" s="3">
        <f>B350*0.165</f>
        <v/>
      </c>
      <c r="AI350" s="3">
        <f>MAX(0,AE350-AF350-AH350)</f>
        <v/>
      </c>
      <c r="AJ350" s="3">
        <f>IF(AI350&lt;=490,0,IF(AI350&lt;=600,(AI350-490)*0.05,IF(AI350&lt;=730,5.5+(AI350-600)*0.10,IF(AI350&lt;=3896.67,18.5+(AI350-730)*0.175,IF(AI350&lt;=19896.67,572.67+(AI350-3896.67)*0.25,IF(AI350&lt;=50416.67,4572.67+(AI350-19896.67)*0.30,13728.67+(AI350-50416.67)*0.35))))))</f>
        <v/>
      </c>
      <c r="AK350" s="3" t="n"/>
      <c r="AL350" s="3" t="n"/>
      <c r="AM350" s="3" t="n"/>
      <c r="AN350" s="3" t="n"/>
      <c r="AO350" s="3" t="n"/>
      <c r="AP350" s="3">
        <f>SUM(AF350,AJ350,AK350,AL350,AM350,AN350,AO350,AG350,AH350)</f>
        <v/>
      </c>
      <c r="AQ350" s="3">
        <f>AE350-AP350</f>
        <v/>
      </c>
      <c r="AR350" s="3" t="n"/>
      <c r="AS350" s="3" t="n"/>
      <c r="AT350" s="3">
        <f>AR350-AS350</f>
        <v/>
      </c>
    </row>
    <row r="351">
      <c r="A351" s="2" t="n"/>
      <c r="B351" s="3" t="n"/>
      <c r="C351" s="4" t="n"/>
      <c r="D351" s="5" t="n"/>
      <c r="E351" s="3" t="n"/>
      <c r="F351" s="3">
        <f>IF(C351=0,0,IF(E351="",B351*D351/100,E351))</f>
        <v/>
      </c>
      <c r="G351" s="4" t="n"/>
      <c r="H351" s="5" t="n"/>
      <c r="I351" s="3" t="n"/>
      <c r="J351" s="3">
        <f>IF(G351=0,0,IF(I351="",B351*H351/100,I351))</f>
        <v/>
      </c>
      <c r="K351" s="4" t="n"/>
      <c r="L351" s="5" t="n"/>
      <c r="M351" s="3" t="n"/>
      <c r="N351" s="3">
        <f>IF(K351=0,0,IF(M351="",B351*L351/100,M351))</f>
        <v/>
      </c>
      <c r="O351" s="4" t="n"/>
      <c r="P351" s="5" t="n"/>
      <c r="Q351" s="3" t="n"/>
      <c r="R351" s="3">
        <f>IF(O351=0,0,IF(Q351="",B351*P351/100,Q351))</f>
        <v/>
      </c>
      <c r="S351" s="4" t="n"/>
      <c r="T351" s="5" t="n"/>
      <c r="U351" s="3" t="n"/>
      <c r="V351" s="3">
        <f>IF(S351=0,0,IF(U351="",B351*T351/100,U351))</f>
        <v/>
      </c>
      <c r="W351" s="4" t="n"/>
      <c r="X351" s="5" t="n"/>
      <c r="Y351" s="3" t="n"/>
      <c r="Z351" s="3">
        <f>IF(W351=0,0,IF(Y351="",B351*X351/100,Y351))</f>
        <v/>
      </c>
      <c r="AA351" s="3" t="n"/>
      <c r="AB351" s="3" t="n"/>
      <c r="AC351" s="3">
        <f>B351*0.035</f>
        <v/>
      </c>
      <c r="AD351" s="3">
        <f>B351*0.065</f>
        <v/>
      </c>
      <c r="AE351" s="3">
        <f>SUM(B351,F351,J351,N351,R351,V351,Z351,AA351,AB351,AC351,AD351)</f>
        <v/>
      </c>
      <c r="AF351" s="3">
        <f>B351*0.055</f>
        <v/>
      </c>
      <c r="AG351" s="3">
        <f>B351*0.035</f>
        <v/>
      </c>
      <c r="AH351" s="3">
        <f>B351*0.165</f>
        <v/>
      </c>
      <c r="AI351" s="3">
        <f>MAX(0,AE351-AF351-AH351)</f>
        <v/>
      </c>
      <c r="AJ351" s="3">
        <f>IF(AI351&lt;=490,0,IF(AI351&lt;=600,(AI351-490)*0.05,IF(AI351&lt;=730,5.5+(AI351-600)*0.10,IF(AI351&lt;=3896.67,18.5+(AI351-730)*0.175,IF(AI351&lt;=19896.67,572.67+(AI351-3896.67)*0.25,IF(AI351&lt;=50416.67,4572.67+(AI351-19896.67)*0.30,13728.67+(AI351-50416.67)*0.35))))))</f>
        <v/>
      </c>
      <c r="AK351" s="3" t="n"/>
      <c r="AL351" s="3" t="n"/>
      <c r="AM351" s="3" t="n"/>
      <c r="AN351" s="3" t="n"/>
      <c r="AO351" s="3" t="n"/>
      <c r="AP351" s="3">
        <f>SUM(AF351,AJ351,AK351,AL351,AM351,AN351,AO351,AG351,AH351)</f>
        <v/>
      </c>
      <c r="AQ351" s="3">
        <f>AE351-AP351</f>
        <v/>
      </c>
      <c r="AR351" s="3" t="n"/>
      <c r="AS351" s="3" t="n"/>
      <c r="AT351" s="3">
        <f>AR351-AS351</f>
        <v/>
      </c>
    </row>
    <row r="352">
      <c r="A352" s="2" t="n"/>
      <c r="B352" s="3" t="n"/>
      <c r="C352" s="4" t="n"/>
      <c r="D352" s="5" t="n"/>
      <c r="E352" s="3" t="n"/>
      <c r="F352" s="3">
        <f>IF(C352=0,0,IF(E352="",B352*D352/100,E352))</f>
        <v/>
      </c>
      <c r="G352" s="4" t="n"/>
      <c r="H352" s="5" t="n"/>
      <c r="I352" s="3" t="n"/>
      <c r="J352" s="3">
        <f>IF(G352=0,0,IF(I352="",B352*H352/100,I352))</f>
        <v/>
      </c>
      <c r="K352" s="4" t="n"/>
      <c r="L352" s="5" t="n"/>
      <c r="M352" s="3" t="n"/>
      <c r="N352" s="3">
        <f>IF(K352=0,0,IF(M352="",B352*L352/100,M352))</f>
        <v/>
      </c>
      <c r="O352" s="4" t="n"/>
      <c r="P352" s="5" t="n"/>
      <c r="Q352" s="3" t="n"/>
      <c r="R352" s="3">
        <f>IF(O352=0,0,IF(Q352="",B352*P352/100,Q352))</f>
        <v/>
      </c>
      <c r="S352" s="4" t="n"/>
      <c r="T352" s="5" t="n"/>
      <c r="U352" s="3" t="n"/>
      <c r="V352" s="3">
        <f>IF(S352=0,0,IF(U352="",B352*T352/100,U352))</f>
        <v/>
      </c>
      <c r="W352" s="4" t="n"/>
      <c r="X352" s="5" t="n"/>
      <c r="Y352" s="3" t="n"/>
      <c r="Z352" s="3">
        <f>IF(W352=0,0,IF(Y352="",B352*X352/100,Y352))</f>
        <v/>
      </c>
      <c r="AA352" s="3" t="n"/>
      <c r="AB352" s="3" t="n"/>
      <c r="AC352" s="3">
        <f>B352*0.035</f>
        <v/>
      </c>
      <c r="AD352" s="3">
        <f>B352*0.065</f>
        <v/>
      </c>
      <c r="AE352" s="3">
        <f>SUM(B352,F352,J352,N352,R352,V352,Z352,AA352,AB352,AC352,AD352)</f>
        <v/>
      </c>
      <c r="AF352" s="3">
        <f>B352*0.055</f>
        <v/>
      </c>
      <c r="AG352" s="3">
        <f>B352*0.035</f>
        <v/>
      </c>
      <c r="AH352" s="3">
        <f>B352*0.165</f>
        <v/>
      </c>
      <c r="AI352" s="3">
        <f>MAX(0,AE352-AF352-AH352)</f>
        <v/>
      </c>
      <c r="AJ352" s="3">
        <f>IF(AI352&lt;=490,0,IF(AI352&lt;=600,(AI352-490)*0.05,IF(AI352&lt;=730,5.5+(AI352-600)*0.10,IF(AI352&lt;=3896.67,18.5+(AI352-730)*0.175,IF(AI352&lt;=19896.67,572.67+(AI352-3896.67)*0.25,IF(AI352&lt;=50416.67,4572.67+(AI352-19896.67)*0.30,13728.67+(AI352-50416.67)*0.35))))))</f>
        <v/>
      </c>
      <c r="AK352" s="3" t="n"/>
      <c r="AL352" s="3" t="n"/>
      <c r="AM352" s="3" t="n"/>
      <c r="AN352" s="3" t="n"/>
      <c r="AO352" s="3" t="n"/>
      <c r="AP352" s="3">
        <f>SUM(AF352,AJ352,AK352,AL352,AM352,AN352,AO352,AG352,AH352)</f>
        <v/>
      </c>
      <c r="AQ352" s="3">
        <f>AE352-AP352</f>
        <v/>
      </c>
      <c r="AR352" s="3" t="n"/>
      <c r="AS352" s="3" t="n"/>
      <c r="AT352" s="3">
        <f>AR352-AS352</f>
        <v/>
      </c>
    </row>
    <row r="353">
      <c r="A353" s="2" t="n"/>
      <c r="B353" s="3" t="n"/>
      <c r="C353" s="4" t="n"/>
      <c r="D353" s="5" t="n"/>
      <c r="E353" s="3" t="n"/>
      <c r="F353" s="3">
        <f>IF(C353=0,0,IF(E353="",B353*D353/100,E353))</f>
        <v/>
      </c>
      <c r="G353" s="4" t="n"/>
      <c r="H353" s="5" t="n"/>
      <c r="I353" s="3" t="n"/>
      <c r="J353" s="3">
        <f>IF(G353=0,0,IF(I353="",B353*H353/100,I353))</f>
        <v/>
      </c>
      <c r="K353" s="4" t="n"/>
      <c r="L353" s="5" t="n"/>
      <c r="M353" s="3" t="n"/>
      <c r="N353" s="3">
        <f>IF(K353=0,0,IF(M353="",B353*L353/100,M353))</f>
        <v/>
      </c>
      <c r="O353" s="4" t="n"/>
      <c r="P353" s="5" t="n"/>
      <c r="Q353" s="3" t="n"/>
      <c r="R353" s="3">
        <f>IF(O353=0,0,IF(Q353="",B353*P353/100,Q353))</f>
        <v/>
      </c>
      <c r="S353" s="4" t="n"/>
      <c r="T353" s="5" t="n"/>
      <c r="U353" s="3" t="n"/>
      <c r="V353" s="3">
        <f>IF(S353=0,0,IF(U353="",B353*T353/100,U353))</f>
        <v/>
      </c>
      <c r="W353" s="4" t="n"/>
      <c r="X353" s="5" t="n"/>
      <c r="Y353" s="3" t="n"/>
      <c r="Z353" s="3">
        <f>IF(W353=0,0,IF(Y353="",B353*X353/100,Y353))</f>
        <v/>
      </c>
      <c r="AA353" s="3" t="n"/>
      <c r="AB353" s="3" t="n"/>
      <c r="AC353" s="3">
        <f>B353*0.035</f>
        <v/>
      </c>
      <c r="AD353" s="3">
        <f>B353*0.065</f>
        <v/>
      </c>
      <c r="AE353" s="3">
        <f>SUM(B353,F353,J353,N353,R353,V353,Z353,AA353,AB353,AC353,AD353)</f>
        <v/>
      </c>
      <c r="AF353" s="3">
        <f>B353*0.055</f>
        <v/>
      </c>
      <c r="AG353" s="3">
        <f>B353*0.035</f>
        <v/>
      </c>
      <c r="AH353" s="3">
        <f>B353*0.165</f>
        <v/>
      </c>
      <c r="AI353" s="3">
        <f>MAX(0,AE353-AF353-AH353)</f>
        <v/>
      </c>
      <c r="AJ353" s="3">
        <f>IF(AI353&lt;=490,0,IF(AI353&lt;=600,(AI353-490)*0.05,IF(AI353&lt;=730,5.5+(AI353-600)*0.10,IF(AI353&lt;=3896.67,18.5+(AI353-730)*0.175,IF(AI353&lt;=19896.67,572.67+(AI353-3896.67)*0.25,IF(AI353&lt;=50416.67,4572.67+(AI353-19896.67)*0.30,13728.67+(AI353-50416.67)*0.35))))))</f>
        <v/>
      </c>
      <c r="AK353" s="3" t="n"/>
      <c r="AL353" s="3" t="n"/>
      <c r="AM353" s="3" t="n"/>
      <c r="AN353" s="3" t="n"/>
      <c r="AO353" s="3" t="n"/>
      <c r="AP353" s="3">
        <f>SUM(AF353,AJ353,AK353,AL353,AM353,AN353,AO353,AG353,AH353)</f>
        <v/>
      </c>
      <c r="AQ353" s="3">
        <f>AE353-AP353</f>
        <v/>
      </c>
      <c r="AR353" s="3" t="n"/>
      <c r="AS353" s="3" t="n"/>
      <c r="AT353" s="3">
        <f>AR353-AS353</f>
        <v/>
      </c>
    </row>
    <row r="354">
      <c r="A354" s="2" t="n"/>
      <c r="B354" s="3" t="n"/>
      <c r="C354" s="4" t="n"/>
      <c r="D354" s="5" t="n"/>
      <c r="E354" s="3" t="n"/>
      <c r="F354" s="3">
        <f>IF(C354=0,0,IF(E354="",B354*D354/100,E354))</f>
        <v/>
      </c>
      <c r="G354" s="4" t="n"/>
      <c r="H354" s="5" t="n"/>
      <c r="I354" s="3" t="n"/>
      <c r="J354" s="3">
        <f>IF(G354=0,0,IF(I354="",B354*H354/100,I354))</f>
        <v/>
      </c>
      <c r="K354" s="4" t="n"/>
      <c r="L354" s="5" t="n"/>
      <c r="M354" s="3" t="n"/>
      <c r="N354" s="3">
        <f>IF(K354=0,0,IF(M354="",B354*L354/100,M354))</f>
        <v/>
      </c>
      <c r="O354" s="4" t="n"/>
      <c r="P354" s="5" t="n"/>
      <c r="Q354" s="3" t="n"/>
      <c r="R354" s="3">
        <f>IF(O354=0,0,IF(Q354="",B354*P354/100,Q354))</f>
        <v/>
      </c>
      <c r="S354" s="4" t="n"/>
      <c r="T354" s="5" t="n"/>
      <c r="U354" s="3" t="n"/>
      <c r="V354" s="3">
        <f>IF(S354=0,0,IF(U354="",B354*T354/100,U354))</f>
        <v/>
      </c>
      <c r="W354" s="4" t="n"/>
      <c r="X354" s="5" t="n"/>
      <c r="Y354" s="3" t="n"/>
      <c r="Z354" s="3">
        <f>IF(W354=0,0,IF(Y354="",B354*X354/100,Y354))</f>
        <v/>
      </c>
      <c r="AA354" s="3" t="n"/>
      <c r="AB354" s="3" t="n"/>
      <c r="AC354" s="3">
        <f>B354*0.035</f>
        <v/>
      </c>
      <c r="AD354" s="3">
        <f>B354*0.065</f>
        <v/>
      </c>
      <c r="AE354" s="3">
        <f>SUM(B354,F354,J354,N354,R354,V354,Z354,AA354,AB354,AC354,AD354)</f>
        <v/>
      </c>
      <c r="AF354" s="3">
        <f>B354*0.055</f>
        <v/>
      </c>
      <c r="AG354" s="3">
        <f>B354*0.035</f>
        <v/>
      </c>
      <c r="AH354" s="3">
        <f>B354*0.165</f>
        <v/>
      </c>
      <c r="AI354" s="3">
        <f>MAX(0,AE354-AF354-AH354)</f>
        <v/>
      </c>
      <c r="AJ354" s="3">
        <f>IF(AI354&lt;=490,0,IF(AI354&lt;=600,(AI354-490)*0.05,IF(AI354&lt;=730,5.5+(AI354-600)*0.10,IF(AI354&lt;=3896.67,18.5+(AI354-730)*0.175,IF(AI354&lt;=19896.67,572.67+(AI354-3896.67)*0.25,IF(AI354&lt;=50416.67,4572.67+(AI354-19896.67)*0.30,13728.67+(AI354-50416.67)*0.35))))))</f>
        <v/>
      </c>
      <c r="AK354" s="3" t="n"/>
      <c r="AL354" s="3" t="n"/>
      <c r="AM354" s="3" t="n"/>
      <c r="AN354" s="3" t="n"/>
      <c r="AO354" s="3" t="n"/>
      <c r="AP354" s="3">
        <f>SUM(AF354,AJ354,AK354,AL354,AM354,AN354,AO354,AG354,AH354)</f>
        <v/>
      </c>
      <c r="AQ354" s="3">
        <f>AE354-AP354</f>
        <v/>
      </c>
      <c r="AR354" s="3" t="n"/>
      <c r="AS354" s="3" t="n"/>
      <c r="AT354" s="3">
        <f>AR354-AS354</f>
        <v/>
      </c>
    </row>
    <row r="355">
      <c r="A355" s="2" t="n"/>
      <c r="B355" s="3" t="n"/>
      <c r="C355" s="4" t="n"/>
      <c r="D355" s="5" t="n"/>
      <c r="E355" s="3" t="n"/>
      <c r="F355" s="3">
        <f>IF(C355=0,0,IF(E355="",B355*D355/100,E355))</f>
        <v/>
      </c>
      <c r="G355" s="4" t="n"/>
      <c r="H355" s="5" t="n"/>
      <c r="I355" s="3" t="n"/>
      <c r="J355" s="3">
        <f>IF(G355=0,0,IF(I355="",B355*H355/100,I355))</f>
        <v/>
      </c>
      <c r="K355" s="4" t="n"/>
      <c r="L355" s="5" t="n"/>
      <c r="M355" s="3" t="n"/>
      <c r="N355" s="3">
        <f>IF(K355=0,0,IF(M355="",B355*L355/100,M355))</f>
        <v/>
      </c>
      <c r="O355" s="4" t="n"/>
      <c r="P355" s="5" t="n"/>
      <c r="Q355" s="3" t="n"/>
      <c r="R355" s="3">
        <f>IF(O355=0,0,IF(Q355="",B355*P355/100,Q355))</f>
        <v/>
      </c>
      <c r="S355" s="4" t="n"/>
      <c r="T355" s="5" t="n"/>
      <c r="U355" s="3" t="n"/>
      <c r="V355" s="3">
        <f>IF(S355=0,0,IF(U355="",B355*T355/100,U355))</f>
        <v/>
      </c>
      <c r="W355" s="4" t="n"/>
      <c r="X355" s="5" t="n"/>
      <c r="Y355" s="3" t="n"/>
      <c r="Z355" s="3">
        <f>IF(W355=0,0,IF(Y355="",B355*X355/100,Y355))</f>
        <v/>
      </c>
      <c r="AA355" s="3" t="n"/>
      <c r="AB355" s="3" t="n"/>
      <c r="AC355" s="3">
        <f>B355*0.035</f>
        <v/>
      </c>
      <c r="AD355" s="3">
        <f>B355*0.065</f>
        <v/>
      </c>
      <c r="AE355" s="3">
        <f>SUM(B355,F355,J355,N355,R355,V355,Z355,AA355,AB355,AC355,AD355)</f>
        <v/>
      </c>
      <c r="AF355" s="3">
        <f>B355*0.055</f>
        <v/>
      </c>
      <c r="AG355" s="3">
        <f>B355*0.035</f>
        <v/>
      </c>
      <c r="AH355" s="3">
        <f>B355*0.165</f>
        <v/>
      </c>
      <c r="AI355" s="3">
        <f>MAX(0,AE355-AF355-AH355)</f>
        <v/>
      </c>
      <c r="AJ355" s="3">
        <f>IF(AI355&lt;=490,0,IF(AI355&lt;=600,(AI355-490)*0.05,IF(AI355&lt;=730,5.5+(AI355-600)*0.10,IF(AI355&lt;=3896.67,18.5+(AI355-730)*0.175,IF(AI355&lt;=19896.67,572.67+(AI355-3896.67)*0.25,IF(AI355&lt;=50416.67,4572.67+(AI355-19896.67)*0.30,13728.67+(AI355-50416.67)*0.35))))))</f>
        <v/>
      </c>
      <c r="AK355" s="3" t="n"/>
      <c r="AL355" s="3" t="n"/>
      <c r="AM355" s="3" t="n"/>
      <c r="AN355" s="3" t="n"/>
      <c r="AO355" s="3" t="n"/>
      <c r="AP355" s="3">
        <f>SUM(AF355,AJ355,AK355,AL355,AM355,AN355,AO355,AG355,AH355)</f>
        <v/>
      </c>
      <c r="AQ355" s="3">
        <f>AE355-AP355</f>
        <v/>
      </c>
      <c r="AR355" s="3" t="n"/>
      <c r="AS355" s="3" t="n"/>
      <c r="AT355" s="3">
        <f>AR355-AS355</f>
        <v/>
      </c>
    </row>
    <row r="356">
      <c r="A356" s="2" t="n"/>
      <c r="B356" s="3" t="n"/>
      <c r="C356" s="4" t="n"/>
      <c r="D356" s="5" t="n"/>
      <c r="E356" s="3" t="n"/>
      <c r="F356" s="3">
        <f>IF(C356=0,0,IF(E356="",B356*D356/100,E356))</f>
        <v/>
      </c>
      <c r="G356" s="4" t="n"/>
      <c r="H356" s="5" t="n"/>
      <c r="I356" s="3" t="n"/>
      <c r="J356" s="3">
        <f>IF(G356=0,0,IF(I356="",B356*H356/100,I356))</f>
        <v/>
      </c>
      <c r="K356" s="4" t="n"/>
      <c r="L356" s="5" t="n"/>
      <c r="M356" s="3" t="n"/>
      <c r="N356" s="3">
        <f>IF(K356=0,0,IF(M356="",B356*L356/100,M356))</f>
        <v/>
      </c>
      <c r="O356" s="4" t="n"/>
      <c r="P356" s="5" t="n"/>
      <c r="Q356" s="3" t="n"/>
      <c r="R356" s="3">
        <f>IF(O356=0,0,IF(Q356="",B356*P356/100,Q356))</f>
        <v/>
      </c>
      <c r="S356" s="4" t="n"/>
      <c r="T356" s="5" t="n"/>
      <c r="U356" s="3" t="n"/>
      <c r="V356" s="3">
        <f>IF(S356=0,0,IF(U356="",B356*T356/100,U356))</f>
        <v/>
      </c>
      <c r="W356" s="4" t="n"/>
      <c r="X356" s="5" t="n"/>
      <c r="Y356" s="3" t="n"/>
      <c r="Z356" s="3">
        <f>IF(W356=0,0,IF(Y356="",B356*X356/100,Y356))</f>
        <v/>
      </c>
      <c r="AA356" s="3" t="n"/>
      <c r="AB356" s="3" t="n"/>
      <c r="AC356" s="3">
        <f>B356*0.035</f>
        <v/>
      </c>
      <c r="AD356" s="3">
        <f>B356*0.065</f>
        <v/>
      </c>
      <c r="AE356" s="3">
        <f>SUM(B356,F356,J356,N356,R356,V356,Z356,AA356,AB356,AC356,AD356)</f>
        <v/>
      </c>
      <c r="AF356" s="3">
        <f>B356*0.055</f>
        <v/>
      </c>
      <c r="AG356" s="3">
        <f>B356*0.035</f>
        <v/>
      </c>
      <c r="AH356" s="3">
        <f>B356*0.165</f>
        <v/>
      </c>
      <c r="AI356" s="3">
        <f>MAX(0,AE356-AF356-AH356)</f>
        <v/>
      </c>
      <c r="AJ356" s="3">
        <f>IF(AI356&lt;=490,0,IF(AI356&lt;=600,(AI356-490)*0.05,IF(AI356&lt;=730,5.5+(AI356-600)*0.10,IF(AI356&lt;=3896.67,18.5+(AI356-730)*0.175,IF(AI356&lt;=19896.67,572.67+(AI356-3896.67)*0.25,IF(AI356&lt;=50416.67,4572.67+(AI356-19896.67)*0.30,13728.67+(AI356-50416.67)*0.35))))))</f>
        <v/>
      </c>
      <c r="AK356" s="3" t="n"/>
      <c r="AL356" s="3" t="n"/>
      <c r="AM356" s="3" t="n"/>
      <c r="AN356" s="3" t="n"/>
      <c r="AO356" s="3" t="n"/>
      <c r="AP356" s="3">
        <f>SUM(AF356,AJ356,AK356,AL356,AM356,AN356,AO356,AG356,AH356)</f>
        <v/>
      </c>
      <c r="AQ356" s="3">
        <f>AE356-AP356</f>
        <v/>
      </c>
      <c r="AR356" s="3" t="n"/>
      <c r="AS356" s="3" t="n"/>
      <c r="AT356" s="3">
        <f>AR356-AS356</f>
        <v/>
      </c>
    </row>
    <row r="357">
      <c r="A357" s="2" t="n"/>
      <c r="B357" s="3" t="n"/>
      <c r="C357" s="4" t="n"/>
      <c r="D357" s="5" t="n"/>
      <c r="E357" s="3" t="n"/>
      <c r="F357" s="3">
        <f>IF(C357=0,0,IF(E357="",B357*D357/100,E357))</f>
        <v/>
      </c>
      <c r="G357" s="4" t="n"/>
      <c r="H357" s="5" t="n"/>
      <c r="I357" s="3" t="n"/>
      <c r="J357" s="3">
        <f>IF(G357=0,0,IF(I357="",B357*H357/100,I357))</f>
        <v/>
      </c>
      <c r="K357" s="4" t="n"/>
      <c r="L357" s="5" t="n"/>
      <c r="M357" s="3" t="n"/>
      <c r="N357" s="3">
        <f>IF(K357=0,0,IF(M357="",B357*L357/100,M357))</f>
        <v/>
      </c>
      <c r="O357" s="4" t="n"/>
      <c r="P357" s="5" t="n"/>
      <c r="Q357" s="3" t="n"/>
      <c r="R357" s="3">
        <f>IF(O357=0,0,IF(Q357="",B357*P357/100,Q357))</f>
        <v/>
      </c>
      <c r="S357" s="4" t="n"/>
      <c r="T357" s="5" t="n"/>
      <c r="U357" s="3" t="n"/>
      <c r="V357" s="3">
        <f>IF(S357=0,0,IF(U357="",B357*T357/100,U357))</f>
        <v/>
      </c>
      <c r="W357" s="4" t="n"/>
      <c r="X357" s="5" t="n"/>
      <c r="Y357" s="3" t="n"/>
      <c r="Z357" s="3">
        <f>IF(W357=0,0,IF(Y357="",B357*X357/100,Y357))</f>
        <v/>
      </c>
      <c r="AA357" s="3" t="n"/>
      <c r="AB357" s="3" t="n"/>
      <c r="AC357" s="3">
        <f>B357*0.035</f>
        <v/>
      </c>
      <c r="AD357" s="3">
        <f>B357*0.065</f>
        <v/>
      </c>
      <c r="AE357" s="3">
        <f>SUM(B357,F357,J357,N357,R357,V357,Z357,AA357,AB357,AC357,AD357)</f>
        <v/>
      </c>
      <c r="AF357" s="3">
        <f>B357*0.055</f>
        <v/>
      </c>
      <c r="AG357" s="3">
        <f>B357*0.035</f>
        <v/>
      </c>
      <c r="AH357" s="3">
        <f>B357*0.165</f>
        <v/>
      </c>
      <c r="AI357" s="3">
        <f>MAX(0,AE357-AF357-AH357)</f>
        <v/>
      </c>
      <c r="AJ357" s="3">
        <f>IF(AI357&lt;=490,0,IF(AI357&lt;=600,(AI357-490)*0.05,IF(AI357&lt;=730,5.5+(AI357-600)*0.10,IF(AI357&lt;=3896.67,18.5+(AI357-730)*0.175,IF(AI357&lt;=19896.67,572.67+(AI357-3896.67)*0.25,IF(AI357&lt;=50416.67,4572.67+(AI357-19896.67)*0.30,13728.67+(AI357-50416.67)*0.35))))))</f>
        <v/>
      </c>
      <c r="AK357" s="3" t="n"/>
      <c r="AL357" s="3" t="n"/>
      <c r="AM357" s="3" t="n"/>
      <c r="AN357" s="3" t="n"/>
      <c r="AO357" s="3" t="n"/>
      <c r="AP357" s="3">
        <f>SUM(AF357,AJ357,AK357,AL357,AM357,AN357,AO357,AG357,AH357)</f>
        <v/>
      </c>
      <c r="AQ357" s="3">
        <f>AE357-AP357</f>
        <v/>
      </c>
      <c r="AR357" s="3" t="n"/>
      <c r="AS357" s="3" t="n"/>
      <c r="AT357" s="3">
        <f>AR357-AS357</f>
        <v/>
      </c>
    </row>
    <row r="358">
      <c r="A358" s="2" t="n"/>
      <c r="B358" s="3" t="n"/>
      <c r="C358" s="4" t="n"/>
      <c r="D358" s="5" t="n"/>
      <c r="E358" s="3" t="n"/>
      <c r="F358" s="3">
        <f>IF(C358=0,0,IF(E358="",B358*D358/100,E358))</f>
        <v/>
      </c>
      <c r="G358" s="4" t="n"/>
      <c r="H358" s="5" t="n"/>
      <c r="I358" s="3" t="n"/>
      <c r="J358" s="3">
        <f>IF(G358=0,0,IF(I358="",B358*H358/100,I358))</f>
        <v/>
      </c>
      <c r="K358" s="4" t="n"/>
      <c r="L358" s="5" t="n"/>
      <c r="M358" s="3" t="n"/>
      <c r="N358" s="3">
        <f>IF(K358=0,0,IF(M358="",B358*L358/100,M358))</f>
        <v/>
      </c>
      <c r="O358" s="4" t="n"/>
      <c r="P358" s="5" t="n"/>
      <c r="Q358" s="3" t="n"/>
      <c r="R358" s="3">
        <f>IF(O358=0,0,IF(Q358="",B358*P358/100,Q358))</f>
        <v/>
      </c>
      <c r="S358" s="4" t="n"/>
      <c r="T358" s="5" t="n"/>
      <c r="U358" s="3" t="n"/>
      <c r="V358" s="3">
        <f>IF(S358=0,0,IF(U358="",B358*T358/100,U358))</f>
        <v/>
      </c>
      <c r="W358" s="4" t="n"/>
      <c r="X358" s="5" t="n"/>
      <c r="Y358" s="3" t="n"/>
      <c r="Z358" s="3">
        <f>IF(W358=0,0,IF(Y358="",B358*X358/100,Y358))</f>
        <v/>
      </c>
      <c r="AA358" s="3" t="n"/>
      <c r="AB358" s="3" t="n"/>
      <c r="AC358" s="3">
        <f>B358*0.035</f>
        <v/>
      </c>
      <c r="AD358" s="3">
        <f>B358*0.065</f>
        <v/>
      </c>
      <c r="AE358" s="3">
        <f>SUM(B358,F358,J358,N358,R358,V358,Z358,AA358,AB358,AC358,AD358)</f>
        <v/>
      </c>
      <c r="AF358" s="3">
        <f>B358*0.055</f>
        <v/>
      </c>
      <c r="AG358" s="3">
        <f>B358*0.035</f>
        <v/>
      </c>
      <c r="AH358" s="3">
        <f>B358*0.165</f>
        <v/>
      </c>
      <c r="AI358" s="3">
        <f>MAX(0,AE358-AF358-AH358)</f>
        <v/>
      </c>
      <c r="AJ358" s="3">
        <f>IF(AI358&lt;=490,0,IF(AI358&lt;=600,(AI358-490)*0.05,IF(AI358&lt;=730,5.5+(AI358-600)*0.10,IF(AI358&lt;=3896.67,18.5+(AI358-730)*0.175,IF(AI358&lt;=19896.67,572.67+(AI358-3896.67)*0.25,IF(AI358&lt;=50416.67,4572.67+(AI358-19896.67)*0.30,13728.67+(AI358-50416.67)*0.35))))))</f>
        <v/>
      </c>
      <c r="AK358" s="3" t="n"/>
      <c r="AL358" s="3" t="n"/>
      <c r="AM358" s="3" t="n"/>
      <c r="AN358" s="3" t="n"/>
      <c r="AO358" s="3" t="n"/>
      <c r="AP358" s="3">
        <f>SUM(AF358,AJ358,AK358,AL358,AM358,AN358,AO358,AG358,AH358)</f>
        <v/>
      </c>
      <c r="AQ358" s="3">
        <f>AE358-AP358</f>
        <v/>
      </c>
      <c r="AR358" s="3" t="n"/>
      <c r="AS358" s="3" t="n"/>
      <c r="AT358" s="3">
        <f>AR358-AS358</f>
        <v/>
      </c>
    </row>
    <row r="359">
      <c r="A359" s="2" t="n"/>
      <c r="B359" s="3" t="n"/>
      <c r="C359" s="4" t="n"/>
      <c r="D359" s="5" t="n"/>
      <c r="E359" s="3" t="n"/>
      <c r="F359" s="3">
        <f>IF(C359=0,0,IF(E359="",B359*D359/100,E359))</f>
        <v/>
      </c>
      <c r="G359" s="4" t="n"/>
      <c r="H359" s="5" t="n"/>
      <c r="I359" s="3" t="n"/>
      <c r="J359" s="3">
        <f>IF(G359=0,0,IF(I359="",B359*H359/100,I359))</f>
        <v/>
      </c>
      <c r="K359" s="4" t="n"/>
      <c r="L359" s="5" t="n"/>
      <c r="M359" s="3" t="n"/>
      <c r="N359" s="3">
        <f>IF(K359=0,0,IF(M359="",B359*L359/100,M359))</f>
        <v/>
      </c>
      <c r="O359" s="4" t="n"/>
      <c r="P359" s="5" t="n"/>
      <c r="Q359" s="3" t="n"/>
      <c r="R359" s="3">
        <f>IF(O359=0,0,IF(Q359="",B359*P359/100,Q359))</f>
        <v/>
      </c>
      <c r="S359" s="4" t="n"/>
      <c r="T359" s="5" t="n"/>
      <c r="U359" s="3" t="n"/>
      <c r="V359" s="3">
        <f>IF(S359=0,0,IF(U359="",B359*T359/100,U359))</f>
        <v/>
      </c>
      <c r="W359" s="4" t="n"/>
      <c r="X359" s="5" t="n"/>
      <c r="Y359" s="3" t="n"/>
      <c r="Z359" s="3">
        <f>IF(W359=0,0,IF(Y359="",B359*X359/100,Y359))</f>
        <v/>
      </c>
      <c r="AA359" s="3" t="n"/>
      <c r="AB359" s="3" t="n"/>
      <c r="AC359" s="3">
        <f>B359*0.035</f>
        <v/>
      </c>
      <c r="AD359" s="3">
        <f>B359*0.065</f>
        <v/>
      </c>
      <c r="AE359" s="3">
        <f>SUM(B359,F359,J359,N359,R359,V359,Z359,AA359,AB359,AC359,AD359)</f>
        <v/>
      </c>
      <c r="AF359" s="3">
        <f>B359*0.055</f>
        <v/>
      </c>
      <c r="AG359" s="3">
        <f>B359*0.035</f>
        <v/>
      </c>
      <c r="AH359" s="3">
        <f>B359*0.165</f>
        <v/>
      </c>
      <c r="AI359" s="3">
        <f>MAX(0,AE359-AF359-AH359)</f>
        <v/>
      </c>
      <c r="AJ359" s="3">
        <f>IF(AI359&lt;=490,0,IF(AI359&lt;=600,(AI359-490)*0.05,IF(AI359&lt;=730,5.5+(AI359-600)*0.10,IF(AI359&lt;=3896.67,18.5+(AI359-730)*0.175,IF(AI359&lt;=19896.67,572.67+(AI359-3896.67)*0.25,IF(AI359&lt;=50416.67,4572.67+(AI359-19896.67)*0.30,13728.67+(AI359-50416.67)*0.35))))))</f>
        <v/>
      </c>
      <c r="AK359" s="3" t="n"/>
      <c r="AL359" s="3" t="n"/>
      <c r="AM359" s="3" t="n"/>
      <c r="AN359" s="3" t="n"/>
      <c r="AO359" s="3" t="n"/>
      <c r="AP359" s="3">
        <f>SUM(AF359,AJ359,AK359,AL359,AM359,AN359,AO359,AG359,AH359)</f>
        <v/>
      </c>
      <c r="AQ359" s="3">
        <f>AE359-AP359</f>
        <v/>
      </c>
      <c r="AR359" s="3" t="n"/>
      <c r="AS359" s="3" t="n"/>
      <c r="AT359" s="3">
        <f>AR359-AS359</f>
        <v/>
      </c>
    </row>
    <row r="360">
      <c r="A360" s="2" t="n"/>
      <c r="B360" s="3" t="n"/>
      <c r="C360" s="4" t="n"/>
      <c r="D360" s="5" t="n"/>
      <c r="E360" s="3" t="n"/>
      <c r="F360" s="3">
        <f>IF(C360=0,0,IF(E360="",B360*D360/100,E360))</f>
        <v/>
      </c>
      <c r="G360" s="4" t="n"/>
      <c r="H360" s="5" t="n"/>
      <c r="I360" s="3" t="n"/>
      <c r="J360" s="3">
        <f>IF(G360=0,0,IF(I360="",B360*H360/100,I360))</f>
        <v/>
      </c>
      <c r="K360" s="4" t="n"/>
      <c r="L360" s="5" t="n"/>
      <c r="M360" s="3" t="n"/>
      <c r="N360" s="3">
        <f>IF(K360=0,0,IF(M360="",B360*L360/100,M360))</f>
        <v/>
      </c>
      <c r="O360" s="4" t="n"/>
      <c r="P360" s="5" t="n"/>
      <c r="Q360" s="3" t="n"/>
      <c r="R360" s="3">
        <f>IF(O360=0,0,IF(Q360="",B360*P360/100,Q360))</f>
        <v/>
      </c>
      <c r="S360" s="4" t="n"/>
      <c r="T360" s="5" t="n"/>
      <c r="U360" s="3" t="n"/>
      <c r="V360" s="3">
        <f>IF(S360=0,0,IF(U360="",B360*T360/100,U360))</f>
        <v/>
      </c>
      <c r="W360" s="4" t="n"/>
      <c r="X360" s="5" t="n"/>
      <c r="Y360" s="3" t="n"/>
      <c r="Z360" s="3">
        <f>IF(W360=0,0,IF(Y360="",B360*X360/100,Y360))</f>
        <v/>
      </c>
      <c r="AA360" s="3" t="n"/>
      <c r="AB360" s="3" t="n"/>
      <c r="AC360" s="3">
        <f>B360*0.035</f>
        <v/>
      </c>
      <c r="AD360" s="3">
        <f>B360*0.065</f>
        <v/>
      </c>
      <c r="AE360" s="3">
        <f>SUM(B360,F360,J360,N360,R360,V360,Z360,AA360,AB360,AC360,AD360)</f>
        <v/>
      </c>
      <c r="AF360" s="3">
        <f>B360*0.055</f>
        <v/>
      </c>
      <c r="AG360" s="3">
        <f>B360*0.035</f>
        <v/>
      </c>
      <c r="AH360" s="3">
        <f>B360*0.165</f>
        <v/>
      </c>
      <c r="AI360" s="3">
        <f>MAX(0,AE360-AF360-AH360)</f>
        <v/>
      </c>
      <c r="AJ360" s="3">
        <f>IF(AI360&lt;=490,0,IF(AI360&lt;=600,(AI360-490)*0.05,IF(AI360&lt;=730,5.5+(AI360-600)*0.10,IF(AI360&lt;=3896.67,18.5+(AI360-730)*0.175,IF(AI360&lt;=19896.67,572.67+(AI360-3896.67)*0.25,IF(AI360&lt;=50416.67,4572.67+(AI360-19896.67)*0.30,13728.67+(AI360-50416.67)*0.35))))))</f>
        <v/>
      </c>
      <c r="AK360" s="3" t="n"/>
      <c r="AL360" s="3" t="n"/>
      <c r="AM360" s="3" t="n"/>
      <c r="AN360" s="3" t="n"/>
      <c r="AO360" s="3" t="n"/>
      <c r="AP360" s="3">
        <f>SUM(AF360,AJ360,AK360,AL360,AM360,AN360,AO360,AG360,AH360)</f>
        <v/>
      </c>
      <c r="AQ360" s="3">
        <f>AE360-AP360</f>
        <v/>
      </c>
      <c r="AR360" s="3" t="n"/>
      <c r="AS360" s="3" t="n"/>
      <c r="AT360" s="3">
        <f>AR360-AS360</f>
        <v/>
      </c>
    </row>
    <row r="361">
      <c r="A361" s="2" t="n"/>
      <c r="B361" s="3" t="n"/>
      <c r="C361" s="4" t="n"/>
      <c r="D361" s="5" t="n"/>
      <c r="E361" s="3" t="n"/>
      <c r="F361" s="3">
        <f>IF(C361=0,0,IF(E361="",B361*D361/100,E361))</f>
        <v/>
      </c>
      <c r="G361" s="4" t="n"/>
      <c r="H361" s="5" t="n"/>
      <c r="I361" s="3" t="n"/>
      <c r="J361" s="3">
        <f>IF(G361=0,0,IF(I361="",B361*H361/100,I361))</f>
        <v/>
      </c>
      <c r="K361" s="4" t="n"/>
      <c r="L361" s="5" t="n"/>
      <c r="M361" s="3" t="n"/>
      <c r="N361" s="3">
        <f>IF(K361=0,0,IF(M361="",B361*L361/100,M361))</f>
        <v/>
      </c>
      <c r="O361" s="4" t="n"/>
      <c r="P361" s="5" t="n"/>
      <c r="Q361" s="3" t="n"/>
      <c r="R361" s="3">
        <f>IF(O361=0,0,IF(Q361="",B361*P361/100,Q361))</f>
        <v/>
      </c>
      <c r="S361" s="4" t="n"/>
      <c r="T361" s="5" t="n"/>
      <c r="U361" s="3" t="n"/>
      <c r="V361" s="3">
        <f>IF(S361=0,0,IF(U361="",B361*T361/100,U361))</f>
        <v/>
      </c>
      <c r="W361" s="4" t="n"/>
      <c r="X361" s="5" t="n"/>
      <c r="Y361" s="3" t="n"/>
      <c r="Z361" s="3">
        <f>IF(W361=0,0,IF(Y361="",B361*X361/100,Y361))</f>
        <v/>
      </c>
      <c r="AA361" s="3" t="n"/>
      <c r="AB361" s="3" t="n"/>
      <c r="AC361" s="3">
        <f>B361*0.035</f>
        <v/>
      </c>
      <c r="AD361" s="3">
        <f>B361*0.065</f>
        <v/>
      </c>
      <c r="AE361" s="3">
        <f>SUM(B361,F361,J361,N361,R361,V361,Z361,AA361,AB361,AC361,AD361)</f>
        <v/>
      </c>
      <c r="AF361" s="3">
        <f>B361*0.055</f>
        <v/>
      </c>
      <c r="AG361" s="3">
        <f>B361*0.035</f>
        <v/>
      </c>
      <c r="AH361" s="3">
        <f>B361*0.165</f>
        <v/>
      </c>
      <c r="AI361" s="3">
        <f>MAX(0,AE361-AF361-AH361)</f>
        <v/>
      </c>
      <c r="AJ361" s="3">
        <f>IF(AI361&lt;=490,0,IF(AI361&lt;=600,(AI361-490)*0.05,IF(AI361&lt;=730,5.5+(AI361-600)*0.10,IF(AI361&lt;=3896.67,18.5+(AI361-730)*0.175,IF(AI361&lt;=19896.67,572.67+(AI361-3896.67)*0.25,IF(AI361&lt;=50416.67,4572.67+(AI361-19896.67)*0.30,13728.67+(AI361-50416.67)*0.35))))))</f>
        <v/>
      </c>
      <c r="AK361" s="3" t="n"/>
      <c r="AL361" s="3" t="n"/>
      <c r="AM361" s="3" t="n"/>
      <c r="AN361" s="3" t="n"/>
      <c r="AO361" s="3" t="n"/>
      <c r="AP361" s="3">
        <f>SUM(AF361,AJ361,AK361,AL361,AM361,AN361,AO361,AG361,AH361)</f>
        <v/>
      </c>
      <c r="AQ361" s="3">
        <f>AE361-AP361</f>
        <v/>
      </c>
      <c r="AR361" s="3" t="n"/>
      <c r="AS361" s="3" t="n"/>
      <c r="AT361" s="3">
        <f>AR361-AS361</f>
        <v/>
      </c>
    </row>
    <row r="362">
      <c r="A362" s="2" t="n"/>
      <c r="B362" s="3" t="n"/>
      <c r="C362" s="4" t="n"/>
      <c r="D362" s="5" t="n"/>
      <c r="E362" s="3" t="n"/>
      <c r="F362" s="3">
        <f>IF(C362=0,0,IF(E362="",B362*D362/100,E362))</f>
        <v/>
      </c>
      <c r="G362" s="4" t="n"/>
      <c r="H362" s="5" t="n"/>
      <c r="I362" s="3" t="n"/>
      <c r="J362" s="3">
        <f>IF(G362=0,0,IF(I362="",B362*H362/100,I362))</f>
        <v/>
      </c>
      <c r="K362" s="4" t="n"/>
      <c r="L362" s="5" t="n"/>
      <c r="M362" s="3" t="n"/>
      <c r="N362" s="3">
        <f>IF(K362=0,0,IF(M362="",B362*L362/100,M362))</f>
        <v/>
      </c>
      <c r="O362" s="4" t="n"/>
      <c r="P362" s="5" t="n"/>
      <c r="Q362" s="3" t="n"/>
      <c r="R362" s="3">
        <f>IF(O362=0,0,IF(Q362="",B362*P362/100,Q362))</f>
        <v/>
      </c>
      <c r="S362" s="4" t="n"/>
      <c r="T362" s="5" t="n"/>
      <c r="U362" s="3" t="n"/>
      <c r="V362" s="3">
        <f>IF(S362=0,0,IF(U362="",B362*T362/100,U362))</f>
        <v/>
      </c>
      <c r="W362" s="4" t="n"/>
      <c r="X362" s="5" t="n"/>
      <c r="Y362" s="3" t="n"/>
      <c r="Z362" s="3">
        <f>IF(W362=0,0,IF(Y362="",B362*X362/100,Y362))</f>
        <v/>
      </c>
      <c r="AA362" s="3" t="n"/>
      <c r="AB362" s="3" t="n"/>
      <c r="AC362" s="3">
        <f>B362*0.035</f>
        <v/>
      </c>
      <c r="AD362" s="3">
        <f>B362*0.065</f>
        <v/>
      </c>
      <c r="AE362" s="3">
        <f>SUM(B362,F362,J362,N362,R362,V362,Z362,AA362,AB362,AC362,AD362)</f>
        <v/>
      </c>
      <c r="AF362" s="3">
        <f>B362*0.055</f>
        <v/>
      </c>
      <c r="AG362" s="3">
        <f>B362*0.035</f>
        <v/>
      </c>
      <c r="AH362" s="3">
        <f>B362*0.165</f>
        <v/>
      </c>
      <c r="AI362" s="3">
        <f>MAX(0,AE362-AF362-AH362)</f>
        <v/>
      </c>
      <c r="AJ362" s="3">
        <f>IF(AI362&lt;=490,0,IF(AI362&lt;=600,(AI362-490)*0.05,IF(AI362&lt;=730,5.5+(AI362-600)*0.10,IF(AI362&lt;=3896.67,18.5+(AI362-730)*0.175,IF(AI362&lt;=19896.67,572.67+(AI362-3896.67)*0.25,IF(AI362&lt;=50416.67,4572.67+(AI362-19896.67)*0.30,13728.67+(AI362-50416.67)*0.35))))))</f>
        <v/>
      </c>
      <c r="AK362" s="3" t="n"/>
      <c r="AL362" s="3" t="n"/>
      <c r="AM362" s="3" t="n"/>
      <c r="AN362" s="3" t="n"/>
      <c r="AO362" s="3" t="n"/>
      <c r="AP362" s="3">
        <f>SUM(AF362,AJ362,AK362,AL362,AM362,AN362,AO362,AG362,AH362)</f>
        <v/>
      </c>
      <c r="AQ362" s="3">
        <f>AE362-AP362</f>
        <v/>
      </c>
      <c r="AR362" s="3" t="n"/>
      <c r="AS362" s="3" t="n"/>
      <c r="AT362" s="3">
        <f>AR362-AS362</f>
        <v/>
      </c>
    </row>
    <row r="363">
      <c r="A363" s="2" t="n"/>
      <c r="B363" s="3" t="n"/>
      <c r="C363" s="4" t="n"/>
      <c r="D363" s="5" t="n"/>
      <c r="E363" s="3" t="n"/>
      <c r="F363" s="3">
        <f>IF(C363=0,0,IF(E363="",B363*D363/100,E363))</f>
        <v/>
      </c>
      <c r="G363" s="4" t="n"/>
      <c r="H363" s="5" t="n"/>
      <c r="I363" s="3" t="n"/>
      <c r="J363" s="3">
        <f>IF(G363=0,0,IF(I363="",B363*H363/100,I363))</f>
        <v/>
      </c>
      <c r="K363" s="4" t="n"/>
      <c r="L363" s="5" t="n"/>
      <c r="M363" s="3" t="n"/>
      <c r="N363" s="3">
        <f>IF(K363=0,0,IF(M363="",B363*L363/100,M363))</f>
        <v/>
      </c>
      <c r="O363" s="4" t="n"/>
      <c r="P363" s="5" t="n"/>
      <c r="Q363" s="3" t="n"/>
      <c r="R363" s="3">
        <f>IF(O363=0,0,IF(Q363="",B363*P363/100,Q363))</f>
        <v/>
      </c>
      <c r="S363" s="4" t="n"/>
      <c r="T363" s="5" t="n"/>
      <c r="U363" s="3" t="n"/>
      <c r="V363" s="3">
        <f>IF(S363=0,0,IF(U363="",B363*T363/100,U363))</f>
        <v/>
      </c>
      <c r="W363" s="4" t="n"/>
      <c r="X363" s="5" t="n"/>
      <c r="Y363" s="3" t="n"/>
      <c r="Z363" s="3">
        <f>IF(W363=0,0,IF(Y363="",B363*X363/100,Y363))</f>
        <v/>
      </c>
      <c r="AA363" s="3" t="n"/>
      <c r="AB363" s="3" t="n"/>
      <c r="AC363" s="3">
        <f>B363*0.035</f>
        <v/>
      </c>
      <c r="AD363" s="3">
        <f>B363*0.065</f>
        <v/>
      </c>
      <c r="AE363" s="3">
        <f>SUM(B363,F363,J363,N363,R363,V363,Z363,AA363,AB363,AC363,AD363)</f>
        <v/>
      </c>
      <c r="AF363" s="3">
        <f>B363*0.055</f>
        <v/>
      </c>
      <c r="AG363" s="3">
        <f>B363*0.035</f>
        <v/>
      </c>
      <c r="AH363" s="3">
        <f>B363*0.165</f>
        <v/>
      </c>
      <c r="AI363" s="3">
        <f>MAX(0,AE363-AF363-AH363)</f>
        <v/>
      </c>
      <c r="AJ363" s="3">
        <f>IF(AI363&lt;=490,0,IF(AI363&lt;=600,(AI363-490)*0.05,IF(AI363&lt;=730,5.5+(AI363-600)*0.10,IF(AI363&lt;=3896.67,18.5+(AI363-730)*0.175,IF(AI363&lt;=19896.67,572.67+(AI363-3896.67)*0.25,IF(AI363&lt;=50416.67,4572.67+(AI363-19896.67)*0.30,13728.67+(AI363-50416.67)*0.35))))))</f>
        <v/>
      </c>
      <c r="AK363" s="3" t="n"/>
      <c r="AL363" s="3" t="n"/>
      <c r="AM363" s="3" t="n"/>
      <c r="AN363" s="3" t="n"/>
      <c r="AO363" s="3" t="n"/>
      <c r="AP363" s="3">
        <f>SUM(AF363,AJ363,AK363,AL363,AM363,AN363,AO363,AG363,AH363)</f>
        <v/>
      </c>
      <c r="AQ363" s="3">
        <f>AE363-AP363</f>
        <v/>
      </c>
      <c r="AR363" s="3" t="n"/>
      <c r="AS363" s="3" t="n"/>
      <c r="AT363" s="3">
        <f>AR363-AS363</f>
        <v/>
      </c>
    </row>
    <row r="364">
      <c r="A364" s="2" t="n"/>
      <c r="B364" s="3" t="n"/>
      <c r="C364" s="4" t="n"/>
      <c r="D364" s="5" t="n"/>
      <c r="E364" s="3" t="n"/>
      <c r="F364" s="3">
        <f>IF(C364=0,0,IF(E364="",B364*D364/100,E364))</f>
        <v/>
      </c>
      <c r="G364" s="4" t="n"/>
      <c r="H364" s="5" t="n"/>
      <c r="I364" s="3" t="n"/>
      <c r="J364" s="3">
        <f>IF(G364=0,0,IF(I364="",B364*H364/100,I364))</f>
        <v/>
      </c>
      <c r="K364" s="4" t="n"/>
      <c r="L364" s="5" t="n"/>
      <c r="M364" s="3" t="n"/>
      <c r="N364" s="3">
        <f>IF(K364=0,0,IF(M364="",B364*L364/100,M364))</f>
        <v/>
      </c>
      <c r="O364" s="4" t="n"/>
      <c r="P364" s="5" t="n"/>
      <c r="Q364" s="3" t="n"/>
      <c r="R364" s="3">
        <f>IF(O364=0,0,IF(Q364="",B364*P364/100,Q364))</f>
        <v/>
      </c>
      <c r="S364" s="4" t="n"/>
      <c r="T364" s="5" t="n"/>
      <c r="U364" s="3" t="n"/>
      <c r="V364" s="3">
        <f>IF(S364=0,0,IF(U364="",B364*T364/100,U364))</f>
        <v/>
      </c>
      <c r="W364" s="4" t="n"/>
      <c r="X364" s="5" t="n"/>
      <c r="Y364" s="3" t="n"/>
      <c r="Z364" s="3">
        <f>IF(W364=0,0,IF(Y364="",B364*X364/100,Y364))</f>
        <v/>
      </c>
      <c r="AA364" s="3" t="n"/>
      <c r="AB364" s="3" t="n"/>
      <c r="AC364" s="3">
        <f>B364*0.035</f>
        <v/>
      </c>
      <c r="AD364" s="3">
        <f>B364*0.065</f>
        <v/>
      </c>
      <c r="AE364" s="3">
        <f>SUM(B364,F364,J364,N364,R364,V364,Z364,AA364,AB364,AC364,AD364)</f>
        <v/>
      </c>
      <c r="AF364" s="3">
        <f>B364*0.055</f>
        <v/>
      </c>
      <c r="AG364" s="3">
        <f>B364*0.035</f>
        <v/>
      </c>
      <c r="AH364" s="3">
        <f>B364*0.165</f>
        <v/>
      </c>
      <c r="AI364" s="3">
        <f>MAX(0,AE364-AF364-AH364)</f>
        <v/>
      </c>
      <c r="AJ364" s="3">
        <f>IF(AI364&lt;=490,0,IF(AI364&lt;=600,(AI364-490)*0.05,IF(AI364&lt;=730,5.5+(AI364-600)*0.10,IF(AI364&lt;=3896.67,18.5+(AI364-730)*0.175,IF(AI364&lt;=19896.67,572.67+(AI364-3896.67)*0.25,IF(AI364&lt;=50416.67,4572.67+(AI364-19896.67)*0.30,13728.67+(AI364-50416.67)*0.35))))))</f>
        <v/>
      </c>
      <c r="AK364" s="3" t="n"/>
      <c r="AL364" s="3" t="n"/>
      <c r="AM364" s="3" t="n"/>
      <c r="AN364" s="3" t="n"/>
      <c r="AO364" s="3" t="n"/>
      <c r="AP364" s="3">
        <f>SUM(AF364,AJ364,AK364,AL364,AM364,AN364,AO364,AG364,AH364)</f>
        <v/>
      </c>
      <c r="AQ364" s="3">
        <f>AE364-AP364</f>
        <v/>
      </c>
      <c r="AR364" s="3" t="n"/>
      <c r="AS364" s="3" t="n"/>
      <c r="AT364" s="3">
        <f>AR364-AS364</f>
        <v/>
      </c>
    </row>
    <row r="365">
      <c r="A365" s="2" t="n"/>
      <c r="B365" s="3" t="n"/>
      <c r="C365" s="4" t="n"/>
      <c r="D365" s="5" t="n"/>
      <c r="E365" s="3" t="n"/>
      <c r="F365" s="3">
        <f>IF(C365=0,0,IF(E365="",B365*D365/100,E365))</f>
        <v/>
      </c>
      <c r="G365" s="4" t="n"/>
      <c r="H365" s="5" t="n"/>
      <c r="I365" s="3" t="n"/>
      <c r="J365" s="3">
        <f>IF(G365=0,0,IF(I365="",B365*H365/100,I365))</f>
        <v/>
      </c>
      <c r="K365" s="4" t="n"/>
      <c r="L365" s="5" t="n"/>
      <c r="M365" s="3" t="n"/>
      <c r="N365" s="3">
        <f>IF(K365=0,0,IF(M365="",B365*L365/100,M365))</f>
        <v/>
      </c>
      <c r="O365" s="4" t="n"/>
      <c r="P365" s="5" t="n"/>
      <c r="Q365" s="3" t="n"/>
      <c r="R365" s="3">
        <f>IF(O365=0,0,IF(Q365="",B365*P365/100,Q365))</f>
        <v/>
      </c>
      <c r="S365" s="4" t="n"/>
      <c r="T365" s="5" t="n"/>
      <c r="U365" s="3" t="n"/>
      <c r="V365" s="3">
        <f>IF(S365=0,0,IF(U365="",B365*T365/100,U365))</f>
        <v/>
      </c>
      <c r="W365" s="4" t="n"/>
      <c r="X365" s="5" t="n"/>
      <c r="Y365" s="3" t="n"/>
      <c r="Z365" s="3">
        <f>IF(W365=0,0,IF(Y365="",B365*X365/100,Y365))</f>
        <v/>
      </c>
      <c r="AA365" s="3" t="n"/>
      <c r="AB365" s="3" t="n"/>
      <c r="AC365" s="3">
        <f>B365*0.035</f>
        <v/>
      </c>
      <c r="AD365" s="3">
        <f>B365*0.065</f>
        <v/>
      </c>
      <c r="AE365" s="3">
        <f>SUM(B365,F365,J365,N365,R365,V365,Z365,AA365,AB365,AC365,AD365)</f>
        <v/>
      </c>
      <c r="AF365" s="3">
        <f>B365*0.055</f>
        <v/>
      </c>
      <c r="AG365" s="3">
        <f>B365*0.035</f>
        <v/>
      </c>
      <c r="AH365" s="3">
        <f>B365*0.165</f>
        <v/>
      </c>
      <c r="AI365" s="3">
        <f>MAX(0,AE365-AF365-AH365)</f>
        <v/>
      </c>
      <c r="AJ365" s="3">
        <f>IF(AI365&lt;=490,0,IF(AI365&lt;=600,(AI365-490)*0.05,IF(AI365&lt;=730,5.5+(AI365-600)*0.10,IF(AI365&lt;=3896.67,18.5+(AI365-730)*0.175,IF(AI365&lt;=19896.67,572.67+(AI365-3896.67)*0.25,IF(AI365&lt;=50416.67,4572.67+(AI365-19896.67)*0.30,13728.67+(AI365-50416.67)*0.35))))))</f>
        <v/>
      </c>
      <c r="AK365" s="3" t="n"/>
      <c r="AL365" s="3" t="n"/>
      <c r="AM365" s="3" t="n"/>
      <c r="AN365" s="3" t="n"/>
      <c r="AO365" s="3" t="n"/>
      <c r="AP365" s="3">
        <f>SUM(AF365,AJ365,AK365,AL365,AM365,AN365,AO365,AG365,AH365)</f>
        <v/>
      </c>
      <c r="AQ365" s="3">
        <f>AE365-AP365</f>
        <v/>
      </c>
      <c r="AR365" s="3" t="n"/>
      <c r="AS365" s="3" t="n"/>
      <c r="AT365" s="3">
        <f>AR365-AS365</f>
        <v/>
      </c>
    </row>
    <row r="366">
      <c r="A366" s="2" t="n"/>
      <c r="B366" s="3" t="n"/>
      <c r="C366" s="4" t="n"/>
      <c r="D366" s="5" t="n"/>
      <c r="E366" s="3" t="n"/>
      <c r="F366" s="3">
        <f>IF(C366=0,0,IF(E366="",B366*D366/100,E366))</f>
        <v/>
      </c>
      <c r="G366" s="4" t="n"/>
      <c r="H366" s="5" t="n"/>
      <c r="I366" s="3" t="n"/>
      <c r="J366" s="3">
        <f>IF(G366=0,0,IF(I366="",B366*H366/100,I366))</f>
        <v/>
      </c>
      <c r="K366" s="4" t="n"/>
      <c r="L366" s="5" t="n"/>
      <c r="M366" s="3" t="n"/>
      <c r="N366" s="3">
        <f>IF(K366=0,0,IF(M366="",B366*L366/100,M366))</f>
        <v/>
      </c>
      <c r="O366" s="4" t="n"/>
      <c r="P366" s="5" t="n"/>
      <c r="Q366" s="3" t="n"/>
      <c r="R366" s="3">
        <f>IF(O366=0,0,IF(Q366="",B366*P366/100,Q366))</f>
        <v/>
      </c>
      <c r="S366" s="4" t="n"/>
      <c r="T366" s="5" t="n"/>
      <c r="U366" s="3" t="n"/>
      <c r="V366" s="3">
        <f>IF(S366=0,0,IF(U366="",B366*T366/100,U366))</f>
        <v/>
      </c>
      <c r="W366" s="4" t="n"/>
      <c r="X366" s="5" t="n"/>
      <c r="Y366" s="3" t="n"/>
      <c r="Z366" s="3">
        <f>IF(W366=0,0,IF(Y366="",B366*X366/100,Y366))</f>
        <v/>
      </c>
      <c r="AA366" s="3" t="n"/>
      <c r="AB366" s="3" t="n"/>
      <c r="AC366" s="3">
        <f>B366*0.035</f>
        <v/>
      </c>
      <c r="AD366" s="3">
        <f>B366*0.065</f>
        <v/>
      </c>
      <c r="AE366" s="3">
        <f>SUM(B366,F366,J366,N366,R366,V366,Z366,AA366,AB366,AC366,AD366)</f>
        <v/>
      </c>
      <c r="AF366" s="3">
        <f>B366*0.055</f>
        <v/>
      </c>
      <c r="AG366" s="3">
        <f>B366*0.035</f>
        <v/>
      </c>
      <c r="AH366" s="3">
        <f>B366*0.165</f>
        <v/>
      </c>
      <c r="AI366" s="3">
        <f>MAX(0,AE366-AF366-AH366)</f>
        <v/>
      </c>
      <c r="AJ366" s="3">
        <f>IF(AI366&lt;=490,0,IF(AI366&lt;=600,(AI366-490)*0.05,IF(AI366&lt;=730,5.5+(AI366-600)*0.10,IF(AI366&lt;=3896.67,18.5+(AI366-730)*0.175,IF(AI366&lt;=19896.67,572.67+(AI366-3896.67)*0.25,IF(AI366&lt;=50416.67,4572.67+(AI366-19896.67)*0.30,13728.67+(AI366-50416.67)*0.35))))))</f>
        <v/>
      </c>
      <c r="AK366" s="3" t="n"/>
      <c r="AL366" s="3" t="n"/>
      <c r="AM366" s="3" t="n"/>
      <c r="AN366" s="3" t="n"/>
      <c r="AO366" s="3" t="n"/>
      <c r="AP366" s="3">
        <f>SUM(AF366,AJ366,AK366,AL366,AM366,AN366,AO366,AG366,AH366)</f>
        <v/>
      </c>
      <c r="AQ366" s="3">
        <f>AE366-AP366</f>
        <v/>
      </c>
      <c r="AR366" s="3" t="n"/>
      <c r="AS366" s="3" t="n"/>
      <c r="AT366" s="3">
        <f>AR366-AS366</f>
        <v/>
      </c>
    </row>
    <row r="367">
      <c r="A367" s="2" t="n"/>
      <c r="B367" s="3" t="n"/>
      <c r="C367" s="4" t="n"/>
      <c r="D367" s="5" t="n"/>
      <c r="E367" s="3" t="n"/>
      <c r="F367" s="3">
        <f>IF(C367=0,0,IF(E367="",B367*D367/100,E367))</f>
        <v/>
      </c>
      <c r="G367" s="4" t="n"/>
      <c r="H367" s="5" t="n"/>
      <c r="I367" s="3" t="n"/>
      <c r="J367" s="3">
        <f>IF(G367=0,0,IF(I367="",B367*H367/100,I367))</f>
        <v/>
      </c>
      <c r="K367" s="4" t="n"/>
      <c r="L367" s="5" t="n"/>
      <c r="M367" s="3" t="n"/>
      <c r="N367" s="3">
        <f>IF(K367=0,0,IF(M367="",B367*L367/100,M367))</f>
        <v/>
      </c>
      <c r="O367" s="4" t="n"/>
      <c r="P367" s="5" t="n"/>
      <c r="Q367" s="3" t="n"/>
      <c r="R367" s="3">
        <f>IF(O367=0,0,IF(Q367="",B367*P367/100,Q367))</f>
        <v/>
      </c>
      <c r="S367" s="4" t="n"/>
      <c r="T367" s="5" t="n"/>
      <c r="U367" s="3" t="n"/>
      <c r="V367" s="3">
        <f>IF(S367=0,0,IF(U367="",B367*T367/100,U367))</f>
        <v/>
      </c>
      <c r="W367" s="4" t="n"/>
      <c r="X367" s="5" t="n"/>
      <c r="Y367" s="3" t="n"/>
      <c r="Z367" s="3">
        <f>IF(W367=0,0,IF(Y367="",B367*X367/100,Y367))</f>
        <v/>
      </c>
      <c r="AA367" s="3" t="n"/>
      <c r="AB367" s="3" t="n"/>
      <c r="AC367" s="3">
        <f>B367*0.035</f>
        <v/>
      </c>
      <c r="AD367" s="3">
        <f>B367*0.065</f>
        <v/>
      </c>
      <c r="AE367" s="3">
        <f>SUM(B367,F367,J367,N367,R367,V367,Z367,AA367,AB367,AC367,AD367)</f>
        <v/>
      </c>
      <c r="AF367" s="3">
        <f>B367*0.055</f>
        <v/>
      </c>
      <c r="AG367" s="3">
        <f>B367*0.035</f>
        <v/>
      </c>
      <c r="AH367" s="3">
        <f>B367*0.165</f>
        <v/>
      </c>
      <c r="AI367" s="3">
        <f>MAX(0,AE367-AF367-AH367)</f>
        <v/>
      </c>
      <c r="AJ367" s="3">
        <f>IF(AI367&lt;=490,0,IF(AI367&lt;=600,(AI367-490)*0.05,IF(AI367&lt;=730,5.5+(AI367-600)*0.10,IF(AI367&lt;=3896.67,18.5+(AI367-730)*0.175,IF(AI367&lt;=19896.67,572.67+(AI367-3896.67)*0.25,IF(AI367&lt;=50416.67,4572.67+(AI367-19896.67)*0.30,13728.67+(AI367-50416.67)*0.35))))))</f>
        <v/>
      </c>
      <c r="AK367" s="3" t="n"/>
      <c r="AL367" s="3" t="n"/>
      <c r="AM367" s="3" t="n"/>
      <c r="AN367" s="3" t="n"/>
      <c r="AO367" s="3" t="n"/>
      <c r="AP367" s="3">
        <f>SUM(AF367,AJ367,AK367,AL367,AM367,AN367,AO367,AG367,AH367)</f>
        <v/>
      </c>
      <c r="AQ367" s="3">
        <f>AE367-AP367</f>
        <v/>
      </c>
      <c r="AR367" s="3" t="n"/>
      <c r="AS367" s="3" t="n"/>
      <c r="AT367" s="3">
        <f>AR367-AS367</f>
        <v/>
      </c>
    </row>
    <row r="368">
      <c r="A368" s="2" t="n"/>
      <c r="B368" s="3" t="n"/>
      <c r="C368" s="4" t="n"/>
      <c r="D368" s="5" t="n"/>
      <c r="E368" s="3" t="n"/>
      <c r="F368" s="3">
        <f>IF(C368=0,0,IF(E368="",B368*D368/100,E368))</f>
        <v/>
      </c>
      <c r="G368" s="4" t="n"/>
      <c r="H368" s="5" t="n"/>
      <c r="I368" s="3" t="n"/>
      <c r="J368" s="3">
        <f>IF(G368=0,0,IF(I368="",B368*H368/100,I368))</f>
        <v/>
      </c>
      <c r="K368" s="4" t="n"/>
      <c r="L368" s="5" t="n"/>
      <c r="M368" s="3" t="n"/>
      <c r="N368" s="3">
        <f>IF(K368=0,0,IF(M368="",B368*L368/100,M368))</f>
        <v/>
      </c>
      <c r="O368" s="4" t="n"/>
      <c r="P368" s="5" t="n"/>
      <c r="Q368" s="3" t="n"/>
      <c r="R368" s="3">
        <f>IF(O368=0,0,IF(Q368="",B368*P368/100,Q368))</f>
        <v/>
      </c>
      <c r="S368" s="4" t="n"/>
      <c r="T368" s="5" t="n"/>
      <c r="U368" s="3" t="n"/>
      <c r="V368" s="3">
        <f>IF(S368=0,0,IF(U368="",B368*T368/100,U368))</f>
        <v/>
      </c>
      <c r="W368" s="4" t="n"/>
      <c r="X368" s="5" t="n"/>
      <c r="Y368" s="3" t="n"/>
      <c r="Z368" s="3">
        <f>IF(W368=0,0,IF(Y368="",B368*X368/100,Y368))</f>
        <v/>
      </c>
      <c r="AA368" s="3" t="n"/>
      <c r="AB368" s="3" t="n"/>
      <c r="AC368" s="3">
        <f>B368*0.035</f>
        <v/>
      </c>
      <c r="AD368" s="3">
        <f>B368*0.065</f>
        <v/>
      </c>
      <c r="AE368" s="3">
        <f>SUM(B368,F368,J368,N368,R368,V368,Z368,AA368,AB368,AC368,AD368)</f>
        <v/>
      </c>
      <c r="AF368" s="3">
        <f>B368*0.055</f>
        <v/>
      </c>
      <c r="AG368" s="3">
        <f>B368*0.035</f>
        <v/>
      </c>
      <c r="AH368" s="3">
        <f>B368*0.165</f>
        <v/>
      </c>
      <c r="AI368" s="3">
        <f>MAX(0,AE368-AF368-AH368)</f>
        <v/>
      </c>
      <c r="AJ368" s="3">
        <f>IF(AI368&lt;=490,0,IF(AI368&lt;=600,(AI368-490)*0.05,IF(AI368&lt;=730,5.5+(AI368-600)*0.10,IF(AI368&lt;=3896.67,18.5+(AI368-730)*0.175,IF(AI368&lt;=19896.67,572.67+(AI368-3896.67)*0.25,IF(AI368&lt;=50416.67,4572.67+(AI368-19896.67)*0.30,13728.67+(AI368-50416.67)*0.35))))))</f>
        <v/>
      </c>
      <c r="AK368" s="3" t="n"/>
      <c r="AL368" s="3" t="n"/>
      <c r="AM368" s="3" t="n"/>
      <c r="AN368" s="3" t="n"/>
      <c r="AO368" s="3" t="n"/>
      <c r="AP368" s="3">
        <f>SUM(AF368,AJ368,AK368,AL368,AM368,AN368,AO368,AG368,AH368)</f>
        <v/>
      </c>
      <c r="AQ368" s="3">
        <f>AE368-AP368</f>
        <v/>
      </c>
      <c r="AR368" s="3" t="n"/>
      <c r="AS368" s="3" t="n"/>
      <c r="AT368" s="3">
        <f>AR368-AS368</f>
        <v/>
      </c>
    </row>
    <row r="369">
      <c r="A369" s="2" t="n"/>
      <c r="B369" s="3" t="n"/>
      <c r="C369" s="4" t="n"/>
      <c r="D369" s="5" t="n"/>
      <c r="E369" s="3" t="n"/>
      <c r="F369" s="3">
        <f>IF(C369=0,0,IF(E369="",B369*D369/100,E369))</f>
        <v/>
      </c>
      <c r="G369" s="4" t="n"/>
      <c r="H369" s="5" t="n"/>
      <c r="I369" s="3" t="n"/>
      <c r="J369" s="3">
        <f>IF(G369=0,0,IF(I369="",B369*H369/100,I369))</f>
        <v/>
      </c>
      <c r="K369" s="4" t="n"/>
      <c r="L369" s="5" t="n"/>
      <c r="M369" s="3" t="n"/>
      <c r="N369" s="3">
        <f>IF(K369=0,0,IF(M369="",B369*L369/100,M369))</f>
        <v/>
      </c>
      <c r="O369" s="4" t="n"/>
      <c r="P369" s="5" t="n"/>
      <c r="Q369" s="3" t="n"/>
      <c r="R369" s="3">
        <f>IF(O369=0,0,IF(Q369="",B369*P369/100,Q369))</f>
        <v/>
      </c>
      <c r="S369" s="4" t="n"/>
      <c r="T369" s="5" t="n"/>
      <c r="U369" s="3" t="n"/>
      <c r="V369" s="3">
        <f>IF(S369=0,0,IF(U369="",B369*T369/100,U369))</f>
        <v/>
      </c>
      <c r="W369" s="4" t="n"/>
      <c r="X369" s="5" t="n"/>
      <c r="Y369" s="3" t="n"/>
      <c r="Z369" s="3">
        <f>IF(W369=0,0,IF(Y369="",B369*X369/100,Y369))</f>
        <v/>
      </c>
      <c r="AA369" s="3" t="n"/>
      <c r="AB369" s="3" t="n"/>
      <c r="AC369" s="3">
        <f>B369*0.035</f>
        <v/>
      </c>
      <c r="AD369" s="3">
        <f>B369*0.065</f>
        <v/>
      </c>
      <c r="AE369" s="3">
        <f>SUM(B369,F369,J369,N369,R369,V369,Z369,AA369,AB369,AC369,AD369)</f>
        <v/>
      </c>
      <c r="AF369" s="3">
        <f>B369*0.055</f>
        <v/>
      </c>
      <c r="AG369" s="3">
        <f>B369*0.035</f>
        <v/>
      </c>
      <c r="AH369" s="3">
        <f>B369*0.165</f>
        <v/>
      </c>
      <c r="AI369" s="3">
        <f>MAX(0,AE369-AF369-AH369)</f>
        <v/>
      </c>
      <c r="AJ369" s="3">
        <f>IF(AI369&lt;=490,0,IF(AI369&lt;=600,(AI369-490)*0.05,IF(AI369&lt;=730,5.5+(AI369-600)*0.10,IF(AI369&lt;=3896.67,18.5+(AI369-730)*0.175,IF(AI369&lt;=19896.67,572.67+(AI369-3896.67)*0.25,IF(AI369&lt;=50416.67,4572.67+(AI369-19896.67)*0.30,13728.67+(AI369-50416.67)*0.35))))))</f>
        <v/>
      </c>
      <c r="AK369" s="3" t="n"/>
      <c r="AL369" s="3" t="n"/>
      <c r="AM369" s="3" t="n"/>
      <c r="AN369" s="3" t="n"/>
      <c r="AO369" s="3" t="n"/>
      <c r="AP369" s="3">
        <f>SUM(AF369,AJ369,AK369,AL369,AM369,AN369,AO369,AG369,AH369)</f>
        <v/>
      </c>
      <c r="AQ369" s="3">
        <f>AE369-AP369</f>
        <v/>
      </c>
      <c r="AR369" s="3" t="n"/>
      <c r="AS369" s="3" t="n"/>
      <c r="AT369" s="3">
        <f>AR369-AS369</f>
        <v/>
      </c>
    </row>
    <row r="370">
      <c r="A370" s="2" t="n"/>
      <c r="B370" s="3" t="n"/>
      <c r="C370" s="4" t="n"/>
      <c r="D370" s="5" t="n"/>
      <c r="E370" s="3" t="n"/>
      <c r="F370" s="3">
        <f>IF(C370=0,0,IF(E370="",B370*D370/100,E370))</f>
        <v/>
      </c>
      <c r="G370" s="4" t="n"/>
      <c r="H370" s="5" t="n"/>
      <c r="I370" s="3" t="n"/>
      <c r="J370" s="3">
        <f>IF(G370=0,0,IF(I370="",B370*H370/100,I370))</f>
        <v/>
      </c>
      <c r="K370" s="4" t="n"/>
      <c r="L370" s="5" t="n"/>
      <c r="M370" s="3" t="n"/>
      <c r="N370" s="3">
        <f>IF(K370=0,0,IF(M370="",B370*L370/100,M370))</f>
        <v/>
      </c>
      <c r="O370" s="4" t="n"/>
      <c r="P370" s="5" t="n"/>
      <c r="Q370" s="3" t="n"/>
      <c r="R370" s="3">
        <f>IF(O370=0,0,IF(Q370="",B370*P370/100,Q370))</f>
        <v/>
      </c>
      <c r="S370" s="4" t="n"/>
      <c r="T370" s="5" t="n"/>
      <c r="U370" s="3" t="n"/>
      <c r="V370" s="3">
        <f>IF(S370=0,0,IF(U370="",B370*T370/100,U370))</f>
        <v/>
      </c>
      <c r="W370" s="4" t="n"/>
      <c r="X370" s="5" t="n"/>
      <c r="Y370" s="3" t="n"/>
      <c r="Z370" s="3">
        <f>IF(W370=0,0,IF(Y370="",B370*X370/100,Y370))</f>
        <v/>
      </c>
      <c r="AA370" s="3" t="n"/>
      <c r="AB370" s="3" t="n"/>
      <c r="AC370" s="3">
        <f>B370*0.035</f>
        <v/>
      </c>
      <c r="AD370" s="3">
        <f>B370*0.065</f>
        <v/>
      </c>
      <c r="AE370" s="3">
        <f>SUM(B370,F370,J370,N370,R370,V370,Z370,AA370,AB370,AC370,AD370)</f>
        <v/>
      </c>
      <c r="AF370" s="3">
        <f>B370*0.055</f>
        <v/>
      </c>
      <c r="AG370" s="3">
        <f>B370*0.035</f>
        <v/>
      </c>
      <c r="AH370" s="3">
        <f>B370*0.165</f>
        <v/>
      </c>
      <c r="AI370" s="3">
        <f>MAX(0,AE370-AF370-AH370)</f>
        <v/>
      </c>
      <c r="AJ370" s="3">
        <f>IF(AI370&lt;=490,0,IF(AI370&lt;=600,(AI370-490)*0.05,IF(AI370&lt;=730,5.5+(AI370-600)*0.10,IF(AI370&lt;=3896.67,18.5+(AI370-730)*0.175,IF(AI370&lt;=19896.67,572.67+(AI370-3896.67)*0.25,IF(AI370&lt;=50416.67,4572.67+(AI370-19896.67)*0.30,13728.67+(AI370-50416.67)*0.35))))))</f>
        <v/>
      </c>
      <c r="AK370" s="3" t="n"/>
      <c r="AL370" s="3" t="n"/>
      <c r="AM370" s="3" t="n"/>
      <c r="AN370" s="3" t="n"/>
      <c r="AO370" s="3" t="n"/>
      <c r="AP370" s="3">
        <f>SUM(AF370,AJ370,AK370,AL370,AM370,AN370,AO370,AG370,AH370)</f>
        <v/>
      </c>
      <c r="AQ370" s="3">
        <f>AE370-AP370</f>
        <v/>
      </c>
      <c r="AR370" s="3" t="n"/>
      <c r="AS370" s="3" t="n"/>
      <c r="AT370" s="3">
        <f>AR370-AS370</f>
        <v/>
      </c>
    </row>
    <row r="371">
      <c r="A371" s="2" t="n"/>
      <c r="B371" s="3" t="n"/>
      <c r="C371" s="4" t="n"/>
      <c r="D371" s="5" t="n"/>
      <c r="E371" s="3" t="n"/>
      <c r="F371" s="3">
        <f>IF(C371=0,0,IF(E371="",B371*D371/100,E371))</f>
        <v/>
      </c>
      <c r="G371" s="4" t="n"/>
      <c r="H371" s="5" t="n"/>
      <c r="I371" s="3" t="n"/>
      <c r="J371" s="3">
        <f>IF(G371=0,0,IF(I371="",B371*H371/100,I371))</f>
        <v/>
      </c>
      <c r="K371" s="4" t="n"/>
      <c r="L371" s="5" t="n"/>
      <c r="M371" s="3" t="n"/>
      <c r="N371" s="3">
        <f>IF(K371=0,0,IF(M371="",B371*L371/100,M371))</f>
        <v/>
      </c>
      <c r="O371" s="4" t="n"/>
      <c r="P371" s="5" t="n"/>
      <c r="Q371" s="3" t="n"/>
      <c r="R371" s="3">
        <f>IF(O371=0,0,IF(Q371="",B371*P371/100,Q371))</f>
        <v/>
      </c>
      <c r="S371" s="4" t="n"/>
      <c r="T371" s="5" t="n"/>
      <c r="U371" s="3" t="n"/>
      <c r="V371" s="3">
        <f>IF(S371=0,0,IF(U371="",B371*T371/100,U371))</f>
        <v/>
      </c>
      <c r="W371" s="4" t="n"/>
      <c r="X371" s="5" t="n"/>
      <c r="Y371" s="3" t="n"/>
      <c r="Z371" s="3">
        <f>IF(W371=0,0,IF(Y371="",B371*X371/100,Y371))</f>
        <v/>
      </c>
      <c r="AA371" s="3" t="n"/>
      <c r="AB371" s="3" t="n"/>
      <c r="AC371" s="3">
        <f>B371*0.035</f>
        <v/>
      </c>
      <c r="AD371" s="3">
        <f>B371*0.065</f>
        <v/>
      </c>
      <c r="AE371" s="3">
        <f>SUM(B371,F371,J371,N371,R371,V371,Z371,AA371,AB371,AC371,AD371)</f>
        <v/>
      </c>
      <c r="AF371" s="3">
        <f>B371*0.055</f>
        <v/>
      </c>
      <c r="AG371" s="3">
        <f>B371*0.035</f>
        <v/>
      </c>
      <c r="AH371" s="3">
        <f>B371*0.165</f>
        <v/>
      </c>
      <c r="AI371" s="3">
        <f>MAX(0,AE371-AF371-AH371)</f>
        <v/>
      </c>
      <c r="AJ371" s="3">
        <f>IF(AI371&lt;=490,0,IF(AI371&lt;=600,(AI371-490)*0.05,IF(AI371&lt;=730,5.5+(AI371-600)*0.10,IF(AI371&lt;=3896.67,18.5+(AI371-730)*0.175,IF(AI371&lt;=19896.67,572.67+(AI371-3896.67)*0.25,IF(AI371&lt;=50416.67,4572.67+(AI371-19896.67)*0.30,13728.67+(AI371-50416.67)*0.35))))))</f>
        <v/>
      </c>
      <c r="AK371" s="3" t="n"/>
      <c r="AL371" s="3" t="n"/>
      <c r="AM371" s="3" t="n"/>
      <c r="AN371" s="3" t="n"/>
      <c r="AO371" s="3" t="n"/>
      <c r="AP371" s="3">
        <f>SUM(AF371,AJ371,AK371,AL371,AM371,AN371,AO371,AG371,AH371)</f>
        <v/>
      </c>
      <c r="AQ371" s="3">
        <f>AE371-AP371</f>
        <v/>
      </c>
      <c r="AR371" s="3" t="n"/>
      <c r="AS371" s="3" t="n"/>
      <c r="AT371" s="3">
        <f>AR371-AS371</f>
        <v/>
      </c>
    </row>
    <row r="372">
      <c r="A372" s="2" t="n"/>
      <c r="B372" s="3" t="n"/>
      <c r="C372" s="4" t="n"/>
      <c r="D372" s="5" t="n"/>
      <c r="E372" s="3" t="n"/>
      <c r="F372" s="3">
        <f>IF(C372=0,0,IF(E372="",B372*D372/100,E372))</f>
        <v/>
      </c>
      <c r="G372" s="4" t="n"/>
      <c r="H372" s="5" t="n"/>
      <c r="I372" s="3" t="n"/>
      <c r="J372" s="3">
        <f>IF(G372=0,0,IF(I372="",B372*H372/100,I372))</f>
        <v/>
      </c>
      <c r="K372" s="4" t="n"/>
      <c r="L372" s="5" t="n"/>
      <c r="M372" s="3" t="n"/>
      <c r="N372" s="3">
        <f>IF(K372=0,0,IF(M372="",B372*L372/100,M372))</f>
        <v/>
      </c>
      <c r="O372" s="4" t="n"/>
      <c r="P372" s="5" t="n"/>
      <c r="Q372" s="3" t="n"/>
      <c r="R372" s="3">
        <f>IF(O372=0,0,IF(Q372="",B372*P372/100,Q372))</f>
        <v/>
      </c>
      <c r="S372" s="4" t="n"/>
      <c r="T372" s="5" t="n"/>
      <c r="U372" s="3" t="n"/>
      <c r="V372" s="3">
        <f>IF(S372=0,0,IF(U372="",B372*T372/100,U372))</f>
        <v/>
      </c>
      <c r="W372" s="4" t="n"/>
      <c r="X372" s="5" t="n"/>
      <c r="Y372" s="3" t="n"/>
      <c r="Z372" s="3">
        <f>IF(W372=0,0,IF(Y372="",B372*X372/100,Y372))</f>
        <v/>
      </c>
      <c r="AA372" s="3" t="n"/>
      <c r="AB372" s="3" t="n"/>
      <c r="AC372" s="3">
        <f>B372*0.035</f>
        <v/>
      </c>
      <c r="AD372" s="3">
        <f>B372*0.065</f>
        <v/>
      </c>
      <c r="AE372" s="3">
        <f>SUM(B372,F372,J372,N372,R372,V372,Z372,AA372,AB372,AC372,AD372)</f>
        <v/>
      </c>
      <c r="AF372" s="3">
        <f>B372*0.055</f>
        <v/>
      </c>
      <c r="AG372" s="3">
        <f>B372*0.035</f>
        <v/>
      </c>
      <c r="AH372" s="3">
        <f>B372*0.165</f>
        <v/>
      </c>
      <c r="AI372" s="3">
        <f>MAX(0,AE372-AF372-AH372)</f>
        <v/>
      </c>
      <c r="AJ372" s="3">
        <f>IF(AI372&lt;=490,0,IF(AI372&lt;=600,(AI372-490)*0.05,IF(AI372&lt;=730,5.5+(AI372-600)*0.10,IF(AI372&lt;=3896.67,18.5+(AI372-730)*0.175,IF(AI372&lt;=19896.67,572.67+(AI372-3896.67)*0.25,IF(AI372&lt;=50416.67,4572.67+(AI372-19896.67)*0.30,13728.67+(AI372-50416.67)*0.35))))))</f>
        <v/>
      </c>
      <c r="AK372" s="3" t="n"/>
      <c r="AL372" s="3" t="n"/>
      <c r="AM372" s="3" t="n"/>
      <c r="AN372" s="3" t="n"/>
      <c r="AO372" s="3" t="n"/>
      <c r="AP372" s="3">
        <f>SUM(AF372,AJ372,AK372,AL372,AM372,AN372,AO372,AG372,AH372)</f>
        <v/>
      </c>
      <c r="AQ372" s="3">
        <f>AE372-AP372</f>
        <v/>
      </c>
      <c r="AR372" s="3" t="n"/>
      <c r="AS372" s="3" t="n"/>
      <c r="AT372" s="3">
        <f>AR372-AS372</f>
        <v/>
      </c>
    </row>
    <row r="373">
      <c r="A373" s="2" t="n"/>
      <c r="B373" s="3" t="n"/>
      <c r="C373" s="4" t="n"/>
      <c r="D373" s="5" t="n"/>
      <c r="E373" s="3" t="n"/>
      <c r="F373" s="3">
        <f>IF(C373=0,0,IF(E373="",B373*D373/100,E373))</f>
        <v/>
      </c>
      <c r="G373" s="4" t="n"/>
      <c r="H373" s="5" t="n"/>
      <c r="I373" s="3" t="n"/>
      <c r="J373" s="3">
        <f>IF(G373=0,0,IF(I373="",B373*H373/100,I373))</f>
        <v/>
      </c>
      <c r="K373" s="4" t="n"/>
      <c r="L373" s="5" t="n"/>
      <c r="M373" s="3" t="n"/>
      <c r="N373" s="3">
        <f>IF(K373=0,0,IF(M373="",B373*L373/100,M373))</f>
        <v/>
      </c>
      <c r="O373" s="4" t="n"/>
      <c r="P373" s="5" t="n"/>
      <c r="Q373" s="3" t="n"/>
      <c r="R373" s="3">
        <f>IF(O373=0,0,IF(Q373="",B373*P373/100,Q373))</f>
        <v/>
      </c>
      <c r="S373" s="4" t="n"/>
      <c r="T373" s="5" t="n"/>
      <c r="U373" s="3" t="n"/>
      <c r="V373" s="3">
        <f>IF(S373=0,0,IF(U373="",B373*T373/100,U373))</f>
        <v/>
      </c>
      <c r="W373" s="4" t="n"/>
      <c r="X373" s="5" t="n"/>
      <c r="Y373" s="3" t="n"/>
      <c r="Z373" s="3">
        <f>IF(W373=0,0,IF(Y373="",B373*X373/100,Y373))</f>
        <v/>
      </c>
      <c r="AA373" s="3" t="n"/>
      <c r="AB373" s="3" t="n"/>
      <c r="AC373" s="3">
        <f>B373*0.035</f>
        <v/>
      </c>
      <c r="AD373" s="3">
        <f>B373*0.065</f>
        <v/>
      </c>
      <c r="AE373" s="3">
        <f>SUM(B373,F373,J373,N373,R373,V373,Z373,AA373,AB373,AC373,AD373)</f>
        <v/>
      </c>
      <c r="AF373" s="3">
        <f>B373*0.055</f>
        <v/>
      </c>
      <c r="AG373" s="3">
        <f>B373*0.035</f>
        <v/>
      </c>
      <c r="AH373" s="3">
        <f>B373*0.165</f>
        <v/>
      </c>
      <c r="AI373" s="3">
        <f>MAX(0,AE373-AF373-AH373)</f>
        <v/>
      </c>
      <c r="AJ373" s="3">
        <f>IF(AI373&lt;=490,0,IF(AI373&lt;=600,(AI373-490)*0.05,IF(AI373&lt;=730,5.5+(AI373-600)*0.10,IF(AI373&lt;=3896.67,18.5+(AI373-730)*0.175,IF(AI373&lt;=19896.67,572.67+(AI373-3896.67)*0.25,IF(AI373&lt;=50416.67,4572.67+(AI373-19896.67)*0.30,13728.67+(AI373-50416.67)*0.35))))))</f>
        <v/>
      </c>
      <c r="AK373" s="3" t="n"/>
      <c r="AL373" s="3" t="n"/>
      <c r="AM373" s="3" t="n"/>
      <c r="AN373" s="3" t="n"/>
      <c r="AO373" s="3" t="n"/>
      <c r="AP373" s="3">
        <f>SUM(AF373,AJ373,AK373,AL373,AM373,AN373,AO373,AG373,AH373)</f>
        <v/>
      </c>
      <c r="AQ373" s="3">
        <f>AE373-AP373</f>
        <v/>
      </c>
      <c r="AR373" s="3" t="n"/>
      <c r="AS373" s="3" t="n"/>
      <c r="AT373" s="3">
        <f>AR373-AS373</f>
        <v/>
      </c>
    </row>
    <row r="374">
      <c r="A374" s="2" t="n"/>
      <c r="B374" s="3" t="n"/>
      <c r="C374" s="4" t="n"/>
      <c r="D374" s="5" t="n"/>
      <c r="E374" s="3" t="n"/>
      <c r="F374" s="3">
        <f>IF(C374=0,0,IF(E374="",B374*D374/100,E374))</f>
        <v/>
      </c>
      <c r="G374" s="4" t="n"/>
      <c r="H374" s="5" t="n"/>
      <c r="I374" s="3" t="n"/>
      <c r="J374" s="3">
        <f>IF(G374=0,0,IF(I374="",B374*H374/100,I374))</f>
        <v/>
      </c>
      <c r="K374" s="4" t="n"/>
      <c r="L374" s="5" t="n"/>
      <c r="M374" s="3" t="n"/>
      <c r="N374" s="3">
        <f>IF(K374=0,0,IF(M374="",B374*L374/100,M374))</f>
        <v/>
      </c>
      <c r="O374" s="4" t="n"/>
      <c r="P374" s="5" t="n"/>
      <c r="Q374" s="3" t="n"/>
      <c r="R374" s="3">
        <f>IF(O374=0,0,IF(Q374="",B374*P374/100,Q374))</f>
        <v/>
      </c>
      <c r="S374" s="4" t="n"/>
      <c r="T374" s="5" t="n"/>
      <c r="U374" s="3" t="n"/>
      <c r="V374" s="3">
        <f>IF(S374=0,0,IF(U374="",B374*T374/100,U374))</f>
        <v/>
      </c>
      <c r="W374" s="4" t="n"/>
      <c r="X374" s="5" t="n"/>
      <c r="Y374" s="3" t="n"/>
      <c r="Z374" s="3">
        <f>IF(W374=0,0,IF(Y374="",B374*X374/100,Y374))</f>
        <v/>
      </c>
      <c r="AA374" s="3" t="n"/>
      <c r="AB374" s="3" t="n"/>
      <c r="AC374" s="3">
        <f>B374*0.035</f>
        <v/>
      </c>
      <c r="AD374" s="3">
        <f>B374*0.065</f>
        <v/>
      </c>
      <c r="AE374" s="3">
        <f>SUM(B374,F374,J374,N374,R374,V374,Z374,AA374,AB374,AC374,AD374)</f>
        <v/>
      </c>
      <c r="AF374" s="3">
        <f>B374*0.055</f>
        <v/>
      </c>
      <c r="AG374" s="3">
        <f>B374*0.035</f>
        <v/>
      </c>
      <c r="AH374" s="3">
        <f>B374*0.165</f>
        <v/>
      </c>
      <c r="AI374" s="3">
        <f>MAX(0,AE374-AF374-AH374)</f>
        <v/>
      </c>
      <c r="AJ374" s="3">
        <f>IF(AI374&lt;=490,0,IF(AI374&lt;=600,(AI374-490)*0.05,IF(AI374&lt;=730,5.5+(AI374-600)*0.10,IF(AI374&lt;=3896.67,18.5+(AI374-730)*0.175,IF(AI374&lt;=19896.67,572.67+(AI374-3896.67)*0.25,IF(AI374&lt;=50416.67,4572.67+(AI374-19896.67)*0.30,13728.67+(AI374-50416.67)*0.35))))))</f>
        <v/>
      </c>
      <c r="AK374" s="3" t="n"/>
      <c r="AL374" s="3" t="n"/>
      <c r="AM374" s="3" t="n"/>
      <c r="AN374" s="3" t="n"/>
      <c r="AO374" s="3" t="n"/>
      <c r="AP374" s="3">
        <f>SUM(AF374,AJ374,AK374,AL374,AM374,AN374,AO374,AG374,AH374)</f>
        <v/>
      </c>
      <c r="AQ374" s="3">
        <f>AE374-AP374</f>
        <v/>
      </c>
      <c r="AR374" s="3" t="n"/>
      <c r="AS374" s="3" t="n"/>
      <c r="AT374" s="3">
        <f>AR374-AS374</f>
        <v/>
      </c>
    </row>
    <row r="375">
      <c r="A375" s="2" t="n"/>
      <c r="B375" s="3" t="n"/>
      <c r="C375" s="4" t="n"/>
      <c r="D375" s="5" t="n"/>
      <c r="E375" s="3" t="n"/>
      <c r="F375" s="3">
        <f>IF(C375=0,0,IF(E375="",B375*D375/100,E375))</f>
        <v/>
      </c>
      <c r="G375" s="4" t="n"/>
      <c r="H375" s="5" t="n"/>
      <c r="I375" s="3" t="n"/>
      <c r="J375" s="3">
        <f>IF(G375=0,0,IF(I375="",B375*H375/100,I375))</f>
        <v/>
      </c>
      <c r="K375" s="4" t="n"/>
      <c r="L375" s="5" t="n"/>
      <c r="M375" s="3" t="n"/>
      <c r="N375" s="3">
        <f>IF(K375=0,0,IF(M375="",B375*L375/100,M375))</f>
        <v/>
      </c>
      <c r="O375" s="4" t="n"/>
      <c r="P375" s="5" t="n"/>
      <c r="Q375" s="3" t="n"/>
      <c r="R375" s="3">
        <f>IF(O375=0,0,IF(Q375="",B375*P375/100,Q375))</f>
        <v/>
      </c>
      <c r="S375" s="4" t="n"/>
      <c r="T375" s="5" t="n"/>
      <c r="U375" s="3" t="n"/>
      <c r="V375" s="3">
        <f>IF(S375=0,0,IF(U375="",B375*T375/100,U375))</f>
        <v/>
      </c>
      <c r="W375" s="4" t="n"/>
      <c r="X375" s="5" t="n"/>
      <c r="Y375" s="3" t="n"/>
      <c r="Z375" s="3">
        <f>IF(W375=0,0,IF(Y375="",B375*X375/100,Y375))</f>
        <v/>
      </c>
      <c r="AA375" s="3" t="n"/>
      <c r="AB375" s="3" t="n"/>
      <c r="AC375" s="3">
        <f>B375*0.035</f>
        <v/>
      </c>
      <c r="AD375" s="3">
        <f>B375*0.065</f>
        <v/>
      </c>
      <c r="AE375" s="3">
        <f>SUM(B375,F375,J375,N375,R375,V375,Z375,AA375,AB375,AC375,AD375)</f>
        <v/>
      </c>
      <c r="AF375" s="3">
        <f>B375*0.055</f>
        <v/>
      </c>
      <c r="AG375" s="3">
        <f>B375*0.035</f>
        <v/>
      </c>
      <c r="AH375" s="3">
        <f>B375*0.165</f>
        <v/>
      </c>
      <c r="AI375" s="3">
        <f>MAX(0,AE375-AF375-AH375)</f>
        <v/>
      </c>
      <c r="AJ375" s="3">
        <f>IF(AI375&lt;=490,0,IF(AI375&lt;=600,(AI375-490)*0.05,IF(AI375&lt;=730,5.5+(AI375-600)*0.10,IF(AI375&lt;=3896.67,18.5+(AI375-730)*0.175,IF(AI375&lt;=19896.67,572.67+(AI375-3896.67)*0.25,IF(AI375&lt;=50416.67,4572.67+(AI375-19896.67)*0.30,13728.67+(AI375-50416.67)*0.35))))))</f>
        <v/>
      </c>
      <c r="AK375" s="3" t="n"/>
      <c r="AL375" s="3" t="n"/>
      <c r="AM375" s="3" t="n"/>
      <c r="AN375" s="3" t="n"/>
      <c r="AO375" s="3" t="n"/>
      <c r="AP375" s="3">
        <f>SUM(AF375,AJ375,AK375,AL375,AM375,AN375,AO375,AG375,AH375)</f>
        <v/>
      </c>
      <c r="AQ375" s="3">
        <f>AE375-AP375</f>
        <v/>
      </c>
      <c r="AR375" s="3" t="n"/>
      <c r="AS375" s="3" t="n"/>
      <c r="AT375" s="3">
        <f>AR375-AS375</f>
        <v/>
      </c>
    </row>
    <row r="376">
      <c r="A376" s="2" t="n"/>
      <c r="B376" s="3" t="n"/>
      <c r="C376" s="4" t="n"/>
      <c r="D376" s="5" t="n"/>
      <c r="E376" s="3" t="n"/>
      <c r="F376" s="3">
        <f>IF(C376=0,0,IF(E376="",B376*D376/100,E376))</f>
        <v/>
      </c>
      <c r="G376" s="4" t="n"/>
      <c r="H376" s="5" t="n"/>
      <c r="I376" s="3" t="n"/>
      <c r="J376" s="3">
        <f>IF(G376=0,0,IF(I376="",B376*H376/100,I376))</f>
        <v/>
      </c>
      <c r="K376" s="4" t="n"/>
      <c r="L376" s="5" t="n"/>
      <c r="M376" s="3" t="n"/>
      <c r="N376" s="3">
        <f>IF(K376=0,0,IF(M376="",B376*L376/100,M376))</f>
        <v/>
      </c>
      <c r="O376" s="4" t="n"/>
      <c r="P376" s="5" t="n"/>
      <c r="Q376" s="3" t="n"/>
      <c r="R376" s="3">
        <f>IF(O376=0,0,IF(Q376="",B376*P376/100,Q376))</f>
        <v/>
      </c>
      <c r="S376" s="4" t="n"/>
      <c r="T376" s="5" t="n"/>
      <c r="U376" s="3" t="n"/>
      <c r="V376" s="3">
        <f>IF(S376=0,0,IF(U376="",B376*T376/100,U376))</f>
        <v/>
      </c>
      <c r="W376" s="4" t="n"/>
      <c r="X376" s="5" t="n"/>
      <c r="Y376" s="3" t="n"/>
      <c r="Z376" s="3">
        <f>IF(W376=0,0,IF(Y376="",B376*X376/100,Y376))</f>
        <v/>
      </c>
      <c r="AA376" s="3" t="n"/>
      <c r="AB376" s="3" t="n"/>
      <c r="AC376" s="3">
        <f>B376*0.035</f>
        <v/>
      </c>
      <c r="AD376" s="3">
        <f>B376*0.065</f>
        <v/>
      </c>
      <c r="AE376" s="3">
        <f>SUM(B376,F376,J376,N376,R376,V376,Z376,AA376,AB376,AC376,AD376)</f>
        <v/>
      </c>
      <c r="AF376" s="3">
        <f>B376*0.055</f>
        <v/>
      </c>
      <c r="AG376" s="3">
        <f>B376*0.035</f>
        <v/>
      </c>
      <c r="AH376" s="3">
        <f>B376*0.165</f>
        <v/>
      </c>
      <c r="AI376" s="3">
        <f>MAX(0,AE376-AF376-AH376)</f>
        <v/>
      </c>
      <c r="AJ376" s="3">
        <f>IF(AI376&lt;=490,0,IF(AI376&lt;=600,(AI376-490)*0.05,IF(AI376&lt;=730,5.5+(AI376-600)*0.10,IF(AI376&lt;=3896.67,18.5+(AI376-730)*0.175,IF(AI376&lt;=19896.67,572.67+(AI376-3896.67)*0.25,IF(AI376&lt;=50416.67,4572.67+(AI376-19896.67)*0.30,13728.67+(AI376-50416.67)*0.35))))))</f>
        <v/>
      </c>
      <c r="AK376" s="3" t="n"/>
      <c r="AL376" s="3" t="n"/>
      <c r="AM376" s="3" t="n"/>
      <c r="AN376" s="3" t="n"/>
      <c r="AO376" s="3" t="n"/>
      <c r="AP376" s="3">
        <f>SUM(AF376,AJ376,AK376,AL376,AM376,AN376,AO376,AG376,AH376)</f>
        <v/>
      </c>
      <c r="AQ376" s="3">
        <f>AE376-AP376</f>
        <v/>
      </c>
      <c r="AR376" s="3" t="n"/>
      <c r="AS376" s="3" t="n"/>
      <c r="AT376" s="3">
        <f>AR376-AS376</f>
        <v/>
      </c>
    </row>
    <row r="377">
      <c r="A377" s="2" t="n"/>
      <c r="B377" s="3" t="n"/>
      <c r="C377" s="4" t="n"/>
      <c r="D377" s="5" t="n"/>
      <c r="E377" s="3" t="n"/>
      <c r="F377" s="3">
        <f>IF(C377=0,0,IF(E377="",B377*D377/100,E377))</f>
        <v/>
      </c>
      <c r="G377" s="4" t="n"/>
      <c r="H377" s="5" t="n"/>
      <c r="I377" s="3" t="n"/>
      <c r="J377" s="3">
        <f>IF(G377=0,0,IF(I377="",B377*H377/100,I377))</f>
        <v/>
      </c>
      <c r="K377" s="4" t="n"/>
      <c r="L377" s="5" t="n"/>
      <c r="M377" s="3" t="n"/>
      <c r="N377" s="3">
        <f>IF(K377=0,0,IF(M377="",B377*L377/100,M377))</f>
        <v/>
      </c>
      <c r="O377" s="4" t="n"/>
      <c r="P377" s="5" t="n"/>
      <c r="Q377" s="3" t="n"/>
      <c r="R377" s="3">
        <f>IF(O377=0,0,IF(Q377="",B377*P377/100,Q377))</f>
        <v/>
      </c>
      <c r="S377" s="4" t="n"/>
      <c r="T377" s="5" t="n"/>
      <c r="U377" s="3" t="n"/>
      <c r="V377" s="3">
        <f>IF(S377=0,0,IF(U377="",B377*T377/100,U377))</f>
        <v/>
      </c>
      <c r="W377" s="4" t="n"/>
      <c r="X377" s="5" t="n"/>
      <c r="Y377" s="3" t="n"/>
      <c r="Z377" s="3">
        <f>IF(W377=0,0,IF(Y377="",B377*X377/100,Y377))</f>
        <v/>
      </c>
      <c r="AA377" s="3" t="n"/>
      <c r="AB377" s="3" t="n"/>
      <c r="AC377" s="3">
        <f>B377*0.035</f>
        <v/>
      </c>
      <c r="AD377" s="3">
        <f>B377*0.065</f>
        <v/>
      </c>
      <c r="AE377" s="3">
        <f>SUM(B377,F377,J377,N377,R377,V377,Z377,AA377,AB377,AC377,AD377)</f>
        <v/>
      </c>
      <c r="AF377" s="3">
        <f>B377*0.055</f>
        <v/>
      </c>
      <c r="AG377" s="3">
        <f>B377*0.035</f>
        <v/>
      </c>
      <c r="AH377" s="3">
        <f>B377*0.165</f>
        <v/>
      </c>
      <c r="AI377" s="3">
        <f>MAX(0,AE377-AF377-AH377)</f>
        <v/>
      </c>
      <c r="AJ377" s="3">
        <f>IF(AI377&lt;=490,0,IF(AI377&lt;=600,(AI377-490)*0.05,IF(AI377&lt;=730,5.5+(AI377-600)*0.10,IF(AI377&lt;=3896.67,18.5+(AI377-730)*0.175,IF(AI377&lt;=19896.67,572.67+(AI377-3896.67)*0.25,IF(AI377&lt;=50416.67,4572.67+(AI377-19896.67)*0.30,13728.67+(AI377-50416.67)*0.35))))))</f>
        <v/>
      </c>
      <c r="AK377" s="3" t="n"/>
      <c r="AL377" s="3" t="n"/>
      <c r="AM377" s="3" t="n"/>
      <c r="AN377" s="3" t="n"/>
      <c r="AO377" s="3" t="n"/>
      <c r="AP377" s="3">
        <f>SUM(AF377,AJ377,AK377,AL377,AM377,AN377,AO377,AG377,AH377)</f>
        <v/>
      </c>
      <c r="AQ377" s="3">
        <f>AE377-AP377</f>
        <v/>
      </c>
      <c r="AR377" s="3" t="n"/>
      <c r="AS377" s="3" t="n"/>
      <c r="AT377" s="3">
        <f>AR377-AS377</f>
        <v/>
      </c>
    </row>
    <row r="378">
      <c r="A378" s="2" t="n"/>
      <c r="B378" s="3" t="n"/>
      <c r="C378" s="4" t="n"/>
      <c r="D378" s="5" t="n"/>
      <c r="E378" s="3" t="n"/>
      <c r="F378" s="3">
        <f>IF(C378=0,0,IF(E378="",B378*D378/100,E378))</f>
        <v/>
      </c>
      <c r="G378" s="4" t="n"/>
      <c r="H378" s="5" t="n"/>
      <c r="I378" s="3" t="n"/>
      <c r="J378" s="3">
        <f>IF(G378=0,0,IF(I378="",B378*H378/100,I378))</f>
        <v/>
      </c>
      <c r="K378" s="4" t="n"/>
      <c r="L378" s="5" t="n"/>
      <c r="M378" s="3" t="n"/>
      <c r="N378" s="3">
        <f>IF(K378=0,0,IF(M378="",B378*L378/100,M378))</f>
        <v/>
      </c>
      <c r="O378" s="4" t="n"/>
      <c r="P378" s="5" t="n"/>
      <c r="Q378" s="3" t="n"/>
      <c r="R378" s="3">
        <f>IF(O378=0,0,IF(Q378="",B378*P378/100,Q378))</f>
        <v/>
      </c>
      <c r="S378" s="4" t="n"/>
      <c r="T378" s="5" t="n"/>
      <c r="U378" s="3" t="n"/>
      <c r="V378" s="3">
        <f>IF(S378=0,0,IF(U378="",B378*T378/100,U378))</f>
        <v/>
      </c>
      <c r="W378" s="4" t="n"/>
      <c r="X378" s="5" t="n"/>
      <c r="Y378" s="3" t="n"/>
      <c r="Z378" s="3">
        <f>IF(W378=0,0,IF(Y378="",B378*X378/100,Y378))</f>
        <v/>
      </c>
      <c r="AA378" s="3" t="n"/>
      <c r="AB378" s="3" t="n"/>
      <c r="AC378" s="3">
        <f>B378*0.035</f>
        <v/>
      </c>
      <c r="AD378" s="3">
        <f>B378*0.065</f>
        <v/>
      </c>
      <c r="AE378" s="3">
        <f>SUM(B378,F378,J378,N378,R378,V378,Z378,AA378,AB378,AC378,AD378)</f>
        <v/>
      </c>
      <c r="AF378" s="3">
        <f>B378*0.055</f>
        <v/>
      </c>
      <c r="AG378" s="3">
        <f>B378*0.035</f>
        <v/>
      </c>
      <c r="AH378" s="3">
        <f>B378*0.165</f>
        <v/>
      </c>
      <c r="AI378" s="3">
        <f>MAX(0,AE378-AF378-AH378)</f>
        <v/>
      </c>
      <c r="AJ378" s="3">
        <f>IF(AI378&lt;=490,0,IF(AI378&lt;=600,(AI378-490)*0.05,IF(AI378&lt;=730,5.5+(AI378-600)*0.10,IF(AI378&lt;=3896.67,18.5+(AI378-730)*0.175,IF(AI378&lt;=19896.67,572.67+(AI378-3896.67)*0.25,IF(AI378&lt;=50416.67,4572.67+(AI378-19896.67)*0.30,13728.67+(AI378-50416.67)*0.35))))))</f>
        <v/>
      </c>
      <c r="AK378" s="3" t="n"/>
      <c r="AL378" s="3" t="n"/>
      <c r="AM378" s="3" t="n"/>
      <c r="AN378" s="3" t="n"/>
      <c r="AO378" s="3" t="n"/>
      <c r="AP378" s="3">
        <f>SUM(AF378,AJ378,AK378,AL378,AM378,AN378,AO378,AG378,AH378)</f>
        <v/>
      </c>
      <c r="AQ378" s="3">
        <f>AE378-AP378</f>
        <v/>
      </c>
      <c r="AR378" s="3" t="n"/>
      <c r="AS378" s="3" t="n"/>
      <c r="AT378" s="3">
        <f>AR378-AS378</f>
        <v/>
      </c>
    </row>
    <row r="379">
      <c r="A379" s="2" t="n"/>
      <c r="B379" s="3" t="n"/>
      <c r="C379" s="4" t="n"/>
      <c r="D379" s="5" t="n"/>
      <c r="E379" s="3" t="n"/>
      <c r="F379" s="3">
        <f>IF(C379=0,0,IF(E379="",B379*D379/100,E379))</f>
        <v/>
      </c>
      <c r="G379" s="4" t="n"/>
      <c r="H379" s="5" t="n"/>
      <c r="I379" s="3" t="n"/>
      <c r="J379" s="3">
        <f>IF(G379=0,0,IF(I379="",B379*H379/100,I379))</f>
        <v/>
      </c>
      <c r="K379" s="4" t="n"/>
      <c r="L379" s="5" t="n"/>
      <c r="M379" s="3" t="n"/>
      <c r="N379" s="3">
        <f>IF(K379=0,0,IF(M379="",B379*L379/100,M379))</f>
        <v/>
      </c>
      <c r="O379" s="4" t="n"/>
      <c r="P379" s="5" t="n"/>
      <c r="Q379" s="3" t="n"/>
      <c r="R379" s="3">
        <f>IF(O379=0,0,IF(Q379="",B379*P379/100,Q379))</f>
        <v/>
      </c>
      <c r="S379" s="4" t="n"/>
      <c r="T379" s="5" t="n"/>
      <c r="U379" s="3" t="n"/>
      <c r="V379" s="3">
        <f>IF(S379=0,0,IF(U379="",B379*T379/100,U379))</f>
        <v/>
      </c>
      <c r="W379" s="4" t="n"/>
      <c r="X379" s="5" t="n"/>
      <c r="Y379" s="3" t="n"/>
      <c r="Z379" s="3">
        <f>IF(W379=0,0,IF(Y379="",B379*X379/100,Y379))</f>
        <v/>
      </c>
      <c r="AA379" s="3" t="n"/>
      <c r="AB379" s="3" t="n"/>
      <c r="AC379" s="3">
        <f>B379*0.035</f>
        <v/>
      </c>
      <c r="AD379" s="3">
        <f>B379*0.065</f>
        <v/>
      </c>
      <c r="AE379" s="3">
        <f>SUM(B379,F379,J379,N379,R379,V379,Z379,AA379,AB379,AC379,AD379)</f>
        <v/>
      </c>
      <c r="AF379" s="3">
        <f>B379*0.055</f>
        <v/>
      </c>
      <c r="AG379" s="3">
        <f>B379*0.035</f>
        <v/>
      </c>
      <c r="AH379" s="3">
        <f>B379*0.165</f>
        <v/>
      </c>
      <c r="AI379" s="3">
        <f>MAX(0,AE379-AF379-AH379)</f>
        <v/>
      </c>
      <c r="AJ379" s="3">
        <f>IF(AI379&lt;=490,0,IF(AI379&lt;=600,(AI379-490)*0.05,IF(AI379&lt;=730,5.5+(AI379-600)*0.10,IF(AI379&lt;=3896.67,18.5+(AI379-730)*0.175,IF(AI379&lt;=19896.67,572.67+(AI379-3896.67)*0.25,IF(AI379&lt;=50416.67,4572.67+(AI379-19896.67)*0.30,13728.67+(AI379-50416.67)*0.35))))))</f>
        <v/>
      </c>
      <c r="AK379" s="3" t="n"/>
      <c r="AL379" s="3" t="n"/>
      <c r="AM379" s="3" t="n"/>
      <c r="AN379" s="3" t="n"/>
      <c r="AO379" s="3" t="n"/>
      <c r="AP379" s="3">
        <f>SUM(AF379,AJ379,AK379,AL379,AM379,AN379,AO379,AG379,AH379)</f>
        <v/>
      </c>
      <c r="AQ379" s="3">
        <f>AE379-AP379</f>
        <v/>
      </c>
      <c r="AR379" s="3" t="n"/>
      <c r="AS379" s="3" t="n"/>
      <c r="AT379" s="3">
        <f>AR379-AS379</f>
        <v/>
      </c>
    </row>
    <row r="380">
      <c r="A380" s="2" t="n"/>
      <c r="B380" s="3" t="n"/>
      <c r="C380" s="4" t="n"/>
      <c r="D380" s="5" t="n"/>
      <c r="E380" s="3" t="n"/>
      <c r="F380" s="3">
        <f>IF(C380=0,0,IF(E380="",B380*D380/100,E380))</f>
        <v/>
      </c>
      <c r="G380" s="4" t="n"/>
      <c r="H380" s="5" t="n"/>
      <c r="I380" s="3" t="n"/>
      <c r="J380" s="3">
        <f>IF(G380=0,0,IF(I380="",B380*H380/100,I380))</f>
        <v/>
      </c>
      <c r="K380" s="4" t="n"/>
      <c r="L380" s="5" t="n"/>
      <c r="M380" s="3" t="n"/>
      <c r="N380" s="3">
        <f>IF(K380=0,0,IF(M380="",B380*L380/100,M380))</f>
        <v/>
      </c>
      <c r="O380" s="4" t="n"/>
      <c r="P380" s="5" t="n"/>
      <c r="Q380" s="3" t="n"/>
      <c r="R380" s="3">
        <f>IF(O380=0,0,IF(Q380="",B380*P380/100,Q380))</f>
        <v/>
      </c>
      <c r="S380" s="4" t="n"/>
      <c r="T380" s="5" t="n"/>
      <c r="U380" s="3" t="n"/>
      <c r="V380" s="3">
        <f>IF(S380=0,0,IF(U380="",B380*T380/100,U380))</f>
        <v/>
      </c>
      <c r="W380" s="4" t="n"/>
      <c r="X380" s="5" t="n"/>
      <c r="Y380" s="3" t="n"/>
      <c r="Z380" s="3">
        <f>IF(W380=0,0,IF(Y380="",B380*X380/100,Y380))</f>
        <v/>
      </c>
      <c r="AA380" s="3" t="n"/>
      <c r="AB380" s="3" t="n"/>
      <c r="AC380" s="3">
        <f>B380*0.035</f>
        <v/>
      </c>
      <c r="AD380" s="3">
        <f>B380*0.065</f>
        <v/>
      </c>
      <c r="AE380" s="3">
        <f>SUM(B380,F380,J380,N380,R380,V380,Z380,AA380,AB380,AC380,AD380)</f>
        <v/>
      </c>
      <c r="AF380" s="3">
        <f>B380*0.055</f>
        <v/>
      </c>
      <c r="AG380" s="3">
        <f>B380*0.035</f>
        <v/>
      </c>
      <c r="AH380" s="3">
        <f>B380*0.165</f>
        <v/>
      </c>
      <c r="AI380" s="3">
        <f>MAX(0,AE380-AF380-AH380)</f>
        <v/>
      </c>
      <c r="AJ380" s="3">
        <f>IF(AI380&lt;=490,0,IF(AI380&lt;=600,(AI380-490)*0.05,IF(AI380&lt;=730,5.5+(AI380-600)*0.10,IF(AI380&lt;=3896.67,18.5+(AI380-730)*0.175,IF(AI380&lt;=19896.67,572.67+(AI380-3896.67)*0.25,IF(AI380&lt;=50416.67,4572.67+(AI380-19896.67)*0.30,13728.67+(AI380-50416.67)*0.35))))))</f>
        <v/>
      </c>
      <c r="AK380" s="3" t="n"/>
      <c r="AL380" s="3" t="n"/>
      <c r="AM380" s="3" t="n"/>
      <c r="AN380" s="3" t="n"/>
      <c r="AO380" s="3" t="n"/>
      <c r="AP380" s="3">
        <f>SUM(AF380,AJ380,AK380,AL380,AM380,AN380,AO380,AG380,AH380)</f>
        <v/>
      </c>
      <c r="AQ380" s="3">
        <f>AE380-AP380</f>
        <v/>
      </c>
      <c r="AR380" s="3" t="n"/>
      <c r="AS380" s="3" t="n"/>
      <c r="AT380" s="3">
        <f>AR380-AS380</f>
        <v/>
      </c>
    </row>
    <row r="381">
      <c r="A381" s="2" t="n"/>
      <c r="B381" s="3" t="n"/>
      <c r="C381" s="4" t="n"/>
      <c r="D381" s="5" t="n"/>
      <c r="E381" s="3" t="n"/>
      <c r="F381" s="3">
        <f>IF(C381=0,0,IF(E381="",B381*D381/100,E381))</f>
        <v/>
      </c>
      <c r="G381" s="4" t="n"/>
      <c r="H381" s="5" t="n"/>
      <c r="I381" s="3" t="n"/>
      <c r="J381" s="3">
        <f>IF(G381=0,0,IF(I381="",B381*H381/100,I381))</f>
        <v/>
      </c>
      <c r="K381" s="4" t="n"/>
      <c r="L381" s="5" t="n"/>
      <c r="M381" s="3" t="n"/>
      <c r="N381" s="3">
        <f>IF(K381=0,0,IF(M381="",B381*L381/100,M381))</f>
        <v/>
      </c>
      <c r="O381" s="4" t="n"/>
      <c r="P381" s="5" t="n"/>
      <c r="Q381" s="3" t="n"/>
      <c r="R381" s="3">
        <f>IF(O381=0,0,IF(Q381="",B381*P381/100,Q381))</f>
        <v/>
      </c>
      <c r="S381" s="4" t="n"/>
      <c r="T381" s="5" t="n"/>
      <c r="U381" s="3" t="n"/>
      <c r="V381" s="3">
        <f>IF(S381=0,0,IF(U381="",B381*T381/100,U381))</f>
        <v/>
      </c>
      <c r="W381" s="4" t="n"/>
      <c r="X381" s="5" t="n"/>
      <c r="Y381" s="3" t="n"/>
      <c r="Z381" s="3">
        <f>IF(W381=0,0,IF(Y381="",B381*X381/100,Y381))</f>
        <v/>
      </c>
      <c r="AA381" s="3" t="n"/>
      <c r="AB381" s="3" t="n"/>
      <c r="AC381" s="3">
        <f>B381*0.035</f>
        <v/>
      </c>
      <c r="AD381" s="3">
        <f>B381*0.065</f>
        <v/>
      </c>
      <c r="AE381" s="3">
        <f>SUM(B381,F381,J381,N381,R381,V381,Z381,AA381,AB381,AC381,AD381)</f>
        <v/>
      </c>
      <c r="AF381" s="3">
        <f>B381*0.055</f>
        <v/>
      </c>
      <c r="AG381" s="3">
        <f>B381*0.035</f>
        <v/>
      </c>
      <c r="AH381" s="3">
        <f>B381*0.165</f>
        <v/>
      </c>
      <c r="AI381" s="3">
        <f>MAX(0,AE381-AF381-AH381)</f>
        <v/>
      </c>
      <c r="AJ381" s="3">
        <f>IF(AI381&lt;=490,0,IF(AI381&lt;=600,(AI381-490)*0.05,IF(AI381&lt;=730,5.5+(AI381-600)*0.10,IF(AI381&lt;=3896.67,18.5+(AI381-730)*0.175,IF(AI381&lt;=19896.67,572.67+(AI381-3896.67)*0.25,IF(AI381&lt;=50416.67,4572.67+(AI381-19896.67)*0.30,13728.67+(AI381-50416.67)*0.35))))))</f>
        <v/>
      </c>
      <c r="AK381" s="3" t="n"/>
      <c r="AL381" s="3" t="n"/>
      <c r="AM381" s="3" t="n"/>
      <c r="AN381" s="3" t="n"/>
      <c r="AO381" s="3" t="n"/>
      <c r="AP381" s="3">
        <f>SUM(AF381,AJ381,AK381,AL381,AM381,AN381,AO381,AG381,AH381)</f>
        <v/>
      </c>
      <c r="AQ381" s="3">
        <f>AE381-AP381</f>
        <v/>
      </c>
      <c r="AR381" s="3" t="n"/>
      <c r="AS381" s="3" t="n"/>
      <c r="AT381" s="3">
        <f>AR381-AS381</f>
        <v/>
      </c>
    </row>
    <row r="382">
      <c r="A382" s="2" t="n"/>
      <c r="B382" s="3" t="n"/>
      <c r="C382" s="4" t="n"/>
      <c r="D382" s="5" t="n"/>
      <c r="E382" s="3" t="n"/>
      <c r="F382" s="3">
        <f>IF(C382=0,0,IF(E382="",B382*D382/100,E382))</f>
        <v/>
      </c>
      <c r="G382" s="4" t="n"/>
      <c r="H382" s="5" t="n"/>
      <c r="I382" s="3" t="n"/>
      <c r="J382" s="3">
        <f>IF(G382=0,0,IF(I382="",B382*H382/100,I382))</f>
        <v/>
      </c>
      <c r="K382" s="4" t="n"/>
      <c r="L382" s="5" t="n"/>
      <c r="M382" s="3" t="n"/>
      <c r="N382" s="3">
        <f>IF(K382=0,0,IF(M382="",B382*L382/100,M382))</f>
        <v/>
      </c>
      <c r="O382" s="4" t="n"/>
      <c r="P382" s="5" t="n"/>
      <c r="Q382" s="3" t="n"/>
      <c r="R382" s="3">
        <f>IF(O382=0,0,IF(Q382="",B382*P382/100,Q382))</f>
        <v/>
      </c>
      <c r="S382" s="4" t="n"/>
      <c r="T382" s="5" t="n"/>
      <c r="U382" s="3" t="n"/>
      <c r="V382" s="3">
        <f>IF(S382=0,0,IF(U382="",B382*T382/100,U382))</f>
        <v/>
      </c>
      <c r="W382" s="4" t="n"/>
      <c r="X382" s="5" t="n"/>
      <c r="Y382" s="3" t="n"/>
      <c r="Z382" s="3">
        <f>IF(W382=0,0,IF(Y382="",B382*X382/100,Y382))</f>
        <v/>
      </c>
      <c r="AA382" s="3" t="n"/>
      <c r="AB382" s="3" t="n"/>
      <c r="AC382" s="3">
        <f>B382*0.035</f>
        <v/>
      </c>
      <c r="AD382" s="3">
        <f>B382*0.065</f>
        <v/>
      </c>
      <c r="AE382" s="3">
        <f>SUM(B382,F382,J382,N382,R382,V382,Z382,AA382,AB382,AC382,AD382)</f>
        <v/>
      </c>
      <c r="AF382" s="3">
        <f>B382*0.055</f>
        <v/>
      </c>
      <c r="AG382" s="3">
        <f>B382*0.035</f>
        <v/>
      </c>
      <c r="AH382" s="3">
        <f>B382*0.165</f>
        <v/>
      </c>
      <c r="AI382" s="3">
        <f>MAX(0,AE382-AF382-AH382)</f>
        <v/>
      </c>
      <c r="AJ382" s="3">
        <f>IF(AI382&lt;=490,0,IF(AI382&lt;=600,(AI382-490)*0.05,IF(AI382&lt;=730,5.5+(AI382-600)*0.10,IF(AI382&lt;=3896.67,18.5+(AI382-730)*0.175,IF(AI382&lt;=19896.67,572.67+(AI382-3896.67)*0.25,IF(AI382&lt;=50416.67,4572.67+(AI382-19896.67)*0.30,13728.67+(AI382-50416.67)*0.35))))))</f>
        <v/>
      </c>
      <c r="AK382" s="3" t="n"/>
      <c r="AL382" s="3" t="n"/>
      <c r="AM382" s="3" t="n"/>
      <c r="AN382" s="3" t="n"/>
      <c r="AO382" s="3" t="n"/>
      <c r="AP382" s="3">
        <f>SUM(AF382,AJ382,AK382,AL382,AM382,AN382,AO382,AG382,AH382)</f>
        <v/>
      </c>
      <c r="AQ382" s="3">
        <f>AE382-AP382</f>
        <v/>
      </c>
      <c r="AR382" s="3" t="n"/>
      <c r="AS382" s="3" t="n"/>
      <c r="AT382" s="3">
        <f>AR382-AS382</f>
        <v/>
      </c>
    </row>
    <row r="383">
      <c r="A383" s="2" t="n"/>
      <c r="B383" s="3" t="n"/>
      <c r="C383" s="4" t="n"/>
      <c r="D383" s="5" t="n"/>
      <c r="E383" s="3" t="n"/>
      <c r="F383" s="3">
        <f>IF(C383=0,0,IF(E383="",B383*D383/100,E383))</f>
        <v/>
      </c>
      <c r="G383" s="4" t="n"/>
      <c r="H383" s="5" t="n"/>
      <c r="I383" s="3" t="n"/>
      <c r="J383" s="3">
        <f>IF(G383=0,0,IF(I383="",B383*H383/100,I383))</f>
        <v/>
      </c>
      <c r="K383" s="4" t="n"/>
      <c r="L383" s="5" t="n"/>
      <c r="M383" s="3" t="n"/>
      <c r="N383" s="3">
        <f>IF(K383=0,0,IF(M383="",B383*L383/100,M383))</f>
        <v/>
      </c>
      <c r="O383" s="4" t="n"/>
      <c r="P383" s="5" t="n"/>
      <c r="Q383" s="3" t="n"/>
      <c r="R383" s="3">
        <f>IF(O383=0,0,IF(Q383="",B383*P383/100,Q383))</f>
        <v/>
      </c>
      <c r="S383" s="4" t="n"/>
      <c r="T383" s="5" t="n"/>
      <c r="U383" s="3" t="n"/>
      <c r="V383" s="3">
        <f>IF(S383=0,0,IF(U383="",B383*T383/100,U383))</f>
        <v/>
      </c>
      <c r="W383" s="4" t="n"/>
      <c r="X383" s="5" t="n"/>
      <c r="Y383" s="3" t="n"/>
      <c r="Z383" s="3">
        <f>IF(W383=0,0,IF(Y383="",B383*X383/100,Y383))</f>
        <v/>
      </c>
      <c r="AA383" s="3" t="n"/>
      <c r="AB383" s="3" t="n"/>
      <c r="AC383" s="3">
        <f>B383*0.035</f>
        <v/>
      </c>
      <c r="AD383" s="3">
        <f>B383*0.065</f>
        <v/>
      </c>
      <c r="AE383" s="3">
        <f>SUM(B383,F383,J383,N383,R383,V383,Z383,AA383,AB383,AC383,AD383)</f>
        <v/>
      </c>
      <c r="AF383" s="3">
        <f>B383*0.055</f>
        <v/>
      </c>
      <c r="AG383" s="3">
        <f>B383*0.035</f>
        <v/>
      </c>
      <c r="AH383" s="3">
        <f>B383*0.165</f>
        <v/>
      </c>
      <c r="AI383" s="3">
        <f>MAX(0,AE383-AF383-AH383)</f>
        <v/>
      </c>
      <c r="AJ383" s="3">
        <f>IF(AI383&lt;=490,0,IF(AI383&lt;=600,(AI383-490)*0.05,IF(AI383&lt;=730,5.5+(AI383-600)*0.10,IF(AI383&lt;=3896.67,18.5+(AI383-730)*0.175,IF(AI383&lt;=19896.67,572.67+(AI383-3896.67)*0.25,IF(AI383&lt;=50416.67,4572.67+(AI383-19896.67)*0.30,13728.67+(AI383-50416.67)*0.35))))))</f>
        <v/>
      </c>
      <c r="AK383" s="3" t="n"/>
      <c r="AL383" s="3" t="n"/>
      <c r="AM383" s="3" t="n"/>
      <c r="AN383" s="3" t="n"/>
      <c r="AO383" s="3" t="n"/>
      <c r="AP383" s="3">
        <f>SUM(AF383,AJ383,AK383,AL383,AM383,AN383,AO383,AG383,AH383)</f>
        <v/>
      </c>
      <c r="AQ383" s="3">
        <f>AE383-AP383</f>
        <v/>
      </c>
      <c r="AR383" s="3" t="n"/>
      <c r="AS383" s="3" t="n"/>
      <c r="AT383" s="3">
        <f>AR383-AS383</f>
        <v/>
      </c>
    </row>
    <row r="384">
      <c r="A384" s="2" t="n"/>
      <c r="B384" s="3" t="n"/>
      <c r="C384" s="4" t="n"/>
      <c r="D384" s="5" t="n"/>
      <c r="E384" s="3" t="n"/>
      <c r="F384" s="3">
        <f>IF(C384=0,0,IF(E384="",B384*D384/100,E384))</f>
        <v/>
      </c>
      <c r="G384" s="4" t="n"/>
      <c r="H384" s="5" t="n"/>
      <c r="I384" s="3" t="n"/>
      <c r="J384" s="3">
        <f>IF(G384=0,0,IF(I384="",B384*H384/100,I384))</f>
        <v/>
      </c>
      <c r="K384" s="4" t="n"/>
      <c r="L384" s="5" t="n"/>
      <c r="M384" s="3" t="n"/>
      <c r="N384" s="3">
        <f>IF(K384=0,0,IF(M384="",B384*L384/100,M384))</f>
        <v/>
      </c>
      <c r="O384" s="4" t="n"/>
      <c r="P384" s="5" t="n"/>
      <c r="Q384" s="3" t="n"/>
      <c r="R384" s="3">
        <f>IF(O384=0,0,IF(Q384="",B384*P384/100,Q384))</f>
        <v/>
      </c>
      <c r="S384" s="4" t="n"/>
      <c r="T384" s="5" t="n"/>
      <c r="U384" s="3" t="n"/>
      <c r="V384" s="3">
        <f>IF(S384=0,0,IF(U384="",B384*T384/100,U384))</f>
        <v/>
      </c>
      <c r="W384" s="4" t="n"/>
      <c r="X384" s="5" t="n"/>
      <c r="Y384" s="3" t="n"/>
      <c r="Z384" s="3">
        <f>IF(W384=0,0,IF(Y384="",B384*X384/100,Y384))</f>
        <v/>
      </c>
      <c r="AA384" s="3" t="n"/>
      <c r="AB384" s="3" t="n"/>
      <c r="AC384" s="3">
        <f>B384*0.035</f>
        <v/>
      </c>
      <c r="AD384" s="3">
        <f>B384*0.065</f>
        <v/>
      </c>
      <c r="AE384" s="3">
        <f>SUM(B384,F384,J384,N384,R384,V384,Z384,AA384,AB384,AC384,AD384)</f>
        <v/>
      </c>
      <c r="AF384" s="3">
        <f>B384*0.055</f>
        <v/>
      </c>
      <c r="AG384" s="3">
        <f>B384*0.035</f>
        <v/>
      </c>
      <c r="AH384" s="3">
        <f>B384*0.165</f>
        <v/>
      </c>
      <c r="AI384" s="3">
        <f>MAX(0,AE384-AF384-AH384)</f>
        <v/>
      </c>
      <c r="AJ384" s="3">
        <f>IF(AI384&lt;=490,0,IF(AI384&lt;=600,(AI384-490)*0.05,IF(AI384&lt;=730,5.5+(AI384-600)*0.10,IF(AI384&lt;=3896.67,18.5+(AI384-730)*0.175,IF(AI384&lt;=19896.67,572.67+(AI384-3896.67)*0.25,IF(AI384&lt;=50416.67,4572.67+(AI384-19896.67)*0.30,13728.67+(AI384-50416.67)*0.35))))))</f>
        <v/>
      </c>
      <c r="AK384" s="3" t="n"/>
      <c r="AL384" s="3" t="n"/>
      <c r="AM384" s="3" t="n"/>
      <c r="AN384" s="3" t="n"/>
      <c r="AO384" s="3" t="n"/>
      <c r="AP384" s="3">
        <f>SUM(AF384,AJ384,AK384,AL384,AM384,AN384,AO384,AG384,AH384)</f>
        <v/>
      </c>
      <c r="AQ384" s="3">
        <f>AE384-AP384</f>
        <v/>
      </c>
      <c r="AR384" s="3" t="n"/>
      <c r="AS384" s="3" t="n"/>
      <c r="AT384" s="3">
        <f>AR384-AS384</f>
        <v/>
      </c>
    </row>
    <row r="385">
      <c r="A385" s="2" t="n"/>
      <c r="B385" s="3" t="n"/>
      <c r="C385" s="4" t="n"/>
      <c r="D385" s="5" t="n"/>
      <c r="E385" s="3" t="n"/>
      <c r="F385" s="3">
        <f>IF(C385=0,0,IF(E385="",B385*D385/100,E385))</f>
        <v/>
      </c>
      <c r="G385" s="4" t="n"/>
      <c r="H385" s="5" t="n"/>
      <c r="I385" s="3" t="n"/>
      <c r="J385" s="3">
        <f>IF(G385=0,0,IF(I385="",B385*H385/100,I385))</f>
        <v/>
      </c>
      <c r="K385" s="4" t="n"/>
      <c r="L385" s="5" t="n"/>
      <c r="M385" s="3" t="n"/>
      <c r="N385" s="3">
        <f>IF(K385=0,0,IF(M385="",B385*L385/100,M385))</f>
        <v/>
      </c>
      <c r="O385" s="4" t="n"/>
      <c r="P385" s="5" t="n"/>
      <c r="Q385" s="3" t="n"/>
      <c r="R385" s="3">
        <f>IF(O385=0,0,IF(Q385="",B385*P385/100,Q385))</f>
        <v/>
      </c>
      <c r="S385" s="4" t="n"/>
      <c r="T385" s="5" t="n"/>
      <c r="U385" s="3" t="n"/>
      <c r="V385" s="3">
        <f>IF(S385=0,0,IF(U385="",B385*T385/100,U385))</f>
        <v/>
      </c>
      <c r="W385" s="4" t="n"/>
      <c r="X385" s="5" t="n"/>
      <c r="Y385" s="3" t="n"/>
      <c r="Z385" s="3">
        <f>IF(W385=0,0,IF(Y385="",B385*X385/100,Y385))</f>
        <v/>
      </c>
      <c r="AA385" s="3" t="n"/>
      <c r="AB385" s="3" t="n"/>
      <c r="AC385" s="3">
        <f>B385*0.035</f>
        <v/>
      </c>
      <c r="AD385" s="3">
        <f>B385*0.065</f>
        <v/>
      </c>
      <c r="AE385" s="3">
        <f>SUM(B385,F385,J385,N385,R385,V385,Z385,AA385,AB385,AC385,AD385)</f>
        <v/>
      </c>
      <c r="AF385" s="3">
        <f>B385*0.055</f>
        <v/>
      </c>
      <c r="AG385" s="3">
        <f>B385*0.035</f>
        <v/>
      </c>
      <c r="AH385" s="3">
        <f>B385*0.165</f>
        <v/>
      </c>
      <c r="AI385" s="3">
        <f>MAX(0,AE385-AF385-AH385)</f>
        <v/>
      </c>
      <c r="AJ385" s="3">
        <f>IF(AI385&lt;=490,0,IF(AI385&lt;=600,(AI385-490)*0.05,IF(AI385&lt;=730,5.5+(AI385-600)*0.10,IF(AI385&lt;=3896.67,18.5+(AI385-730)*0.175,IF(AI385&lt;=19896.67,572.67+(AI385-3896.67)*0.25,IF(AI385&lt;=50416.67,4572.67+(AI385-19896.67)*0.30,13728.67+(AI385-50416.67)*0.35))))))</f>
        <v/>
      </c>
      <c r="AK385" s="3" t="n"/>
      <c r="AL385" s="3" t="n"/>
      <c r="AM385" s="3" t="n"/>
      <c r="AN385" s="3" t="n"/>
      <c r="AO385" s="3" t="n"/>
      <c r="AP385" s="3">
        <f>SUM(AF385,AJ385,AK385,AL385,AM385,AN385,AO385,AG385,AH385)</f>
        <v/>
      </c>
      <c r="AQ385" s="3">
        <f>AE385-AP385</f>
        <v/>
      </c>
      <c r="AR385" s="3" t="n"/>
      <c r="AS385" s="3" t="n"/>
      <c r="AT385" s="3">
        <f>AR385-AS385</f>
        <v/>
      </c>
    </row>
    <row r="386">
      <c r="A386" s="2" t="n"/>
      <c r="B386" s="3" t="n"/>
      <c r="C386" s="4" t="n"/>
      <c r="D386" s="5" t="n"/>
      <c r="E386" s="3" t="n"/>
      <c r="F386" s="3">
        <f>IF(C386=0,0,IF(E386="",B386*D386/100,E386))</f>
        <v/>
      </c>
      <c r="G386" s="4" t="n"/>
      <c r="H386" s="5" t="n"/>
      <c r="I386" s="3" t="n"/>
      <c r="J386" s="3">
        <f>IF(G386=0,0,IF(I386="",B386*H386/100,I386))</f>
        <v/>
      </c>
      <c r="K386" s="4" t="n"/>
      <c r="L386" s="5" t="n"/>
      <c r="M386" s="3" t="n"/>
      <c r="N386" s="3">
        <f>IF(K386=0,0,IF(M386="",B386*L386/100,M386))</f>
        <v/>
      </c>
      <c r="O386" s="4" t="n"/>
      <c r="P386" s="5" t="n"/>
      <c r="Q386" s="3" t="n"/>
      <c r="R386" s="3">
        <f>IF(O386=0,0,IF(Q386="",B386*P386/100,Q386))</f>
        <v/>
      </c>
      <c r="S386" s="4" t="n"/>
      <c r="T386" s="5" t="n"/>
      <c r="U386" s="3" t="n"/>
      <c r="V386" s="3">
        <f>IF(S386=0,0,IF(U386="",B386*T386/100,U386))</f>
        <v/>
      </c>
      <c r="W386" s="4" t="n"/>
      <c r="X386" s="5" t="n"/>
      <c r="Y386" s="3" t="n"/>
      <c r="Z386" s="3">
        <f>IF(W386=0,0,IF(Y386="",B386*X386/100,Y386))</f>
        <v/>
      </c>
      <c r="AA386" s="3" t="n"/>
      <c r="AB386" s="3" t="n"/>
      <c r="AC386" s="3">
        <f>B386*0.035</f>
        <v/>
      </c>
      <c r="AD386" s="3">
        <f>B386*0.065</f>
        <v/>
      </c>
      <c r="AE386" s="3">
        <f>SUM(B386,F386,J386,N386,R386,V386,Z386,AA386,AB386,AC386,AD386)</f>
        <v/>
      </c>
      <c r="AF386" s="3">
        <f>B386*0.055</f>
        <v/>
      </c>
      <c r="AG386" s="3">
        <f>B386*0.035</f>
        <v/>
      </c>
      <c r="AH386" s="3">
        <f>B386*0.165</f>
        <v/>
      </c>
      <c r="AI386" s="3">
        <f>MAX(0,AE386-AF386-AH386)</f>
        <v/>
      </c>
      <c r="AJ386" s="3">
        <f>IF(AI386&lt;=490,0,IF(AI386&lt;=600,(AI386-490)*0.05,IF(AI386&lt;=730,5.5+(AI386-600)*0.10,IF(AI386&lt;=3896.67,18.5+(AI386-730)*0.175,IF(AI386&lt;=19896.67,572.67+(AI386-3896.67)*0.25,IF(AI386&lt;=50416.67,4572.67+(AI386-19896.67)*0.30,13728.67+(AI386-50416.67)*0.35))))))</f>
        <v/>
      </c>
      <c r="AK386" s="3" t="n"/>
      <c r="AL386" s="3" t="n"/>
      <c r="AM386" s="3" t="n"/>
      <c r="AN386" s="3" t="n"/>
      <c r="AO386" s="3" t="n"/>
      <c r="AP386" s="3">
        <f>SUM(AF386,AJ386,AK386,AL386,AM386,AN386,AO386,AG386,AH386)</f>
        <v/>
      </c>
      <c r="AQ386" s="3">
        <f>AE386-AP386</f>
        <v/>
      </c>
      <c r="AR386" s="3" t="n"/>
      <c r="AS386" s="3" t="n"/>
      <c r="AT386" s="3">
        <f>AR386-AS386</f>
        <v/>
      </c>
    </row>
    <row r="387">
      <c r="A387" s="2" t="n"/>
      <c r="B387" s="3" t="n"/>
      <c r="C387" s="4" t="n"/>
      <c r="D387" s="5" t="n"/>
      <c r="E387" s="3" t="n"/>
      <c r="F387" s="3">
        <f>IF(C387=0,0,IF(E387="",B387*D387/100,E387))</f>
        <v/>
      </c>
      <c r="G387" s="4" t="n"/>
      <c r="H387" s="5" t="n"/>
      <c r="I387" s="3" t="n"/>
      <c r="J387" s="3">
        <f>IF(G387=0,0,IF(I387="",B387*H387/100,I387))</f>
        <v/>
      </c>
      <c r="K387" s="4" t="n"/>
      <c r="L387" s="5" t="n"/>
      <c r="M387" s="3" t="n"/>
      <c r="N387" s="3">
        <f>IF(K387=0,0,IF(M387="",B387*L387/100,M387))</f>
        <v/>
      </c>
      <c r="O387" s="4" t="n"/>
      <c r="P387" s="5" t="n"/>
      <c r="Q387" s="3" t="n"/>
      <c r="R387" s="3">
        <f>IF(O387=0,0,IF(Q387="",B387*P387/100,Q387))</f>
        <v/>
      </c>
      <c r="S387" s="4" t="n"/>
      <c r="T387" s="5" t="n"/>
      <c r="U387" s="3" t="n"/>
      <c r="V387" s="3">
        <f>IF(S387=0,0,IF(U387="",B387*T387/100,U387))</f>
        <v/>
      </c>
      <c r="W387" s="4" t="n"/>
      <c r="X387" s="5" t="n"/>
      <c r="Y387" s="3" t="n"/>
      <c r="Z387" s="3">
        <f>IF(W387=0,0,IF(Y387="",B387*X387/100,Y387))</f>
        <v/>
      </c>
      <c r="AA387" s="3" t="n"/>
      <c r="AB387" s="3" t="n"/>
      <c r="AC387" s="3">
        <f>B387*0.035</f>
        <v/>
      </c>
      <c r="AD387" s="3">
        <f>B387*0.065</f>
        <v/>
      </c>
      <c r="AE387" s="3">
        <f>SUM(B387,F387,J387,N387,R387,V387,Z387,AA387,AB387,AC387,AD387)</f>
        <v/>
      </c>
      <c r="AF387" s="3">
        <f>B387*0.055</f>
        <v/>
      </c>
      <c r="AG387" s="3">
        <f>B387*0.035</f>
        <v/>
      </c>
      <c r="AH387" s="3">
        <f>B387*0.165</f>
        <v/>
      </c>
      <c r="AI387" s="3">
        <f>MAX(0,AE387-AF387-AH387)</f>
        <v/>
      </c>
      <c r="AJ387" s="3">
        <f>IF(AI387&lt;=490,0,IF(AI387&lt;=600,(AI387-490)*0.05,IF(AI387&lt;=730,5.5+(AI387-600)*0.10,IF(AI387&lt;=3896.67,18.5+(AI387-730)*0.175,IF(AI387&lt;=19896.67,572.67+(AI387-3896.67)*0.25,IF(AI387&lt;=50416.67,4572.67+(AI387-19896.67)*0.30,13728.67+(AI387-50416.67)*0.35))))))</f>
        <v/>
      </c>
      <c r="AK387" s="3" t="n"/>
      <c r="AL387" s="3" t="n"/>
      <c r="AM387" s="3" t="n"/>
      <c r="AN387" s="3" t="n"/>
      <c r="AO387" s="3" t="n"/>
      <c r="AP387" s="3">
        <f>SUM(AF387,AJ387,AK387,AL387,AM387,AN387,AO387,AG387,AH387)</f>
        <v/>
      </c>
      <c r="AQ387" s="3">
        <f>AE387-AP387</f>
        <v/>
      </c>
      <c r="AR387" s="3" t="n"/>
      <c r="AS387" s="3" t="n"/>
      <c r="AT387" s="3">
        <f>AR387-AS387</f>
        <v/>
      </c>
    </row>
    <row r="388">
      <c r="A388" s="2" t="n"/>
      <c r="B388" s="3" t="n"/>
      <c r="C388" s="4" t="n"/>
      <c r="D388" s="5" t="n"/>
      <c r="E388" s="3" t="n"/>
      <c r="F388" s="3">
        <f>IF(C388=0,0,IF(E388="",B388*D388/100,E388))</f>
        <v/>
      </c>
      <c r="G388" s="4" t="n"/>
      <c r="H388" s="5" t="n"/>
      <c r="I388" s="3" t="n"/>
      <c r="J388" s="3">
        <f>IF(G388=0,0,IF(I388="",B388*H388/100,I388))</f>
        <v/>
      </c>
      <c r="K388" s="4" t="n"/>
      <c r="L388" s="5" t="n"/>
      <c r="M388" s="3" t="n"/>
      <c r="N388" s="3">
        <f>IF(K388=0,0,IF(M388="",B388*L388/100,M388))</f>
        <v/>
      </c>
      <c r="O388" s="4" t="n"/>
      <c r="P388" s="5" t="n"/>
      <c r="Q388" s="3" t="n"/>
      <c r="R388" s="3">
        <f>IF(O388=0,0,IF(Q388="",B388*P388/100,Q388))</f>
        <v/>
      </c>
      <c r="S388" s="4" t="n"/>
      <c r="T388" s="5" t="n"/>
      <c r="U388" s="3" t="n"/>
      <c r="V388" s="3">
        <f>IF(S388=0,0,IF(U388="",B388*T388/100,U388))</f>
        <v/>
      </c>
      <c r="W388" s="4" t="n"/>
      <c r="X388" s="5" t="n"/>
      <c r="Y388" s="3" t="n"/>
      <c r="Z388" s="3">
        <f>IF(W388=0,0,IF(Y388="",B388*X388/100,Y388))</f>
        <v/>
      </c>
      <c r="AA388" s="3" t="n"/>
      <c r="AB388" s="3" t="n"/>
      <c r="AC388" s="3">
        <f>B388*0.035</f>
        <v/>
      </c>
      <c r="AD388" s="3">
        <f>B388*0.065</f>
        <v/>
      </c>
      <c r="AE388" s="3">
        <f>SUM(B388,F388,J388,N388,R388,V388,Z388,AA388,AB388,AC388,AD388)</f>
        <v/>
      </c>
      <c r="AF388" s="3">
        <f>B388*0.055</f>
        <v/>
      </c>
      <c r="AG388" s="3">
        <f>B388*0.035</f>
        <v/>
      </c>
      <c r="AH388" s="3">
        <f>B388*0.165</f>
        <v/>
      </c>
      <c r="AI388" s="3">
        <f>MAX(0,AE388-AF388-AH388)</f>
        <v/>
      </c>
      <c r="AJ388" s="3">
        <f>IF(AI388&lt;=490,0,IF(AI388&lt;=600,(AI388-490)*0.05,IF(AI388&lt;=730,5.5+(AI388-600)*0.10,IF(AI388&lt;=3896.67,18.5+(AI388-730)*0.175,IF(AI388&lt;=19896.67,572.67+(AI388-3896.67)*0.25,IF(AI388&lt;=50416.67,4572.67+(AI388-19896.67)*0.30,13728.67+(AI388-50416.67)*0.35))))))</f>
        <v/>
      </c>
      <c r="AK388" s="3" t="n"/>
      <c r="AL388" s="3" t="n"/>
      <c r="AM388" s="3" t="n"/>
      <c r="AN388" s="3" t="n"/>
      <c r="AO388" s="3" t="n"/>
      <c r="AP388" s="3">
        <f>SUM(AF388,AJ388,AK388,AL388,AM388,AN388,AO388,AG388,AH388)</f>
        <v/>
      </c>
      <c r="AQ388" s="3">
        <f>AE388-AP388</f>
        <v/>
      </c>
      <c r="AR388" s="3" t="n"/>
      <c r="AS388" s="3" t="n"/>
      <c r="AT388" s="3">
        <f>AR388-AS388</f>
        <v/>
      </c>
    </row>
    <row r="389">
      <c r="A389" s="2" t="n"/>
      <c r="B389" s="3" t="n"/>
      <c r="C389" s="4" t="n"/>
      <c r="D389" s="5" t="n"/>
      <c r="E389" s="3" t="n"/>
      <c r="F389" s="3">
        <f>IF(C389=0,0,IF(E389="",B389*D389/100,E389))</f>
        <v/>
      </c>
      <c r="G389" s="4" t="n"/>
      <c r="H389" s="5" t="n"/>
      <c r="I389" s="3" t="n"/>
      <c r="J389" s="3">
        <f>IF(G389=0,0,IF(I389="",B389*H389/100,I389))</f>
        <v/>
      </c>
      <c r="K389" s="4" t="n"/>
      <c r="L389" s="5" t="n"/>
      <c r="M389" s="3" t="n"/>
      <c r="N389" s="3">
        <f>IF(K389=0,0,IF(M389="",B389*L389/100,M389))</f>
        <v/>
      </c>
      <c r="O389" s="4" t="n"/>
      <c r="P389" s="5" t="n"/>
      <c r="Q389" s="3" t="n"/>
      <c r="R389" s="3">
        <f>IF(O389=0,0,IF(Q389="",B389*P389/100,Q389))</f>
        <v/>
      </c>
      <c r="S389" s="4" t="n"/>
      <c r="T389" s="5" t="n"/>
      <c r="U389" s="3" t="n"/>
      <c r="V389" s="3">
        <f>IF(S389=0,0,IF(U389="",B389*T389/100,U389))</f>
        <v/>
      </c>
      <c r="W389" s="4" t="n"/>
      <c r="X389" s="5" t="n"/>
      <c r="Y389" s="3" t="n"/>
      <c r="Z389" s="3">
        <f>IF(W389=0,0,IF(Y389="",B389*X389/100,Y389))</f>
        <v/>
      </c>
      <c r="AA389" s="3" t="n"/>
      <c r="AB389" s="3" t="n"/>
      <c r="AC389" s="3">
        <f>B389*0.035</f>
        <v/>
      </c>
      <c r="AD389" s="3">
        <f>B389*0.065</f>
        <v/>
      </c>
      <c r="AE389" s="3">
        <f>SUM(B389,F389,J389,N389,R389,V389,Z389,AA389,AB389,AC389,AD389)</f>
        <v/>
      </c>
      <c r="AF389" s="3">
        <f>B389*0.055</f>
        <v/>
      </c>
      <c r="AG389" s="3">
        <f>B389*0.035</f>
        <v/>
      </c>
      <c r="AH389" s="3">
        <f>B389*0.165</f>
        <v/>
      </c>
      <c r="AI389" s="3">
        <f>MAX(0,AE389-AF389-AH389)</f>
        <v/>
      </c>
      <c r="AJ389" s="3">
        <f>IF(AI389&lt;=490,0,IF(AI389&lt;=600,(AI389-490)*0.05,IF(AI389&lt;=730,5.5+(AI389-600)*0.10,IF(AI389&lt;=3896.67,18.5+(AI389-730)*0.175,IF(AI389&lt;=19896.67,572.67+(AI389-3896.67)*0.25,IF(AI389&lt;=50416.67,4572.67+(AI389-19896.67)*0.30,13728.67+(AI389-50416.67)*0.35))))))</f>
        <v/>
      </c>
      <c r="AK389" s="3" t="n"/>
      <c r="AL389" s="3" t="n"/>
      <c r="AM389" s="3" t="n"/>
      <c r="AN389" s="3" t="n"/>
      <c r="AO389" s="3" t="n"/>
      <c r="AP389" s="3">
        <f>SUM(AF389,AJ389,AK389,AL389,AM389,AN389,AO389,AG389,AH389)</f>
        <v/>
      </c>
      <c r="AQ389" s="3">
        <f>AE389-AP389</f>
        <v/>
      </c>
      <c r="AR389" s="3" t="n"/>
      <c r="AS389" s="3" t="n"/>
      <c r="AT389" s="3">
        <f>AR389-AS389</f>
        <v/>
      </c>
    </row>
    <row r="390">
      <c r="A390" s="2" t="n"/>
      <c r="B390" s="3" t="n"/>
      <c r="C390" s="4" t="n"/>
      <c r="D390" s="5" t="n"/>
      <c r="E390" s="3" t="n"/>
      <c r="F390" s="3">
        <f>IF(C390=0,0,IF(E390="",B390*D390/100,E390))</f>
        <v/>
      </c>
      <c r="G390" s="4" t="n"/>
      <c r="H390" s="5" t="n"/>
      <c r="I390" s="3" t="n"/>
      <c r="J390" s="3">
        <f>IF(G390=0,0,IF(I390="",B390*H390/100,I390))</f>
        <v/>
      </c>
      <c r="K390" s="4" t="n"/>
      <c r="L390" s="5" t="n"/>
      <c r="M390" s="3" t="n"/>
      <c r="N390" s="3">
        <f>IF(K390=0,0,IF(M390="",B390*L390/100,M390))</f>
        <v/>
      </c>
      <c r="O390" s="4" t="n"/>
      <c r="P390" s="5" t="n"/>
      <c r="Q390" s="3" t="n"/>
      <c r="R390" s="3">
        <f>IF(O390=0,0,IF(Q390="",B390*P390/100,Q390))</f>
        <v/>
      </c>
      <c r="S390" s="4" t="n"/>
      <c r="T390" s="5" t="n"/>
      <c r="U390" s="3" t="n"/>
      <c r="V390" s="3">
        <f>IF(S390=0,0,IF(U390="",B390*T390/100,U390))</f>
        <v/>
      </c>
      <c r="W390" s="4" t="n"/>
      <c r="X390" s="5" t="n"/>
      <c r="Y390" s="3" t="n"/>
      <c r="Z390" s="3">
        <f>IF(W390=0,0,IF(Y390="",B390*X390/100,Y390))</f>
        <v/>
      </c>
      <c r="AA390" s="3" t="n"/>
      <c r="AB390" s="3" t="n"/>
      <c r="AC390" s="3">
        <f>B390*0.035</f>
        <v/>
      </c>
      <c r="AD390" s="3">
        <f>B390*0.065</f>
        <v/>
      </c>
      <c r="AE390" s="3">
        <f>SUM(B390,F390,J390,N390,R390,V390,Z390,AA390,AB390,AC390,AD390)</f>
        <v/>
      </c>
      <c r="AF390" s="3">
        <f>B390*0.055</f>
        <v/>
      </c>
      <c r="AG390" s="3">
        <f>B390*0.035</f>
        <v/>
      </c>
      <c r="AH390" s="3">
        <f>B390*0.165</f>
        <v/>
      </c>
      <c r="AI390" s="3">
        <f>MAX(0,AE390-AF390-AH390)</f>
        <v/>
      </c>
      <c r="AJ390" s="3">
        <f>IF(AI390&lt;=490,0,IF(AI390&lt;=600,(AI390-490)*0.05,IF(AI390&lt;=730,5.5+(AI390-600)*0.10,IF(AI390&lt;=3896.67,18.5+(AI390-730)*0.175,IF(AI390&lt;=19896.67,572.67+(AI390-3896.67)*0.25,IF(AI390&lt;=50416.67,4572.67+(AI390-19896.67)*0.30,13728.67+(AI390-50416.67)*0.35))))))</f>
        <v/>
      </c>
      <c r="AK390" s="3" t="n"/>
      <c r="AL390" s="3" t="n"/>
      <c r="AM390" s="3" t="n"/>
      <c r="AN390" s="3" t="n"/>
      <c r="AO390" s="3" t="n"/>
      <c r="AP390" s="3">
        <f>SUM(AF390,AJ390,AK390,AL390,AM390,AN390,AO390,AG390,AH390)</f>
        <v/>
      </c>
      <c r="AQ390" s="3">
        <f>AE390-AP390</f>
        <v/>
      </c>
      <c r="AR390" s="3" t="n"/>
      <c r="AS390" s="3" t="n"/>
      <c r="AT390" s="3">
        <f>AR390-AS390</f>
        <v/>
      </c>
    </row>
    <row r="391">
      <c r="A391" s="2" t="n"/>
      <c r="B391" s="3" t="n"/>
      <c r="C391" s="4" t="n"/>
      <c r="D391" s="5" t="n"/>
      <c r="E391" s="3" t="n"/>
      <c r="F391" s="3">
        <f>IF(C391=0,0,IF(E391="",B391*D391/100,E391))</f>
        <v/>
      </c>
      <c r="G391" s="4" t="n"/>
      <c r="H391" s="5" t="n"/>
      <c r="I391" s="3" t="n"/>
      <c r="J391" s="3">
        <f>IF(G391=0,0,IF(I391="",B391*H391/100,I391))</f>
        <v/>
      </c>
      <c r="K391" s="4" t="n"/>
      <c r="L391" s="5" t="n"/>
      <c r="M391" s="3" t="n"/>
      <c r="N391" s="3">
        <f>IF(K391=0,0,IF(M391="",B391*L391/100,M391))</f>
        <v/>
      </c>
      <c r="O391" s="4" t="n"/>
      <c r="P391" s="5" t="n"/>
      <c r="Q391" s="3" t="n"/>
      <c r="R391" s="3">
        <f>IF(O391=0,0,IF(Q391="",B391*P391/100,Q391))</f>
        <v/>
      </c>
      <c r="S391" s="4" t="n"/>
      <c r="T391" s="5" t="n"/>
      <c r="U391" s="3" t="n"/>
      <c r="V391" s="3">
        <f>IF(S391=0,0,IF(U391="",B391*T391/100,U391))</f>
        <v/>
      </c>
      <c r="W391" s="4" t="n"/>
      <c r="X391" s="5" t="n"/>
      <c r="Y391" s="3" t="n"/>
      <c r="Z391" s="3">
        <f>IF(W391=0,0,IF(Y391="",B391*X391/100,Y391))</f>
        <v/>
      </c>
      <c r="AA391" s="3" t="n"/>
      <c r="AB391" s="3" t="n"/>
      <c r="AC391" s="3">
        <f>B391*0.035</f>
        <v/>
      </c>
      <c r="AD391" s="3">
        <f>B391*0.065</f>
        <v/>
      </c>
      <c r="AE391" s="3">
        <f>SUM(B391,F391,J391,N391,R391,V391,Z391,AA391,AB391,AC391,AD391)</f>
        <v/>
      </c>
      <c r="AF391" s="3">
        <f>B391*0.055</f>
        <v/>
      </c>
      <c r="AG391" s="3">
        <f>B391*0.035</f>
        <v/>
      </c>
      <c r="AH391" s="3">
        <f>B391*0.165</f>
        <v/>
      </c>
      <c r="AI391" s="3">
        <f>MAX(0,AE391-AF391-AH391)</f>
        <v/>
      </c>
      <c r="AJ391" s="3">
        <f>IF(AI391&lt;=490,0,IF(AI391&lt;=600,(AI391-490)*0.05,IF(AI391&lt;=730,5.5+(AI391-600)*0.10,IF(AI391&lt;=3896.67,18.5+(AI391-730)*0.175,IF(AI391&lt;=19896.67,572.67+(AI391-3896.67)*0.25,IF(AI391&lt;=50416.67,4572.67+(AI391-19896.67)*0.30,13728.67+(AI391-50416.67)*0.35))))))</f>
        <v/>
      </c>
      <c r="AK391" s="3" t="n"/>
      <c r="AL391" s="3" t="n"/>
      <c r="AM391" s="3" t="n"/>
      <c r="AN391" s="3" t="n"/>
      <c r="AO391" s="3" t="n"/>
      <c r="AP391" s="3">
        <f>SUM(AF391,AJ391,AK391,AL391,AM391,AN391,AO391,AG391,AH391)</f>
        <v/>
      </c>
      <c r="AQ391" s="3">
        <f>AE391-AP391</f>
        <v/>
      </c>
      <c r="AR391" s="3" t="n"/>
      <c r="AS391" s="3" t="n"/>
      <c r="AT391" s="3">
        <f>AR391-AS391</f>
        <v/>
      </c>
    </row>
    <row r="392">
      <c r="A392" s="2" t="n"/>
      <c r="B392" s="3" t="n"/>
      <c r="C392" s="4" t="n"/>
      <c r="D392" s="5" t="n"/>
      <c r="E392" s="3" t="n"/>
      <c r="F392" s="3">
        <f>IF(C392=0,0,IF(E392="",B392*D392/100,E392))</f>
        <v/>
      </c>
      <c r="G392" s="4" t="n"/>
      <c r="H392" s="5" t="n"/>
      <c r="I392" s="3" t="n"/>
      <c r="J392" s="3">
        <f>IF(G392=0,0,IF(I392="",B392*H392/100,I392))</f>
        <v/>
      </c>
      <c r="K392" s="4" t="n"/>
      <c r="L392" s="5" t="n"/>
      <c r="M392" s="3" t="n"/>
      <c r="N392" s="3">
        <f>IF(K392=0,0,IF(M392="",B392*L392/100,M392))</f>
        <v/>
      </c>
      <c r="O392" s="4" t="n"/>
      <c r="P392" s="5" t="n"/>
      <c r="Q392" s="3" t="n"/>
      <c r="R392" s="3">
        <f>IF(O392=0,0,IF(Q392="",B392*P392/100,Q392))</f>
        <v/>
      </c>
      <c r="S392" s="4" t="n"/>
      <c r="T392" s="5" t="n"/>
      <c r="U392" s="3" t="n"/>
      <c r="V392" s="3">
        <f>IF(S392=0,0,IF(U392="",B392*T392/100,U392))</f>
        <v/>
      </c>
      <c r="W392" s="4" t="n"/>
      <c r="X392" s="5" t="n"/>
      <c r="Y392" s="3" t="n"/>
      <c r="Z392" s="3">
        <f>IF(W392=0,0,IF(Y392="",B392*X392/100,Y392))</f>
        <v/>
      </c>
      <c r="AA392" s="3" t="n"/>
      <c r="AB392" s="3" t="n"/>
      <c r="AC392" s="3">
        <f>B392*0.035</f>
        <v/>
      </c>
      <c r="AD392" s="3">
        <f>B392*0.065</f>
        <v/>
      </c>
      <c r="AE392" s="3">
        <f>SUM(B392,F392,J392,N392,R392,V392,Z392,AA392,AB392,AC392,AD392)</f>
        <v/>
      </c>
      <c r="AF392" s="3">
        <f>B392*0.055</f>
        <v/>
      </c>
      <c r="AG392" s="3">
        <f>B392*0.035</f>
        <v/>
      </c>
      <c r="AH392" s="3">
        <f>B392*0.165</f>
        <v/>
      </c>
      <c r="AI392" s="3">
        <f>MAX(0,AE392-AF392-AH392)</f>
        <v/>
      </c>
      <c r="AJ392" s="3">
        <f>IF(AI392&lt;=490,0,IF(AI392&lt;=600,(AI392-490)*0.05,IF(AI392&lt;=730,5.5+(AI392-600)*0.10,IF(AI392&lt;=3896.67,18.5+(AI392-730)*0.175,IF(AI392&lt;=19896.67,572.67+(AI392-3896.67)*0.25,IF(AI392&lt;=50416.67,4572.67+(AI392-19896.67)*0.30,13728.67+(AI392-50416.67)*0.35))))))</f>
        <v/>
      </c>
      <c r="AK392" s="3" t="n"/>
      <c r="AL392" s="3" t="n"/>
      <c r="AM392" s="3" t="n"/>
      <c r="AN392" s="3" t="n"/>
      <c r="AO392" s="3" t="n"/>
      <c r="AP392" s="3">
        <f>SUM(AF392,AJ392,AK392,AL392,AM392,AN392,AO392,AG392,AH392)</f>
        <v/>
      </c>
      <c r="AQ392" s="3">
        <f>AE392-AP392</f>
        <v/>
      </c>
      <c r="AR392" s="3" t="n"/>
      <c r="AS392" s="3" t="n"/>
      <c r="AT392" s="3">
        <f>AR392-AS392</f>
        <v/>
      </c>
    </row>
    <row r="393">
      <c r="A393" s="2" t="n"/>
      <c r="B393" s="3" t="n"/>
      <c r="C393" s="4" t="n"/>
      <c r="D393" s="5" t="n"/>
      <c r="E393" s="3" t="n"/>
      <c r="F393" s="3">
        <f>IF(C393=0,0,IF(E393="",B393*D393/100,E393))</f>
        <v/>
      </c>
      <c r="G393" s="4" t="n"/>
      <c r="H393" s="5" t="n"/>
      <c r="I393" s="3" t="n"/>
      <c r="J393" s="3">
        <f>IF(G393=0,0,IF(I393="",B393*H393/100,I393))</f>
        <v/>
      </c>
      <c r="K393" s="4" t="n"/>
      <c r="L393" s="5" t="n"/>
      <c r="M393" s="3" t="n"/>
      <c r="N393" s="3">
        <f>IF(K393=0,0,IF(M393="",B393*L393/100,M393))</f>
        <v/>
      </c>
      <c r="O393" s="4" t="n"/>
      <c r="P393" s="5" t="n"/>
      <c r="Q393" s="3" t="n"/>
      <c r="R393" s="3">
        <f>IF(O393=0,0,IF(Q393="",B393*P393/100,Q393))</f>
        <v/>
      </c>
      <c r="S393" s="4" t="n"/>
      <c r="T393" s="5" t="n"/>
      <c r="U393" s="3" t="n"/>
      <c r="V393" s="3">
        <f>IF(S393=0,0,IF(U393="",B393*T393/100,U393))</f>
        <v/>
      </c>
      <c r="W393" s="4" t="n"/>
      <c r="X393" s="5" t="n"/>
      <c r="Y393" s="3" t="n"/>
      <c r="Z393" s="3">
        <f>IF(W393=0,0,IF(Y393="",B393*X393/100,Y393))</f>
        <v/>
      </c>
      <c r="AA393" s="3" t="n"/>
      <c r="AB393" s="3" t="n"/>
      <c r="AC393" s="3">
        <f>B393*0.035</f>
        <v/>
      </c>
      <c r="AD393" s="3">
        <f>B393*0.065</f>
        <v/>
      </c>
      <c r="AE393" s="3">
        <f>SUM(B393,F393,J393,N393,R393,V393,Z393,AA393,AB393,AC393,AD393)</f>
        <v/>
      </c>
      <c r="AF393" s="3">
        <f>B393*0.055</f>
        <v/>
      </c>
      <c r="AG393" s="3">
        <f>B393*0.035</f>
        <v/>
      </c>
      <c r="AH393" s="3">
        <f>B393*0.165</f>
        <v/>
      </c>
      <c r="AI393" s="3">
        <f>MAX(0,AE393-AF393-AH393)</f>
        <v/>
      </c>
      <c r="AJ393" s="3">
        <f>IF(AI393&lt;=490,0,IF(AI393&lt;=600,(AI393-490)*0.05,IF(AI393&lt;=730,5.5+(AI393-600)*0.10,IF(AI393&lt;=3896.67,18.5+(AI393-730)*0.175,IF(AI393&lt;=19896.67,572.67+(AI393-3896.67)*0.25,IF(AI393&lt;=50416.67,4572.67+(AI393-19896.67)*0.30,13728.67+(AI393-50416.67)*0.35))))))</f>
        <v/>
      </c>
      <c r="AK393" s="3" t="n"/>
      <c r="AL393" s="3" t="n"/>
      <c r="AM393" s="3" t="n"/>
      <c r="AN393" s="3" t="n"/>
      <c r="AO393" s="3" t="n"/>
      <c r="AP393" s="3">
        <f>SUM(AF393,AJ393,AK393,AL393,AM393,AN393,AO393,AG393,AH393)</f>
        <v/>
      </c>
      <c r="AQ393" s="3">
        <f>AE393-AP393</f>
        <v/>
      </c>
      <c r="AR393" s="3" t="n"/>
      <c r="AS393" s="3" t="n"/>
      <c r="AT393" s="3">
        <f>AR393-AS393</f>
        <v/>
      </c>
    </row>
    <row r="394">
      <c r="A394" s="2" t="n"/>
      <c r="B394" s="3" t="n"/>
      <c r="C394" s="4" t="n"/>
      <c r="D394" s="5" t="n"/>
      <c r="E394" s="3" t="n"/>
      <c r="F394" s="3">
        <f>IF(C394=0,0,IF(E394="",B394*D394/100,E394))</f>
        <v/>
      </c>
      <c r="G394" s="4" t="n"/>
      <c r="H394" s="5" t="n"/>
      <c r="I394" s="3" t="n"/>
      <c r="J394" s="3">
        <f>IF(G394=0,0,IF(I394="",B394*H394/100,I394))</f>
        <v/>
      </c>
      <c r="K394" s="4" t="n"/>
      <c r="L394" s="5" t="n"/>
      <c r="M394" s="3" t="n"/>
      <c r="N394" s="3">
        <f>IF(K394=0,0,IF(M394="",B394*L394/100,M394))</f>
        <v/>
      </c>
      <c r="O394" s="4" t="n"/>
      <c r="P394" s="5" t="n"/>
      <c r="Q394" s="3" t="n"/>
      <c r="R394" s="3">
        <f>IF(O394=0,0,IF(Q394="",B394*P394/100,Q394))</f>
        <v/>
      </c>
      <c r="S394" s="4" t="n"/>
      <c r="T394" s="5" t="n"/>
      <c r="U394" s="3" t="n"/>
      <c r="V394" s="3">
        <f>IF(S394=0,0,IF(U394="",B394*T394/100,U394))</f>
        <v/>
      </c>
      <c r="W394" s="4" t="n"/>
      <c r="X394" s="5" t="n"/>
      <c r="Y394" s="3" t="n"/>
      <c r="Z394" s="3">
        <f>IF(W394=0,0,IF(Y394="",B394*X394/100,Y394))</f>
        <v/>
      </c>
      <c r="AA394" s="3" t="n"/>
      <c r="AB394" s="3" t="n"/>
      <c r="AC394" s="3">
        <f>B394*0.035</f>
        <v/>
      </c>
      <c r="AD394" s="3">
        <f>B394*0.065</f>
        <v/>
      </c>
      <c r="AE394" s="3">
        <f>SUM(B394,F394,J394,N394,R394,V394,Z394,AA394,AB394,AC394,AD394)</f>
        <v/>
      </c>
      <c r="AF394" s="3">
        <f>B394*0.055</f>
        <v/>
      </c>
      <c r="AG394" s="3">
        <f>B394*0.035</f>
        <v/>
      </c>
      <c r="AH394" s="3">
        <f>B394*0.165</f>
        <v/>
      </c>
      <c r="AI394" s="3">
        <f>MAX(0,AE394-AF394-AH394)</f>
        <v/>
      </c>
      <c r="AJ394" s="3">
        <f>IF(AI394&lt;=490,0,IF(AI394&lt;=600,(AI394-490)*0.05,IF(AI394&lt;=730,5.5+(AI394-600)*0.10,IF(AI394&lt;=3896.67,18.5+(AI394-730)*0.175,IF(AI394&lt;=19896.67,572.67+(AI394-3896.67)*0.25,IF(AI394&lt;=50416.67,4572.67+(AI394-19896.67)*0.30,13728.67+(AI394-50416.67)*0.35))))))</f>
        <v/>
      </c>
      <c r="AK394" s="3" t="n"/>
      <c r="AL394" s="3" t="n"/>
      <c r="AM394" s="3" t="n"/>
      <c r="AN394" s="3" t="n"/>
      <c r="AO394" s="3" t="n"/>
      <c r="AP394" s="3">
        <f>SUM(AF394,AJ394,AK394,AL394,AM394,AN394,AO394,AG394,AH394)</f>
        <v/>
      </c>
      <c r="AQ394" s="3">
        <f>AE394-AP394</f>
        <v/>
      </c>
      <c r="AR394" s="3" t="n"/>
      <c r="AS394" s="3" t="n"/>
      <c r="AT394" s="3">
        <f>AR394-AS394</f>
        <v/>
      </c>
    </row>
    <row r="395">
      <c r="A395" s="2" t="n"/>
      <c r="B395" s="3" t="n"/>
      <c r="C395" s="4" t="n"/>
      <c r="D395" s="5" t="n"/>
      <c r="E395" s="3" t="n"/>
      <c r="F395" s="3">
        <f>IF(C395=0,0,IF(E395="",B395*D395/100,E395))</f>
        <v/>
      </c>
      <c r="G395" s="4" t="n"/>
      <c r="H395" s="5" t="n"/>
      <c r="I395" s="3" t="n"/>
      <c r="J395" s="3">
        <f>IF(G395=0,0,IF(I395="",B395*H395/100,I395))</f>
        <v/>
      </c>
      <c r="K395" s="4" t="n"/>
      <c r="L395" s="5" t="n"/>
      <c r="M395" s="3" t="n"/>
      <c r="N395" s="3">
        <f>IF(K395=0,0,IF(M395="",B395*L395/100,M395))</f>
        <v/>
      </c>
      <c r="O395" s="4" t="n"/>
      <c r="P395" s="5" t="n"/>
      <c r="Q395" s="3" t="n"/>
      <c r="R395" s="3">
        <f>IF(O395=0,0,IF(Q395="",B395*P395/100,Q395))</f>
        <v/>
      </c>
      <c r="S395" s="4" t="n"/>
      <c r="T395" s="5" t="n"/>
      <c r="U395" s="3" t="n"/>
      <c r="V395" s="3">
        <f>IF(S395=0,0,IF(U395="",B395*T395/100,U395))</f>
        <v/>
      </c>
      <c r="W395" s="4" t="n"/>
      <c r="X395" s="5" t="n"/>
      <c r="Y395" s="3" t="n"/>
      <c r="Z395" s="3">
        <f>IF(W395=0,0,IF(Y395="",B395*X395/100,Y395))</f>
        <v/>
      </c>
      <c r="AA395" s="3" t="n"/>
      <c r="AB395" s="3" t="n"/>
      <c r="AC395" s="3">
        <f>B395*0.035</f>
        <v/>
      </c>
      <c r="AD395" s="3">
        <f>B395*0.065</f>
        <v/>
      </c>
      <c r="AE395" s="3">
        <f>SUM(B395,F395,J395,N395,R395,V395,Z395,AA395,AB395,AC395,AD395)</f>
        <v/>
      </c>
      <c r="AF395" s="3">
        <f>B395*0.055</f>
        <v/>
      </c>
      <c r="AG395" s="3">
        <f>B395*0.035</f>
        <v/>
      </c>
      <c r="AH395" s="3">
        <f>B395*0.165</f>
        <v/>
      </c>
      <c r="AI395" s="3">
        <f>MAX(0,AE395-AF395-AH395)</f>
        <v/>
      </c>
      <c r="AJ395" s="3">
        <f>IF(AI395&lt;=490,0,IF(AI395&lt;=600,(AI395-490)*0.05,IF(AI395&lt;=730,5.5+(AI395-600)*0.10,IF(AI395&lt;=3896.67,18.5+(AI395-730)*0.175,IF(AI395&lt;=19896.67,572.67+(AI395-3896.67)*0.25,IF(AI395&lt;=50416.67,4572.67+(AI395-19896.67)*0.30,13728.67+(AI395-50416.67)*0.35))))))</f>
        <v/>
      </c>
      <c r="AK395" s="3" t="n"/>
      <c r="AL395" s="3" t="n"/>
      <c r="AM395" s="3" t="n"/>
      <c r="AN395" s="3" t="n"/>
      <c r="AO395" s="3" t="n"/>
      <c r="AP395" s="3">
        <f>SUM(AF395,AJ395,AK395,AL395,AM395,AN395,AO395,AG395,AH395)</f>
        <v/>
      </c>
      <c r="AQ395" s="3">
        <f>AE395-AP395</f>
        <v/>
      </c>
      <c r="AR395" s="3" t="n"/>
      <c r="AS395" s="3" t="n"/>
      <c r="AT395" s="3">
        <f>AR395-AS395</f>
        <v/>
      </c>
    </row>
    <row r="396">
      <c r="A396" s="2" t="n"/>
      <c r="B396" s="3" t="n"/>
      <c r="C396" s="4" t="n"/>
      <c r="D396" s="5" t="n"/>
      <c r="E396" s="3" t="n"/>
      <c r="F396" s="3">
        <f>IF(C396=0,0,IF(E396="",B396*D396/100,E396))</f>
        <v/>
      </c>
      <c r="G396" s="4" t="n"/>
      <c r="H396" s="5" t="n"/>
      <c r="I396" s="3" t="n"/>
      <c r="J396" s="3">
        <f>IF(G396=0,0,IF(I396="",B396*H396/100,I396))</f>
        <v/>
      </c>
      <c r="K396" s="4" t="n"/>
      <c r="L396" s="5" t="n"/>
      <c r="M396" s="3" t="n"/>
      <c r="N396" s="3">
        <f>IF(K396=0,0,IF(M396="",B396*L396/100,M396))</f>
        <v/>
      </c>
      <c r="O396" s="4" t="n"/>
      <c r="P396" s="5" t="n"/>
      <c r="Q396" s="3" t="n"/>
      <c r="R396" s="3">
        <f>IF(O396=0,0,IF(Q396="",B396*P396/100,Q396))</f>
        <v/>
      </c>
      <c r="S396" s="4" t="n"/>
      <c r="T396" s="5" t="n"/>
      <c r="U396" s="3" t="n"/>
      <c r="V396" s="3">
        <f>IF(S396=0,0,IF(U396="",B396*T396/100,U396))</f>
        <v/>
      </c>
      <c r="W396" s="4" t="n"/>
      <c r="X396" s="5" t="n"/>
      <c r="Y396" s="3" t="n"/>
      <c r="Z396" s="3">
        <f>IF(W396=0,0,IF(Y396="",B396*X396/100,Y396))</f>
        <v/>
      </c>
      <c r="AA396" s="3" t="n"/>
      <c r="AB396" s="3" t="n"/>
      <c r="AC396" s="3">
        <f>B396*0.035</f>
        <v/>
      </c>
      <c r="AD396" s="3">
        <f>B396*0.065</f>
        <v/>
      </c>
      <c r="AE396" s="3">
        <f>SUM(B396,F396,J396,N396,R396,V396,Z396,AA396,AB396,AC396,AD396)</f>
        <v/>
      </c>
      <c r="AF396" s="3">
        <f>B396*0.055</f>
        <v/>
      </c>
      <c r="AG396" s="3">
        <f>B396*0.035</f>
        <v/>
      </c>
      <c r="AH396" s="3">
        <f>B396*0.165</f>
        <v/>
      </c>
      <c r="AI396" s="3">
        <f>MAX(0,AE396-AF396-AH396)</f>
        <v/>
      </c>
      <c r="AJ396" s="3">
        <f>IF(AI396&lt;=490,0,IF(AI396&lt;=600,(AI396-490)*0.05,IF(AI396&lt;=730,5.5+(AI396-600)*0.10,IF(AI396&lt;=3896.67,18.5+(AI396-730)*0.175,IF(AI396&lt;=19896.67,572.67+(AI396-3896.67)*0.25,IF(AI396&lt;=50416.67,4572.67+(AI396-19896.67)*0.30,13728.67+(AI396-50416.67)*0.35))))))</f>
        <v/>
      </c>
      <c r="AK396" s="3" t="n"/>
      <c r="AL396" s="3" t="n"/>
      <c r="AM396" s="3" t="n"/>
      <c r="AN396" s="3" t="n"/>
      <c r="AO396" s="3" t="n"/>
      <c r="AP396" s="3">
        <f>SUM(AF396,AJ396,AK396,AL396,AM396,AN396,AO396,AG396,AH396)</f>
        <v/>
      </c>
      <c r="AQ396" s="3">
        <f>AE396-AP396</f>
        <v/>
      </c>
      <c r="AR396" s="3" t="n"/>
      <c r="AS396" s="3" t="n"/>
      <c r="AT396" s="3">
        <f>AR396-AS396</f>
        <v/>
      </c>
    </row>
    <row r="397">
      <c r="A397" s="2" t="n"/>
      <c r="B397" s="3" t="n"/>
      <c r="C397" s="4" t="n"/>
      <c r="D397" s="5" t="n"/>
      <c r="E397" s="3" t="n"/>
      <c r="F397" s="3">
        <f>IF(C397=0,0,IF(E397="",B397*D397/100,E397))</f>
        <v/>
      </c>
      <c r="G397" s="4" t="n"/>
      <c r="H397" s="5" t="n"/>
      <c r="I397" s="3" t="n"/>
      <c r="J397" s="3">
        <f>IF(G397=0,0,IF(I397="",B397*H397/100,I397))</f>
        <v/>
      </c>
      <c r="K397" s="4" t="n"/>
      <c r="L397" s="5" t="n"/>
      <c r="M397" s="3" t="n"/>
      <c r="N397" s="3">
        <f>IF(K397=0,0,IF(M397="",B397*L397/100,M397))</f>
        <v/>
      </c>
      <c r="O397" s="4" t="n"/>
      <c r="P397" s="5" t="n"/>
      <c r="Q397" s="3" t="n"/>
      <c r="R397" s="3">
        <f>IF(O397=0,0,IF(Q397="",B397*P397/100,Q397))</f>
        <v/>
      </c>
      <c r="S397" s="4" t="n"/>
      <c r="T397" s="5" t="n"/>
      <c r="U397" s="3" t="n"/>
      <c r="V397" s="3">
        <f>IF(S397=0,0,IF(U397="",B397*T397/100,U397))</f>
        <v/>
      </c>
      <c r="W397" s="4" t="n"/>
      <c r="X397" s="5" t="n"/>
      <c r="Y397" s="3" t="n"/>
      <c r="Z397" s="3">
        <f>IF(W397=0,0,IF(Y397="",B397*X397/100,Y397))</f>
        <v/>
      </c>
      <c r="AA397" s="3" t="n"/>
      <c r="AB397" s="3" t="n"/>
      <c r="AC397" s="3">
        <f>B397*0.035</f>
        <v/>
      </c>
      <c r="AD397" s="3">
        <f>B397*0.065</f>
        <v/>
      </c>
      <c r="AE397" s="3">
        <f>SUM(B397,F397,J397,N397,R397,V397,Z397,AA397,AB397,AC397,AD397)</f>
        <v/>
      </c>
      <c r="AF397" s="3">
        <f>B397*0.055</f>
        <v/>
      </c>
      <c r="AG397" s="3">
        <f>B397*0.035</f>
        <v/>
      </c>
      <c r="AH397" s="3">
        <f>B397*0.165</f>
        <v/>
      </c>
      <c r="AI397" s="3">
        <f>MAX(0,AE397-AF397-AH397)</f>
        <v/>
      </c>
      <c r="AJ397" s="3">
        <f>IF(AI397&lt;=490,0,IF(AI397&lt;=600,(AI397-490)*0.05,IF(AI397&lt;=730,5.5+(AI397-600)*0.10,IF(AI397&lt;=3896.67,18.5+(AI397-730)*0.175,IF(AI397&lt;=19896.67,572.67+(AI397-3896.67)*0.25,IF(AI397&lt;=50416.67,4572.67+(AI397-19896.67)*0.30,13728.67+(AI397-50416.67)*0.35))))))</f>
        <v/>
      </c>
      <c r="AK397" s="3" t="n"/>
      <c r="AL397" s="3" t="n"/>
      <c r="AM397" s="3" t="n"/>
      <c r="AN397" s="3" t="n"/>
      <c r="AO397" s="3" t="n"/>
      <c r="AP397" s="3">
        <f>SUM(AF397,AJ397,AK397,AL397,AM397,AN397,AO397,AG397,AH397)</f>
        <v/>
      </c>
      <c r="AQ397" s="3">
        <f>AE397-AP397</f>
        <v/>
      </c>
      <c r="AR397" s="3" t="n"/>
      <c r="AS397" s="3" t="n"/>
      <c r="AT397" s="3">
        <f>AR397-AS397</f>
        <v/>
      </c>
    </row>
    <row r="398">
      <c r="A398" s="2" t="n"/>
      <c r="B398" s="3" t="n"/>
      <c r="C398" s="4" t="n"/>
      <c r="D398" s="5" t="n"/>
      <c r="E398" s="3" t="n"/>
      <c r="F398" s="3">
        <f>IF(C398=0,0,IF(E398="",B398*D398/100,E398))</f>
        <v/>
      </c>
      <c r="G398" s="4" t="n"/>
      <c r="H398" s="5" t="n"/>
      <c r="I398" s="3" t="n"/>
      <c r="J398" s="3">
        <f>IF(G398=0,0,IF(I398="",B398*H398/100,I398))</f>
        <v/>
      </c>
      <c r="K398" s="4" t="n"/>
      <c r="L398" s="5" t="n"/>
      <c r="M398" s="3" t="n"/>
      <c r="N398" s="3">
        <f>IF(K398=0,0,IF(M398="",B398*L398/100,M398))</f>
        <v/>
      </c>
      <c r="O398" s="4" t="n"/>
      <c r="P398" s="5" t="n"/>
      <c r="Q398" s="3" t="n"/>
      <c r="R398" s="3">
        <f>IF(O398=0,0,IF(Q398="",B398*P398/100,Q398))</f>
        <v/>
      </c>
      <c r="S398" s="4" t="n"/>
      <c r="T398" s="5" t="n"/>
      <c r="U398" s="3" t="n"/>
      <c r="V398" s="3">
        <f>IF(S398=0,0,IF(U398="",B398*T398/100,U398))</f>
        <v/>
      </c>
      <c r="W398" s="4" t="n"/>
      <c r="X398" s="5" t="n"/>
      <c r="Y398" s="3" t="n"/>
      <c r="Z398" s="3">
        <f>IF(W398=0,0,IF(Y398="",B398*X398/100,Y398))</f>
        <v/>
      </c>
      <c r="AA398" s="3" t="n"/>
      <c r="AB398" s="3" t="n"/>
      <c r="AC398" s="3">
        <f>B398*0.035</f>
        <v/>
      </c>
      <c r="AD398" s="3">
        <f>B398*0.065</f>
        <v/>
      </c>
      <c r="AE398" s="3">
        <f>SUM(B398,F398,J398,N398,R398,V398,Z398,AA398,AB398,AC398,AD398)</f>
        <v/>
      </c>
      <c r="AF398" s="3">
        <f>B398*0.055</f>
        <v/>
      </c>
      <c r="AG398" s="3">
        <f>B398*0.035</f>
        <v/>
      </c>
      <c r="AH398" s="3">
        <f>B398*0.165</f>
        <v/>
      </c>
      <c r="AI398" s="3">
        <f>MAX(0,AE398-AF398-AH398)</f>
        <v/>
      </c>
      <c r="AJ398" s="3">
        <f>IF(AI398&lt;=490,0,IF(AI398&lt;=600,(AI398-490)*0.05,IF(AI398&lt;=730,5.5+(AI398-600)*0.10,IF(AI398&lt;=3896.67,18.5+(AI398-730)*0.175,IF(AI398&lt;=19896.67,572.67+(AI398-3896.67)*0.25,IF(AI398&lt;=50416.67,4572.67+(AI398-19896.67)*0.30,13728.67+(AI398-50416.67)*0.35))))))</f>
        <v/>
      </c>
      <c r="AK398" s="3" t="n"/>
      <c r="AL398" s="3" t="n"/>
      <c r="AM398" s="3" t="n"/>
      <c r="AN398" s="3" t="n"/>
      <c r="AO398" s="3" t="n"/>
      <c r="AP398" s="3">
        <f>SUM(AF398,AJ398,AK398,AL398,AM398,AN398,AO398,AG398,AH398)</f>
        <v/>
      </c>
      <c r="AQ398" s="3">
        <f>AE398-AP398</f>
        <v/>
      </c>
      <c r="AR398" s="3" t="n"/>
      <c r="AS398" s="3" t="n"/>
      <c r="AT398" s="3">
        <f>AR398-AS398</f>
        <v/>
      </c>
    </row>
    <row r="399">
      <c r="A399" s="2" t="n"/>
      <c r="B399" s="3" t="n"/>
      <c r="C399" s="4" t="n"/>
      <c r="D399" s="5" t="n"/>
      <c r="E399" s="3" t="n"/>
      <c r="F399" s="3">
        <f>IF(C399=0,0,IF(E399="",B399*D399/100,E399))</f>
        <v/>
      </c>
      <c r="G399" s="4" t="n"/>
      <c r="H399" s="5" t="n"/>
      <c r="I399" s="3" t="n"/>
      <c r="J399" s="3">
        <f>IF(G399=0,0,IF(I399="",B399*H399/100,I399))</f>
        <v/>
      </c>
      <c r="K399" s="4" t="n"/>
      <c r="L399" s="5" t="n"/>
      <c r="M399" s="3" t="n"/>
      <c r="N399" s="3">
        <f>IF(K399=0,0,IF(M399="",B399*L399/100,M399))</f>
        <v/>
      </c>
      <c r="O399" s="4" t="n"/>
      <c r="P399" s="5" t="n"/>
      <c r="Q399" s="3" t="n"/>
      <c r="R399" s="3">
        <f>IF(O399=0,0,IF(Q399="",B399*P399/100,Q399))</f>
        <v/>
      </c>
      <c r="S399" s="4" t="n"/>
      <c r="T399" s="5" t="n"/>
      <c r="U399" s="3" t="n"/>
      <c r="V399" s="3">
        <f>IF(S399=0,0,IF(U399="",B399*T399/100,U399))</f>
        <v/>
      </c>
      <c r="W399" s="4" t="n"/>
      <c r="X399" s="5" t="n"/>
      <c r="Y399" s="3" t="n"/>
      <c r="Z399" s="3">
        <f>IF(W399=0,0,IF(Y399="",B399*X399/100,Y399))</f>
        <v/>
      </c>
      <c r="AA399" s="3" t="n"/>
      <c r="AB399" s="3" t="n"/>
      <c r="AC399" s="3">
        <f>B399*0.035</f>
        <v/>
      </c>
      <c r="AD399" s="3">
        <f>B399*0.065</f>
        <v/>
      </c>
      <c r="AE399" s="3">
        <f>SUM(B399,F399,J399,N399,R399,V399,Z399,AA399,AB399,AC399,AD399)</f>
        <v/>
      </c>
      <c r="AF399" s="3">
        <f>B399*0.055</f>
        <v/>
      </c>
      <c r="AG399" s="3">
        <f>B399*0.035</f>
        <v/>
      </c>
      <c r="AH399" s="3">
        <f>B399*0.165</f>
        <v/>
      </c>
      <c r="AI399" s="3">
        <f>MAX(0,AE399-AF399-AH399)</f>
        <v/>
      </c>
      <c r="AJ399" s="3">
        <f>IF(AI399&lt;=490,0,IF(AI399&lt;=600,(AI399-490)*0.05,IF(AI399&lt;=730,5.5+(AI399-600)*0.10,IF(AI399&lt;=3896.67,18.5+(AI399-730)*0.175,IF(AI399&lt;=19896.67,572.67+(AI399-3896.67)*0.25,IF(AI399&lt;=50416.67,4572.67+(AI399-19896.67)*0.30,13728.67+(AI399-50416.67)*0.35))))))</f>
        <v/>
      </c>
      <c r="AK399" s="3" t="n"/>
      <c r="AL399" s="3" t="n"/>
      <c r="AM399" s="3" t="n"/>
      <c r="AN399" s="3" t="n"/>
      <c r="AO399" s="3" t="n"/>
      <c r="AP399" s="3">
        <f>SUM(AF399,AJ399,AK399,AL399,AM399,AN399,AO399,AG399,AH399)</f>
        <v/>
      </c>
      <c r="AQ399" s="3">
        <f>AE399-AP399</f>
        <v/>
      </c>
      <c r="AR399" s="3" t="n"/>
      <c r="AS399" s="3" t="n"/>
      <c r="AT399" s="3">
        <f>AR399-AS399</f>
        <v/>
      </c>
    </row>
    <row r="400">
      <c r="A400" s="2" t="n"/>
      <c r="B400" s="3" t="n"/>
      <c r="C400" s="4" t="n"/>
      <c r="D400" s="5" t="n"/>
      <c r="E400" s="3" t="n"/>
      <c r="F400" s="3">
        <f>IF(C400=0,0,IF(E400="",B400*D400/100,E400))</f>
        <v/>
      </c>
      <c r="G400" s="4" t="n"/>
      <c r="H400" s="5" t="n"/>
      <c r="I400" s="3" t="n"/>
      <c r="J400" s="3">
        <f>IF(G400=0,0,IF(I400="",B400*H400/100,I400))</f>
        <v/>
      </c>
      <c r="K400" s="4" t="n"/>
      <c r="L400" s="5" t="n"/>
      <c r="M400" s="3" t="n"/>
      <c r="N400" s="3">
        <f>IF(K400=0,0,IF(M400="",B400*L400/100,M400))</f>
        <v/>
      </c>
      <c r="O400" s="4" t="n"/>
      <c r="P400" s="5" t="n"/>
      <c r="Q400" s="3" t="n"/>
      <c r="R400" s="3">
        <f>IF(O400=0,0,IF(Q400="",B400*P400/100,Q400))</f>
        <v/>
      </c>
      <c r="S400" s="4" t="n"/>
      <c r="T400" s="5" t="n"/>
      <c r="U400" s="3" t="n"/>
      <c r="V400" s="3">
        <f>IF(S400=0,0,IF(U400="",B400*T400/100,U400))</f>
        <v/>
      </c>
      <c r="W400" s="4" t="n"/>
      <c r="X400" s="5" t="n"/>
      <c r="Y400" s="3" t="n"/>
      <c r="Z400" s="3">
        <f>IF(W400=0,0,IF(Y400="",B400*X400/100,Y400))</f>
        <v/>
      </c>
      <c r="AA400" s="3" t="n"/>
      <c r="AB400" s="3" t="n"/>
      <c r="AC400" s="3">
        <f>B400*0.035</f>
        <v/>
      </c>
      <c r="AD400" s="3">
        <f>B400*0.065</f>
        <v/>
      </c>
      <c r="AE400" s="3">
        <f>SUM(B400,F400,J400,N400,R400,V400,Z400,AA400,AB400,AC400,AD400)</f>
        <v/>
      </c>
      <c r="AF400" s="3">
        <f>B400*0.055</f>
        <v/>
      </c>
      <c r="AG400" s="3">
        <f>B400*0.035</f>
        <v/>
      </c>
      <c r="AH400" s="3">
        <f>B400*0.165</f>
        <v/>
      </c>
      <c r="AI400" s="3">
        <f>MAX(0,AE400-AF400-AH400)</f>
        <v/>
      </c>
      <c r="AJ400" s="3">
        <f>IF(AI400&lt;=490,0,IF(AI400&lt;=600,(AI400-490)*0.05,IF(AI400&lt;=730,5.5+(AI400-600)*0.10,IF(AI400&lt;=3896.67,18.5+(AI400-730)*0.175,IF(AI400&lt;=19896.67,572.67+(AI400-3896.67)*0.25,IF(AI400&lt;=50416.67,4572.67+(AI400-19896.67)*0.30,13728.67+(AI400-50416.67)*0.35))))))</f>
        <v/>
      </c>
      <c r="AK400" s="3" t="n"/>
      <c r="AL400" s="3" t="n"/>
      <c r="AM400" s="3" t="n"/>
      <c r="AN400" s="3" t="n"/>
      <c r="AO400" s="3" t="n"/>
      <c r="AP400" s="3">
        <f>SUM(AF400,AJ400,AK400,AL400,AM400,AN400,AO400,AG400,AH400)</f>
        <v/>
      </c>
      <c r="AQ400" s="3">
        <f>AE400-AP400</f>
        <v/>
      </c>
      <c r="AR400" s="3" t="n"/>
      <c r="AS400" s="3" t="n"/>
      <c r="AT400" s="3">
        <f>AR400-AS400</f>
        <v/>
      </c>
    </row>
    <row r="401">
      <c r="A401" s="2" t="n"/>
      <c r="B401" s="3" t="n"/>
      <c r="C401" s="4" t="n"/>
      <c r="D401" s="5" t="n"/>
      <c r="E401" s="3" t="n"/>
      <c r="F401" s="3">
        <f>IF(C401=0,0,IF(E401="",B401*D401/100,E401))</f>
        <v/>
      </c>
      <c r="G401" s="4" t="n"/>
      <c r="H401" s="5" t="n"/>
      <c r="I401" s="3" t="n"/>
      <c r="J401" s="3">
        <f>IF(G401=0,0,IF(I401="",B401*H401/100,I401))</f>
        <v/>
      </c>
      <c r="K401" s="4" t="n"/>
      <c r="L401" s="5" t="n"/>
      <c r="M401" s="3" t="n"/>
      <c r="N401" s="3">
        <f>IF(K401=0,0,IF(M401="",B401*L401/100,M401))</f>
        <v/>
      </c>
      <c r="O401" s="4" t="n"/>
      <c r="P401" s="5" t="n"/>
      <c r="Q401" s="3" t="n"/>
      <c r="R401" s="3">
        <f>IF(O401=0,0,IF(Q401="",B401*P401/100,Q401))</f>
        <v/>
      </c>
      <c r="S401" s="4" t="n"/>
      <c r="T401" s="5" t="n"/>
      <c r="U401" s="3" t="n"/>
      <c r="V401" s="3">
        <f>IF(S401=0,0,IF(U401="",B401*T401/100,U401))</f>
        <v/>
      </c>
      <c r="W401" s="4" t="n"/>
      <c r="X401" s="5" t="n"/>
      <c r="Y401" s="3" t="n"/>
      <c r="Z401" s="3">
        <f>IF(W401=0,0,IF(Y401="",B401*X401/100,Y401))</f>
        <v/>
      </c>
      <c r="AA401" s="3" t="n"/>
      <c r="AB401" s="3" t="n"/>
      <c r="AC401" s="3">
        <f>B401*0.035</f>
        <v/>
      </c>
      <c r="AD401" s="3">
        <f>B401*0.065</f>
        <v/>
      </c>
      <c r="AE401" s="3">
        <f>SUM(B401,F401,J401,N401,R401,V401,Z401,AA401,AB401,AC401,AD401)</f>
        <v/>
      </c>
      <c r="AF401" s="3">
        <f>B401*0.055</f>
        <v/>
      </c>
      <c r="AG401" s="3">
        <f>B401*0.035</f>
        <v/>
      </c>
      <c r="AH401" s="3">
        <f>B401*0.165</f>
        <v/>
      </c>
      <c r="AI401" s="3">
        <f>MAX(0,AE401-AF401-AH401)</f>
        <v/>
      </c>
      <c r="AJ401" s="3">
        <f>IF(AI401&lt;=490,0,IF(AI401&lt;=600,(AI401-490)*0.05,IF(AI401&lt;=730,5.5+(AI401-600)*0.10,IF(AI401&lt;=3896.67,18.5+(AI401-730)*0.175,IF(AI401&lt;=19896.67,572.67+(AI401-3896.67)*0.25,IF(AI401&lt;=50416.67,4572.67+(AI401-19896.67)*0.30,13728.67+(AI401-50416.67)*0.35))))))</f>
        <v/>
      </c>
      <c r="AK401" s="3" t="n"/>
      <c r="AL401" s="3" t="n"/>
      <c r="AM401" s="3" t="n"/>
      <c r="AN401" s="3" t="n"/>
      <c r="AO401" s="3" t="n"/>
      <c r="AP401" s="3">
        <f>SUM(AF401,AJ401,AK401,AL401,AM401,AN401,AO401,AG401,AH401)</f>
        <v/>
      </c>
      <c r="AQ401" s="3">
        <f>AE401-AP401</f>
        <v/>
      </c>
      <c r="AR401" s="3" t="n"/>
      <c r="AS401" s="3" t="n"/>
      <c r="AT401" s="3">
        <f>AR401-AS401</f>
        <v/>
      </c>
    </row>
    <row r="402">
      <c r="A402" s="2" t="n"/>
      <c r="B402" s="3" t="n"/>
      <c r="C402" s="4" t="n"/>
      <c r="D402" s="5" t="n"/>
      <c r="E402" s="3" t="n"/>
      <c r="F402" s="3">
        <f>IF(C402=0,0,IF(E402="",B402*D402/100,E402))</f>
        <v/>
      </c>
      <c r="G402" s="4" t="n"/>
      <c r="H402" s="5" t="n"/>
      <c r="I402" s="3" t="n"/>
      <c r="J402" s="3">
        <f>IF(G402=0,0,IF(I402="",B402*H402/100,I402))</f>
        <v/>
      </c>
      <c r="K402" s="4" t="n"/>
      <c r="L402" s="5" t="n"/>
      <c r="M402" s="3" t="n"/>
      <c r="N402" s="3">
        <f>IF(K402=0,0,IF(M402="",B402*L402/100,M402))</f>
        <v/>
      </c>
      <c r="O402" s="4" t="n"/>
      <c r="P402" s="5" t="n"/>
      <c r="Q402" s="3" t="n"/>
      <c r="R402" s="3">
        <f>IF(O402=0,0,IF(Q402="",B402*P402/100,Q402))</f>
        <v/>
      </c>
      <c r="S402" s="4" t="n"/>
      <c r="T402" s="5" t="n"/>
      <c r="U402" s="3" t="n"/>
      <c r="V402" s="3">
        <f>IF(S402=0,0,IF(U402="",B402*T402/100,U402))</f>
        <v/>
      </c>
      <c r="W402" s="4" t="n"/>
      <c r="X402" s="5" t="n"/>
      <c r="Y402" s="3" t="n"/>
      <c r="Z402" s="3">
        <f>IF(W402=0,0,IF(Y402="",B402*X402/100,Y402))</f>
        <v/>
      </c>
      <c r="AA402" s="3" t="n"/>
      <c r="AB402" s="3" t="n"/>
      <c r="AC402" s="3">
        <f>B402*0.035</f>
        <v/>
      </c>
      <c r="AD402" s="3">
        <f>B402*0.065</f>
        <v/>
      </c>
      <c r="AE402" s="3">
        <f>SUM(B402,F402,J402,N402,R402,V402,Z402,AA402,AB402,AC402,AD402)</f>
        <v/>
      </c>
      <c r="AF402" s="3">
        <f>B402*0.055</f>
        <v/>
      </c>
      <c r="AG402" s="3">
        <f>B402*0.035</f>
        <v/>
      </c>
      <c r="AH402" s="3">
        <f>B402*0.165</f>
        <v/>
      </c>
      <c r="AI402" s="3">
        <f>MAX(0,AE402-AF402-AH402)</f>
        <v/>
      </c>
      <c r="AJ402" s="3">
        <f>IF(AI402&lt;=490,0,IF(AI402&lt;=600,(AI402-490)*0.05,IF(AI402&lt;=730,5.5+(AI402-600)*0.10,IF(AI402&lt;=3896.67,18.5+(AI402-730)*0.175,IF(AI402&lt;=19896.67,572.67+(AI402-3896.67)*0.25,IF(AI402&lt;=50416.67,4572.67+(AI402-19896.67)*0.30,13728.67+(AI402-50416.67)*0.35))))))</f>
        <v/>
      </c>
      <c r="AK402" s="3" t="n"/>
      <c r="AL402" s="3" t="n"/>
      <c r="AM402" s="3" t="n"/>
      <c r="AN402" s="3" t="n"/>
      <c r="AO402" s="3" t="n"/>
      <c r="AP402" s="3">
        <f>SUM(AF402,AJ402,AK402,AL402,AM402,AN402,AO402,AG402,AH402)</f>
        <v/>
      </c>
      <c r="AQ402" s="3">
        <f>AE402-AP402</f>
        <v/>
      </c>
      <c r="AR402" s="3" t="n"/>
      <c r="AS402" s="3" t="n"/>
      <c r="AT402" s="3">
        <f>AR402-AS402</f>
        <v/>
      </c>
    </row>
    <row r="403">
      <c r="A403" s="2" t="n"/>
      <c r="B403" s="3" t="n"/>
      <c r="C403" s="4" t="n"/>
      <c r="D403" s="5" t="n"/>
      <c r="E403" s="3" t="n"/>
      <c r="F403" s="3">
        <f>IF(C403=0,0,IF(E403="",B403*D403/100,E403))</f>
        <v/>
      </c>
      <c r="G403" s="4" t="n"/>
      <c r="H403" s="5" t="n"/>
      <c r="I403" s="3" t="n"/>
      <c r="J403" s="3">
        <f>IF(G403=0,0,IF(I403="",B403*H403/100,I403))</f>
        <v/>
      </c>
      <c r="K403" s="4" t="n"/>
      <c r="L403" s="5" t="n"/>
      <c r="M403" s="3" t="n"/>
      <c r="N403" s="3">
        <f>IF(K403=0,0,IF(M403="",B403*L403/100,M403))</f>
        <v/>
      </c>
      <c r="O403" s="4" t="n"/>
      <c r="P403" s="5" t="n"/>
      <c r="Q403" s="3" t="n"/>
      <c r="R403" s="3">
        <f>IF(O403=0,0,IF(Q403="",B403*P403/100,Q403))</f>
        <v/>
      </c>
      <c r="S403" s="4" t="n"/>
      <c r="T403" s="5" t="n"/>
      <c r="U403" s="3" t="n"/>
      <c r="V403" s="3">
        <f>IF(S403=0,0,IF(U403="",B403*T403/100,U403))</f>
        <v/>
      </c>
      <c r="W403" s="4" t="n"/>
      <c r="X403" s="5" t="n"/>
      <c r="Y403" s="3" t="n"/>
      <c r="Z403" s="3">
        <f>IF(W403=0,0,IF(Y403="",B403*X403/100,Y403))</f>
        <v/>
      </c>
      <c r="AA403" s="3" t="n"/>
      <c r="AB403" s="3" t="n"/>
      <c r="AC403" s="3">
        <f>B403*0.035</f>
        <v/>
      </c>
      <c r="AD403" s="3">
        <f>B403*0.065</f>
        <v/>
      </c>
      <c r="AE403" s="3">
        <f>SUM(B403,F403,J403,N403,R403,V403,Z403,AA403,AB403,AC403,AD403)</f>
        <v/>
      </c>
      <c r="AF403" s="3">
        <f>B403*0.055</f>
        <v/>
      </c>
      <c r="AG403" s="3">
        <f>B403*0.035</f>
        <v/>
      </c>
      <c r="AH403" s="3">
        <f>B403*0.165</f>
        <v/>
      </c>
      <c r="AI403" s="3">
        <f>MAX(0,AE403-AF403-AH403)</f>
        <v/>
      </c>
      <c r="AJ403" s="3">
        <f>IF(AI403&lt;=490,0,IF(AI403&lt;=600,(AI403-490)*0.05,IF(AI403&lt;=730,5.5+(AI403-600)*0.10,IF(AI403&lt;=3896.67,18.5+(AI403-730)*0.175,IF(AI403&lt;=19896.67,572.67+(AI403-3896.67)*0.25,IF(AI403&lt;=50416.67,4572.67+(AI403-19896.67)*0.30,13728.67+(AI403-50416.67)*0.35))))))</f>
        <v/>
      </c>
      <c r="AK403" s="3" t="n"/>
      <c r="AL403" s="3" t="n"/>
      <c r="AM403" s="3" t="n"/>
      <c r="AN403" s="3" t="n"/>
      <c r="AO403" s="3" t="n"/>
      <c r="AP403" s="3">
        <f>SUM(AF403,AJ403,AK403,AL403,AM403,AN403,AO403,AG403,AH403)</f>
        <v/>
      </c>
      <c r="AQ403" s="3">
        <f>AE403-AP403</f>
        <v/>
      </c>
      <c r="AR403" s="3" t="n"/>
      <c r="AS403" s="3" t="n"/>
      <c r="AT403" s="3">
        <f>AR403-AS403</f>
        <v/>
      </c>
    </row>
    <row r="404">
      <c r="A404" s="2" t="n"/>
      <c r="B404" s="3" t="n"/>
      <c r="C404" s="4" t="n"/>
      <c r="D404" s="5" t="n"/>
      <c r="E404" s="3" t="n"/>
      <c r="F404" s="3">
        <f>IF(C404=0,0,IF(E404="",B404*D404/100,E404))</f>
        <v/>
      </c>
      <c r="G404" s="4" t="n"/>
      <c r="H404" s="5" t="n"/>
      <c r="I404" s="3" t="n"/>
      <c r="J404" s="3">
        <f>IF(G404=0,0,IF(I404="",B404*H404/100,I404))</f>
        <v/>
      </c>
      <c r="K404" s="4" t="n"/>
      <c r="L404" s="5" t="n"/>
      <c r="M404" s="3" t="n"/>
      <c r="N404" s="3">
        <f>IF(K404=0,0,IF(M404="",B404*L404/100,M404))</f>
        <v/>
      </c>
      <c r="O404" s="4" t="n"/>
      <c r="P404" s="5" t="n"/>
      <c r="Q404" s="3" t="n"/>
      <c r="R404" s="3">
        <f>IF(O404=0,0,IF(Q404="",B404*P404/100,Q404))</f>
        <v/>
      </c>
      <c r="S404" s="4" t="n"/>
      <c r="T404" s="5" t="n"/>
      <c r="U404" s="3" t="n"/>
      <c r="V404" s="3">
        <f>IF(S404=0,0,IF(U404="",B404*T404/100,U404))</f>
        <v/>
      </c>
      <c r="W404" s="4" t="n"/>
      <c r="X404" s="5" t="n"/>
      <c r="Y404" s="3" t="n"/>
      <c r="Z404" s="3">
        <f>IF(W404=0,0,IF(Y404="",B404*X404/100,Y404))</f>
        <v/>
      </c>
      <c r="AA404" s="3" t="n"/>
      <c r="AB404" s="3" t="n"/>
      <c r="AC404" s="3">
        <f>B404*0.035</f>
        <v/>
      </c>
      <c r="AD404" s="3">
        <f>B404*0.065</f>
        <v/>
      </c>
      <c r="AE404" s="3">
        <f>SUM(B404,F404,J404,N404,R404,V404,Z404,AA404,AB404,AC404,AD404)</f>
        <v/>
      </c>
      <c r="AF404" s="3">
        <f>B404*0.055</f>
        <v/>
      </c>
      <c r="AG404" s="3">
        <f>B404*0.035</f>
        <v/>
      </c>
      <c r="AH404" s="3">
        <f>B404*0.165</f>
        <v/>
      </c>
      <c r="AI404" s="3">
        <f>MAX(0,AE404-AF404-AH404)</f>
        <v/>
      </c>
      <c r="AJ404" s="3">
        <f>IF(AI404&lt;=490,0,IF(AI404&lt;=600,(AI404-490)*0.05,IF(AI404&lt;=730,5.5+(AI404-600)*0.10,IF(AI404&lt;=3896.67,18.5+(AI404-730)*0.175,IF(AI404&lt;=19896.67,572.67+(AI404-3896.67)*0.25,IF(AI404&lt;=50416.67,4572.67+(AI404-19896.67)*0.30,13728.67+(AI404-50416.67)*0.35))))))</f>
        <v/>
      </c>
      <c r="AK404" s="3" t="n"/>
      <c r="AL404" s="3" t="n"/>
      <c r="AM404" s="3" t="n"/>
      <c r="AN404" s="3" t="n"/>
      <c r="AO404" s="3" t="n"/>
      <c r="AP404" s="3">
        <f>SUM(AF404,AJ404,AK404,AL404,AM404,AN404,AO404,AG404,AH404)</f>
        <v/>
      </c>
      <c r="AQ404" s="3">
        <f>AE404-AP404</f>
        <v/>
      </c>
      <c r="AR404" s="3" t="n"/>
      <c r="AS404" s="3" t="n"/>
      <c r="AT404" s="3">
        <f>AR404-AS404</f>
        <v/>
      </c>
    </row>
    <row r="405">
      <c r="A405" s="2" t="n"/>
      <c r="B405" s="3" t="n"/>
      <c r="C405" s="4" t="n"/>
      <c r="D405" s="5" t="n"/>
      <c r="E405" s="3" t="n"/>
      <c r="F405" s="3">
        <f>IF(C405=0,0,IF(E405="",B405*D405/100,E405))</f>
        <v/>
      </c>
      <c r="G405" s="4" t="n"/>
      <c r="H405" s="5" t="n"/>
      <c r="I405" s="3" t="n"/>
      <c r="J405" s="3">
        <f>IF(G405=0,0,IF(I405="",B405*H405/100,I405))</f>
        <v/>
      </c>
      <c r="K405" s="4" t="n"/>
      <c r="L405" s="5" t="n"/>
      <c r="M405" s="3" t="n"/>
      <c r="N405" s="3">
        <f>IF(K405=0,0,IF(M405="",B405*L405/100,M405))</f>
        <v/>
      </c>
      <c r="O405" s="4" t="n"/>
      <c r="P405" s="5" t="n"/>
      <c r="Q405" s="3" t="n"/>
      <c r="R405" s="3">
        <f>IF(O405=0,0,IF(Q405="",B405*P405/100,Q405))</f>
        <v/>
      </c>
      <c r="S405" s="4" t="n"/>
      <c r="T405" s="5" t="n"/>
      <c r="U405" s="3" t="n"/>
      <c r="V405" s="3">
        <f>IF(S405=0,0,IF(U405="",B405*T405/100,U405))</f>
        <v/>
      </c>
      <c r="W405" s="4" t="n"/>
      <c r="X405" s="5" t="n"/>
      <c r="Y405" s="3" t="n"/>
      <c r="Z405" s="3">
        <f>IF(W405=0,0,IF(Y405="",B405*X405/100,Y405))</f>
        <v/>
      </c>
      <c r="AA405" s="3" t="n"/>
      <c r="AB405" s="3" t="n"/>
      <c r="AC405" s="3">
        <f>B405*0.035</f>
        <v/>
      </c>
      <c r="AD405" s="3">
        <f>B405*0.065</f>
        <v/>
      </c>
      <c r="AE405" s="3">
        <f>SUM(B405,F405,J405,N405,R405,V405,Z405,AA405,AB405,AC405,AD405)</f>
        <v/>
      </c>
      <c r="AF405" s="3">
        <f>B405*0.055</f>
        <v/>
      </c>
      <c r="AG405" s="3">
        <f>B405*0.035</f>
        <v/>
      </c>
      <c r="AH405" s="3">
        <f>B405*0.165</f>
        <v/>
      </c>
      <c r="AI405" s="3">
        <f>MAX(0,AE405-AF405-AH405)</f>
        <v/>
      </c>
      <c r="AJ405" s="3">
        <f>IF(AI405&lt;=490,0,IF(AI405&lt;=600,(AI405-490)*0.05,IF(AI405&lt;=730,5.5+(AI405-600)*0.10,IF(AI405&lt;=3896.67,18.5+(AI405-730)*0.175,IF(AI405&lt;=19896.67,572.67+(AI405-3896.67)*0.25,IF(AI405&lt;=50416.67,4572.67+(AI405-19896.67)*0.30,13728.67+(AI405-50416.67)*0.35))))))</f>
        <v/>
      </c>
      <c r="AK405" s="3" t="n"/>
      <c r="AL405" s="3" t="n"/>
      <c r="AM405" s="3" t="n"/>
      <c r="AN405" s="3" t="n"/>
      <c r="AO405" s="3" t="n"/>
      <c r="AP405" s="3">
        <f>SUM(AF405,AJ405,AK405,AL405,AM405,AN405,AO405,AG405,AH405)</f>
        <v/>
      </c>
      <c r="AQ405" s="3">
        <f>AE405-AP405</f>
        <v/>
      </c>
      <c r="AR405" s="3" t="n"/>
      <c r="AS405" s="3" t="n"/>
      <c r="AT405" s="3">
        <f>AR405-AS405</f>
        <v/>
      </c>
    </row>
    <row r="406">
      <c r="A406" s="2" t="n"/>
      <c r="B406" s="3" t="n"/>
      <c r="C406" s="4" t="n"/>
      <c r="D406" s="5" t="n"/>
      <c r="E406" s="3" t="n"/>
      <c r="F406" s="3">
        <f>IF(C406=0,0,IF(E406="",B406*D406/100,E406))</f>
        <v/>
      </c>
      <c r="G406" s="4" t="n"/>
      <c r="H406" s="5" t="n"/>
      <c r="I406" s="3" t="n"/>
      <c r="J406" s="3">
        <f>IF(G406=0,0,IF(I406="",B406*H406/100,I406))</f>
        <v/>
      </c>
      <c r="K406" s="4" t="n"/>
      <c r="L406" s="5" t="n"/>
      <c r="M406" s="3" t="n"/>
      <c r="N406" s="3">
        <f>IF(K406=0,0,IF(M406="",B406*L406/100,M406))</f>
        <v/>
      </c>
      <c r="O406" s="4" t="n"/>
      <c r="P406" s="5" t="n"/>
      <c r="Q406" s="3" t="n"/>
      <c r="R406" s="3">
        <f>IF(O406=0,0,IF(Q406="",B406*P406/100,Q406))</f>
        <v/>
      </c>
      <c r="S406" s="4" t="n"/>
      <c r="T406" s="5" t="n"/>
      <c r="U406" s="3" t="n"/>
      <c r="V406" s="3">
        <f>IF(S406=0,0,IF(U406="",B406*T406/100,U406))</f>
        <v/>
      </c>
      <c r="W406" s="4" t="n"/>
      <c r="X406" s="5" t="n"/>
      <c r="Y406" s="3" t="n"/>
      <c r="Z406" s="3">
        <f>IF(W406=0,0,IF(Y406="",B406*X406/100,Y406))</f>
        <v/>
      </c>
      <c r="AA406" s="3" t="n"/>
      <c r="AB406" s="3" t="n"/>
      <c r="AC406" s="3">
        <f>B406*0.035</f>
        <v/>
      </c>
      <c r="AD406" s="3">
        <f>B406*0.065</f>
        <v/>
      </c>
      <c r="AE406" s="3">
        <f>SUM(B406,F406,J406,N406,R406,V406,Z406,AA406,AB406,AC406,AD406)</f>
        <v/>
      </c>
      <c r="AF406" s="3">
        <f>B406*0.055</f>
        <v/>
      </c>
      <c r="AG406" s="3">
        <f>B406*0.035</f>
        <v/>
      </c>
      <c r="AH406" s="3">
        <f>B406*0.165</f>
        <v/>
      </c>
      <c r="AI406" s="3">
        <f>MAX(0,AE406-AF406-AH406)</f>
        <v/>
      </c>
      <c r="AJ406" s="3">
        <f>IF(AI406&lt;=490,0,IF(AI406&lt;=600,(AI406-490)*0.05,IF(AI406&lt;=730,5.5+(AI406-600)*0.10,IF(AI406&lt;=3896.67,18.5+(AI406-730)*0.175,IF(AI406&lt;=19896.67,572.67+(AI406-3896.67)*0.25,IF(AI406&lt;=50416.67,4572.67+(AI406-19896.67)*0.30,13728.67+(AI406-50416.67)*0.35))))))</f>
        <v/>
      </c>
      <c r="AK406" s="3" t="n"/>
      <c r="AL406" s="3" t="n"/>
      <c r="AM406" s="3" t="n"/>
      <c r="AN406" s="3" t="n"/>
      <c r="AO406" s="3" t="n"/>
      <c r="AP406" s="3">
        <f>SUM(AF406,AJ406,AK406,AL406,AM406,AN406,AO406,AG406,AH406)</f>
        <v/>
      </c>
      <c r="AQ406" s="3">
        <f>AE406-AP406</f>
        <v/>
      </c>
      <c r="AR406" s="3" t="n"/>
      <c r="AS406" s="3" t="n"/>
      <c r="AT406" s="3">
        <f>AR406-AS406</f>
        <v/>
      </c>
    </row>
    <row r="407">
      <c r="A407" s="2" t="n"/>
      <c r="B407" s="3" t="n"/>
      <c r="C407" s="4" t="n"/>
      <c r="D407" s="5" t="n"/>
      <c r="E407" s="3" t="n"/>
      <c r="F407" s="3">
        <f>IF(C407=0,0,IF(E407="",B407*D407/100,E407))</f>
        <v/>
      </c>
      <c r="G407" s="4" t="n"/>
      <c r="H407" s="5" t="n"/>
      <c r="I407" s="3" t="n"/>
      <c r="J407" s="3">
        <f>IF(G407=0,0,IF(I407="",B407*H407/100,I407))</f>
        <v/>
      </c>
      <c r="K407" s="4" t="n"/>
      <c r="L407" s="5" t="n"/>
      <c r="M407" s="3" t="n"/>
      <c r="N407" s="3">
        <f>IF(K407=0,0,IF(M407="",B407*L407/100,M407))</f>
        <v/>
      </c>
      <c r="O407" s="4" t="n"/>
      <c r="P407" s="5" t="n"/>
      <c r="Q407" s="3" t="n"/>
      <c r="R407" s="3">
        <f>IF(O407=0,0,IF(Q407="",B407*P407/100,Q407))</f>
        <v/>
      </c>
      <c r="S407" s="4" t="n"/>
      <c r="T407" s="5" t="n"/>
      <c r="U407" s="3" t="n"/>
      <c r="V407" s="3">
        <f>IF(S407=0,0,IF(U407="",B407*T407/100,U407))</f>
        <v/>
      </c>
      <c r="W407" s="4" t="n"/>
      <c r="X407" s="5" t="n"/>
      <c r="Y407" s="3" t="n"/>
      <c r="Z407" s="3">
        <f>IF(W407=0,0,IF(Y407="",B407*X407/100,Y407))</f>
        <v/>
      </c>
      <c r="AA407" s="3" t="n"/>
      <c r="AB407" s="3" t="n"/>
      <c r="AC407" s="3">
        <f>B407*0.035</f>
        <v/>
      </c>
      <c r="AD407" s="3">
        <f>B407*0.065</f>
        <v/>
      </c>
      <c r="AE407" s="3">
        <f>SUM(B407,F407,J407,N407,R407,V407,Z407,AA407,AB407,AC407,AD407)</f>
        <v/>
      </c>
      <c r="AF407" s="3">
        <f>B407*0.055</f>
        <v/>
      </c>
      <c r="AG407" s="3">
        <f>B407*0.035</f>
        <v/>
      </c>
      <c r="AH407" s="3">
        <f>B407*0.165</f>
        <v/>
      </c>
      <c r="AI407" s="3">
        <f>MAX(0,AE407-AF407-AH407)</f>
        <v/>
      </c>
      <c r="AJ407" s="3">
        <f>IF(AI407&lt;=490,0,IF(AI407&lt;=600,(AI407-490)*0.05,IF(AI407&lt;=730,5.5+(AI407-600)*0.10,IF(AI407&lt;=3896.67,18.5+(AI407-730)*0.175,IF(AI407&lt;=19896.67,572.67+(AI407-3896.67)*0.25,IF(AI407&lt;=50416.67,4572.67+(AI407-19896.67)*0.30,13728.67+(AI407-50416.67)*0.35))))))</f>
        <v/>
      </c>
      <c r="AK407" s="3" t="n"/>
      <c r="AL407" s="3" t="n"/>
      <c r="AM407" s="3" t="n"/>
      <c r="AN407" s="3" t="n"/>
      <c r="AO407" s="3" t="n"/>
      <c r="AP407" s="3">
        <f>SUM(AF407,AJ407,AK407,AL407,AM407,AN407,AO407,AG407,AH407)</f>
        <v/>
      </c>
      <c r="AQ407" s="3">
        <f>AE407-AP407</f>
        <v/>
      </c>
      <c r="AR407" s="3" t="n"/>
      <c r="AS407" s="3" t="n"/>
      <c r="AT407" s="3">
        <f>AR407-AS407</f>
        <v/>
      </c>
    </row>
    <row r="408">
      <c r="A408" s="2" t="n"/>
      <c r="B408" s="3" t="n"/>
      <c r="C408" s="4" t="n"/>
      <c r="D408" s="5" t="n"/>
      <c r="E408" s="3" t="n"/>
      <c r="F408" s="3">
        <f>IF(C408=0,0,IF(E408="",B408*D408/100,E408))</f>
        <v/>
      </c>
      <c r="G408" s="4" t="n"/>
      <c r="H408" s="5" t="n"/>
      <c r="I408" s="3" t="n"/>
      <c r="J408" s="3">
        <f>IF(G408=0,0,IF(I408="",B408*H408/100,I408))</f>
        <v/>
      </c>
      <c r="K408" s="4" t="n"/>
      <c r="L408" s="5" t="n"/>
      <c r="M408" s="3" t="n"/>
      <c r="N408" s="3">
        <f>IF(K408=0,0,IF(M408="",B408*L408/100,M408))</f>
        <v/>
      </c>
      <c r="O408" s="4" t="n"/>
      <c r="P408" s="5" t="n"/>
      <c r="Q408" s="3" t="n"/>
      <c r="R408" s="3">
        <f>IF(O408=0,0,IF(Q408="",B408*P408/100,Q408))</f>
        <v/>
      </c>
      <c r="S408" s="4" t="n"/>
      <c r="T408" s="5" t="n"/>
      <c r="U408" s="3" t="n"/>
      <c r="V408" s="3">
        <f>IF(S408=0,0,IF(U408="",B408*T408/100,U408))</f>
        <v/>
      </c>
      <c r="W408" s="4" t="n"/>
      <c r="X408" s="5" t="n"/>
      <c r="Y408" s="3" t="n"/>
      <c r="Z408" s="3">
        <f>IF(W408=0,0,IF(Y408="",B408*X408/100,Y408))</f>
        <v/>
      </c>
      <c r="AA408" s="3" t="n"/>
      <c r="AB408" s="3" t="n"/>
      <c r="AC408" s="3">
        <f>B408*0.035</f>
        <v/>
      </c>
      <c r="AD408" s="3">
        <f>B408*0.065</f>
        <v/>
      </c>
      <c r="AE408" s="3">
        <f>SUM(B408,F408,J408,N408,R408,V408,Z408,AA408,AB408,AC408,AD408)</f>
        <v/>
      </c>
      <c r="AF408" s="3">
        <f>B408*0.055</f>
        <v/>
      </c>
      <c r="AG408" s="3">
        <f>B408*0.035</f>
        <v/>
      </c>
      <c r="AH408" s="3">
        <f>B408*0.165</f>
        <v/>
      </c>
      <c r="AI408" s="3">
        <f>MAX(0,AE408-AF408-AH408)</f>
        <v/>
      </c>
      <c r="AJ408" s="3">
        <f>IF(AI408&lt;=490,0,IF(AI408&lt;=600,(AI408-490)*0.05,IF(AI408&lt;=730,5.5+(AI408-600)*0.10,IF(AI408&lt;=3896.67,18.5+(AI408-730)*0.175,IF(AI408&lt;=19896.67,572.67+(AI408-3896.67)*0.25,IF(AI408&lt;=50416.67,4572.67+(AI408-19896.67)*0.30,13728.67+(AI408-50416.67)*0.35))))))</f>
        <v/>
      </c>
      <c r="AK408" s="3" t="n"/>
      <c r="AL408" s="3" t="n"/>
      <c r="AM408" s="3" t="n"/>
      <c r="AN408" s="3" t="n"/>
      <c r="AO408" s="3" t="n"/>
      <c r="AP408" s="3">
        <f>SUM(AF408,AJ408,AK408,AL408,AM408,AN408,AO408,AG408,AH408)</f>
        <v/>
      </c>
      <c r="AQ408" s="3">
        <f>AE408-AP408</f>
        <v/>
      </c>
      <c r="AR408" s="3" t="n"/>
      <c r="AS408" s="3" t="n"/>
      <c r="AT408" s="3">
        <f>AR408-AS408</f>
        <v/>
      </c>
    </row>
    <row r="409">
      <c r="A409" s="2" t="n"/>
      <c r="B409" s="3" t="n"/>
      <c r="C409" s="4" t="n"/>
      <c r="D409" s="5" t="n"/>
      <c r="E409" s="3" t="n"/>
      <c r="F409" s="3">
        <f>IF(C409=0,0,IF(E409="",B409*D409/100,E409))</f>
        <v/>
      </c>
      <c r="G409" s="4" t="n"/>
      <c r="H409" s="5" t="n"/>
      <c r="I409" s="3" t="n"/>
      <c r="J409" s="3">
        <f>IF(G409=0,0,IF(I409="",B409*H409/100,I409))</f>
        <v/>
      </c>
      <c r="K409" s="4" t="n"/>
      <c r="L409" s="5" t="n"/>
      <c r="M409" s="3" t="n"/>
      <c r="N409" s="3">
        <f>IF(K409=0,0,IF(M409="",B409*L409/100,M409))</f>
        <v/>
      </c>
      <c r="O409" s="4" t="n"/>
      <c r="P409" s="5" t="n"/>
      <c r="Q409" s="3" t="n"/>
      <c r="R409" s="3">
        <f>IF(O409=0,0,IF(Q409="",B409*P409/100,Q409))</f>
        <v/>
      </c>
      <c r="S409" s="4" t="n"/>
      <c r="T409" s="5" t="n"/>
      <c r="U409" s="3" t="n"/>
      <c r="V409" s="3">
        <f>IF(S409=0,0,IF(U409="",B409*T409/100,U409))</f>
        <v/>
      </c>
      <c r="W409" s="4" t="n"/>
      <c r="X409" s="5" t="n"/>
      <c r="Y409" s="3" t="n"/>
      <c r="Z409" s="3">
        <f>IF(W409=0,0,IF(Y409="",B409*X409/100,Y409))</f>
        <v/>
      </c>
      <c r="AA409" s="3" t="n"/>
      <c r="AB409" s="3" t="n"/>
      <c r="AC409" s="3">
        <f>B409*0.035</f>
        <v/>
      </c>
      <c r="AD409" s="3">
        <f>B409*0.065</f>
        <v/>
      </c>
      <c r="AE409" s="3">
        <f>SUM(B409,F409,J409,N409,R409,V409,Z409,AA409,AB409,AC409,AD409)</f>
        <v/>
      </c>
      <c r="AF409" s="3">
        <f>B409*0.055</f>
        <v/>
      </c>
      <c r="AG409" s="3">
        <f>B409*0.035</f>
        <v/>
      </c>
      <c r="AH409" s="3">
        <f>B409*0.165</f>
        <v/>
      </c>
      <c r="AI409" s="3">
        <f>MAX(0,AE409-AF409-AH409)</f>
        <v/>
      </c>
      <c r="AJ409" s="3">
        <f>IF(AI409&lt;=490,0,IF(AI409&lt;=600,(AI409-490)*0.05,IF(AI409&lt;=730,5.5+(AI409-600)*0.10,IF(AI409&lt;=3896.67,18.5+(AI409-730)*0.175,IF(AI409&lt;=19896.67,572.67+(AI409-3896.67)*0.25,IF(AI409&lt;=50416.67,4572.67+(AI409-19896.67)*0.30,13728.67+(AI409-50416.67)*0.35))))))</f>
        <v/>
      </c>
      <c r="AK409" s="3" t="n"/>
      <c r="AL409" s="3" t="n"/>
      <c r="AM409" s="3" t="n"/>
      <c r="AN409" s="3" t="n"/>
      <c r="AO409" s="3" t="n"/>
      <c r="AP409" s="3">
        <f>SUM(AF409,AJ409,AK409,AL409,AM409,AN409,AO409,AG409,AH409)</f>
        <v/>
      </c>
      <c r="AQ409" s="3">
        <f>AE409-AP409</f>
        <v/>
      </c>
      <c r="AR409" s="3" t="n"/>
      <c r="AS409" s="3" t="n"/>
      <c r="AT409" s="3">
        <f>AR409-AS409</f>
        <v/>
      </c>
    </row>
    <row r="410">
      <c r="A410" s="2" t="n"/>
      <c r="B410" s="3" t="n"/>
      <c r="C410" s="4" t="n"/>
      <c r="D410" s="5" t="n"/>
      <c r="E410" s="3" t="n"/>
      <c r="F410" s="3">
        <f>IF(C410=0,0,IF(E410="",B410*D410/100,E410))</f>
        <v/>
      </c>
      <c r="G410" s="4" t="n"/>
      <c r="H410" s="5" t="n"/>
      <c r="I410" s="3" t="n"/>
      <c r="J410" s="3">
        <f>IF(G410=0,0,IF(I410="",B410*H410/100,I410))</f>
        <v/>
      </c>
      <c r="K410" s="4" t="n"/>
      <c r="L410" s="5" t="n"/>
      <c r="M410" s="3" t="n"/>
      <c r="N410" s="3">
        <f>IF(K410=0,0,IF(M410="",B410*L410/100,M410))</f>
        <v/>
      </c>
      <c r="O410" s="4" t="n"/>
      <c r="P410" s="5" t="n"/>
      <c r="Q410" s="3" t="n"/>
      <c r="R410" s="3">
        <f>IF(O410=0,0,IF(Q410="",B410*P410/100,Q410))</f>
        <v/>
      </c>
      <c r="S410" s="4" t="n"/>
      <c r="T410" s="5" t="n"/>
      <c r="U410" s="3" t="n"/>
      <c r="V410" s="3">
        <f>IF(S410=0,0,IF(U410="",B410*T410/100,U410))</f>
        <v/>
      </c>
      <c r="W410" s="4" t="n"/>
      <c r="X410" s="5" t="n"/>
      <c r="Y410" s="3" t="n"/>
      <c r="Z410" s="3">
        <f>IF(W410=0,0,IF(Y410="",B410*X410/100,Y410))</f>
        <v/>
      </c>
      <c r="AA410" s="3" t="n"/>
      <c r="AB410" s="3" t="n"/>
      <c r="AC410" s="3">
        <f>B410*0.035</f>
        <v/>
      </c>
      <c r="AD410" s="3">
        <f>B410*0.065</f>
        <v/>
      </c>
      <c r="AE410" s="3">
        <f>SUM(B410,F410,J410,N410,R410,V410,Z410,AA410,AB410,AC410,AD410)</f>
        <v/>
      </c>
      <c r="AF410" s="3">
        <f>B410*0.055</f>
        <v/>
      </c>
      <c r="AG410" s="3">
        <f>B410*0.035</f>
        <v/>
      </c>
      <c r="AH410" s="3">
        <f>B410*0.165</f>
        <v/>
      </c>
      <c r="AI410" s="3">
        <f>MAX(0,AE410-AF410-AH410)</f>
        <v/>
      </c>
      <c r="AJ410" s="3">
        <f>IF(AI410&lt;=490,0,IF(AI410&lt;=600,(AI410-490)*0.05,IF(AI410&lt;=730,5.5+(AI410-600)*0.10,IF(AI410&lt;=3896.67,18.5+(AI410-730)*0.175,IF(AI410&lt;=19896.67,572.67+(AI410-3896.67)*0.25,IF(AI410&lt;=50416.67,4572.67+(AI410-19896.67)*0.30,13728.67+(AI410-50416.67)*0.35))))))</f>
        <v/>
      </c>
      <c r="AK410" s="3" t="n"/>
      <c r="AL410" s="3" t="n"/>
      <c r="AM410" s="3" t="n"/>
      <c r="AN410" s="3" t="n"/>
      <c r="AO410" s="3" t="n"/>
      <c r="AP410" s="3">
        <f>SUM(AF410,AJ410,AK410,AL410,AM410,AN410,AO410,AG410,AH410)</f>
        <v/>
      </c>
      <c r="AQ410" s="3">
        <f>AE410-AP410</f>
        <v/>
      </c>
      <c r="AR410" s="3" t="n"/>
      <c r="AS410" s="3" t="n"/>
      <c r="AT410" s="3">
        <f>AR410-AS410</f>
        <v/>
      </c>
    </row>
    <row r="411">
      <c r="A411" s="2" t="n"/>
      <c r="B411" s="3" t="n"/>
      <c r="C411" s="4" t="n"/>
      <c r="D411" s="5" t="n"/>
      <c r="E411" s="3" t="n"/>
      <c r="F411" s="3">
        <f>IF(C411=0,0,IF(E411="",B411*D411/100,E411))</f>
        <v/>
      </c>
      <c r="G411" s="4" t="n"/>
      <c r="H411" s="5" t="n"/>
      <c r="I411" s="3" t="n"/>
      <c r="J411" s="3">
        <f>IF(G411=0,0,IF(I411="",B411*H411/100,I411))</f>
        <v/>
      </c>
      <c r="K411" s="4" t="n"/>
      <c r="L411" s="5" t="n"/>
      <c r="M411" s="3" t="n"/>
      <c r="N411" s="3">
        <f>IF(K411=0,0,IF(M411="",B411*L411/100,M411))</f>
        <v/>
      </c>
      <c r="O411" s="4" t="n"/>
      <c r="P411" s="5" t="n"/>
      <c r="Q411" s="3" t="n"/>
      <c r="R411" s="3">
        <f>IF(O411=0,0,IF(Q411="",B411*P411/100,Q411))</f>
        <v/>
      </c>
      <c r="S411" s="4" t="n"/>
      <c r="T411" s="5" t="n"/>
      <c r="U411" s="3" t="n"/>
      <c r="V411" s="3">
        <f>IF(S411=0,0,IF(U411="",B411*T411/100,U411))</f>
        <v/>
      </c>
      <c r="W411" s="4" t="n"/>
      <c r="X411" s="5" t="n"/>
      <c r="Y411" s="3" t="n"/>
      <c r="Z411" s="3">
        <f>IF(W411=0,0,IF(Y411="",B411*X411/100,Y411))</f>
        <v/>
      </c>
      <c r="AA411" s="3" t="n"/>
      <c r="AB411" s="3" t="n"/>
      <c r="AC411" s="3">
        <f>B411*0.035</f>
        <v/>
      </c>
      <c r="AD411" s="3">
        <f>B411*0.065</f>
        <v/>
      </c>
      <c r="AE411" s="3">
        <f>SUM(B411,F411,J411,N411,R411,V411,Z411,AA411,AB411,AC411,AD411)</f>
        <v/>
      </c>
      <c r="AF411" s="3">
        <f>B411*0.055</f>
        <v/>
      </c>
      <c r="AG411" s="3">
        <f>B411*0.035</f>
        <v/>
      </c>
      <c r="AH411" s="3">
        <f>B411*0.165</f>
        <v/>
      </c>
      <c r="AI411" s="3">
        <f>MAX(0,AE411-AF411-AH411)</f>
        <v/>
      </c>
      <c r="AJ411" s="3">
        <f>IF(AI411&lt;=490,0,IF(AI411&lt;=600,(AI411-490)*0.05,IF(AI411&lt;=730,5.5+(AI411-600)*0.10,IF(AI411&lt;=3896.67,18.5+(AI411-730)*0.175,IF(AI411&lt;=19896.67,572.67+(AI411-3896.67)*0.25,IF(AI411&lt;=50416.67,4572.67+(AI411-19896.67)*0.30,13728.67+(AI411-50416.67)*0.35))))))</f>
        <v/>
      </c>
      <c r="AK411" s="3" t="n"/>
      <c r="AL411" s="3" t="n"/>
      <c r="AM411" s="3" t="n"/>
      <c r="AN411" s="3" t="n"/>
      <c r="AO411" s="3" t="n"/>
      <c r="AP411" s="3">
        <f>SUM(AF411,AJ411,AK411,AL411,AM411,AN411,AO411,AG411,AH411)</f>
        <v/>
      </c>
      <c r="AQ411" s="3">
        <f>AE411-AP411</f>
        <v/>
      </c>
      <c r="AR411" s="3" t="n"/>
      <c r="AS411" s="3" t="n"/>
      <c r="AT411" s="3">
        <f>AR411-AS411</f>
        <v/>
      </c>
    </row>
    <row r="412">
      <c r="A412" s="2" t="n"/>
      <c r="B412" s="3" t="n"/>
      <c r="C412" s="4" t="n"/>
      <c r="D412" s="5" t="n"/>
      <c r="E412" s="3" t="n"/>
      <c r="F412" s="3">
        <f>IF(C412=0,0,IF(E412="",B412*D412/100,E412))</f>
        <v/>
      </c>
      <c r="G412" s="4" t="n"/>
      <c r="H412" s="5" t="n"/>
      <c r="I412" s="3" t="n"/>
      <c r="J412" s="3">
        <f>IF(G412=0,0,IF(I412="",B412*H412/100,I412))</f>
        <v/>
      </c>
      <c r="K412" s="4" t="n"/>
      <c r="L412" s="5" t="n"/>
      <c r="M412" s="3" t="n"/>
      <c r="N412" s="3">
        <f>IF(K412=0,0,IF(M412="",B412*L412/100,M412))</f>
        <v/>
      </c>
      <c r="O412" s="4" t="n"/>
      <c r="P412" s="5" t="n"/>
      <c r="Q412" s="3" t="n"/>
      <c r="R412" s="3">
        <f>IF(O412=0,0,IF(Q412="",B412*P412/100,Q412))</f>
        <v/>
      </c>
      <c r="S412" s="4" t="n"/>
      <c r="T412" s="5" t="n"/>
      <c r="U412" s="3" t="n"/>
      <c r="V412" s="3">
        <f>IF(S412=0,0,IF(U412="",B412*T412/100,U412))</f>
        <v/>
      </c>
      <c r="W412" s="4" t="n"/>
      <c r="X412" s="5" t="n"/>
      <c r="Y412" s="3" t="n"/>
      <c r="Z412" s="3">
        <f>IF(W412=0,0,IF(Y412="",B412*X412/100,Y412))</f>
        <v/>
      </c>
      <c r="AA412" s="3" t="n"/>
      <c r="AB412" s="3" t="n"/>
      <c r="AC412" s="3">
        <f>B412*0.035</f>
        <v/>
      </c>
      <c r="AD412" s="3">
        <f>B412*0.065</f>
        <v/>
      </c>
      <c r="AE412" s="3">
        <f>SUM(B412,F412,J412,N412,R412,V412,Z412,AA412,AB412,AC412,AD412)</f>
        <v/>
      </c>
      <c r="AF412" s="3">
        <f>B412*0.055</f>
        <v/>
      </c>
      <c r="AG412" s="3">
        <f>B412*0.035</f>
        <v/>
      </c>
      <c r="AH412" s="3">
        <f>B412*0.165</f>
        <v/>
      </c>
      <c r="AI412" s="3">
        <f>MAX(0,AE412-AF412-AH412)</f>
        <v/>
      </c>
      <c r="AJ412" s="3">
        <f>IF(AI412&lt;=490,0,IF(AI412&lt;=600,(AI412-490)*0.05,IF(AI412&lt;=730,5.5+(AI412-600)*0.10,IF(AI412&lt;=3896.67,18.5+(AI412-730)*0.175,IF(AI412&lt;=19896.67,572.67+(AI412-3896.67)*0.25,IF(AI412&lt;=50416.67,4572.67+(AI412-19896.67)*0.30,13728.67+(AI412-50416.67)*0.35))))))</f>
        <v/>
      </c>
      <c r="AK412" s="3" t="n"/>
      <c r="AL412" s="3" t="n"/>
      <c r="AM412" s="3" t="n"/>
      <c r="AN412" s="3" t="n"/>
      <c r="AO412" s="3" t="n"/>
      <c r="AP412" s="3">
        <f>SUM(AF412,AJ412,AK412,AL412,AM412,AN412,AO412,AG412,AH412)</f>
        <v/>
      </c>
      <c r="AQ412" s="3">
        <f>AE412-AP412</f>
        <v/>
      </c>
      <c r="AR412" s="3" t="n"/>
      <c r="AS412" s="3" t="n"/>
      <c r="AT412" s="3">
        <f>AR412-AS412</f>
        <v/>
      </c>
    </row>
    <row r="413">
      <c r="A413" s="2" t="n"/>
      <c r="B413" s="3" t="n"/>
      <c r="C413" s="4" t="n"/>
      <c r="D413" s="5" t="n"/>
      <c r="E413" s="3" t="n"/>
      <c r="F413" s="3">
        <f>IF(C413=0,0,IF(E413="",B413*D413/100,E413))</f>
        <v/>
      </c>
      <c r="G413" s="4" t="n"/>
      <c r="H413" s="5" t="n"/>
      <c r="I413" s="3" t="n"/>
      <c r="J413" s="3">
        <f>IF(G413=0,0,IF(I413="",B413*H413/100,I413))</f>
        <v/>
      </c>
      <c r="K413" s="4" t="n"/>
      <c r="L413" s="5" t="n"/>
      <c r="M413" s="3" t="n"/>
      <c r="N413" s="3">
        <f>IF(K413=0,0,IF(M413="",B413*L413/100,M413))</f>
        <v/>
      </c>
      <c r="O413" s="4" t="n"/>
      <c r="P413" s="5" t="n"/>
      <c r="Q413" s="3" t="n"/>
      <c r="R413" s="3">
        <f>IF(O413=0,0,IF(Q413="",B413*P413/100,Q413))</f>
        <v/>
      </c>
      <c r="S413" s="4" t="n"/>
      <c r="T413" s="5" t="n"/>
      <c r="U413" s="3" t="n"/>
      <c r="V413" s="3">
        <f>IF(S413=0,0,IF(U413="",B413*T413/100,U413))</f>
        <v/>
      </c>
      <c r="W413" s="4" t="n"/>
      <c r="X413" s="5" t="n"/>
      <c r="Y413" s="3" t="n"/>
      <c r="Z413" s="3">
        <f>IF(W413=0,0,IF(Y413="",B413*X413/100,Y413))</f>
        <v/>
      </c>
      <c r="AA413" s="3" t="n"/>
      <c r="AB413" s="3" t="n"/>
      <c r="AC413" s="3">
        <f>B413*0.035</f>
        <v/>
      </c>
      <c r="AD413" s="3">
        <f>B413*0.065</f>
        <v/>
      </c>
      <c r="AE413" s="3">
        <f>SUM(B413,F413,J413,N413,R413,V413,Z413,AA413,AB413,AC413,AD413)</f>
        <v/>
      </c>
      <c r="AF413" s="3">
        <f>B413*0.055</f>
        <v/>
      </c>
      <c r="AG413" s="3">
        <f>B413*0.035</f>
        <v/>
      </c>
      <c r="AH413" s="3">
        <f>B413*0.165</f>
        <v/>
      </c>
      <c r="AI413" s="3">
        <f>MAX(0,AE413-AF413-AH413)</f>
        <v/>
      </c>
      <c r="AJ413" s="3">
        <f>IF(AI413&lt;=490,0,IF(AI413&lt;=600,(AI413-490)*0.05,IF(AI413&lt;=730,5.5+(AI413-600)*0.10,IF(AI413&lt;=3896.67,18.5+(AI413-730)*0.175,IF(AI413&lt;=19896.67,572.67+(AI413-3896.67)*0.25,IF(AI413&lt;=50416.67,4572.67+(AI413-19896.67)*0.30,13728.67+(AI413-50416.67)*0.35))))))</f>
        <v/>
      </c>
      <c r="AK413" s="3" t="n"/>
      <c r="AL413" s="3" t="n"/>
      <c r="AM413" s="3" t="n"/>
      <c r="AN413" s="3" t="n"/>
      <c r="AO413" s="3" t="n"/>
      <c r="AP413" s="3">
        <f>SUM(AF413,AJ413,AK413,AL413,AM413,AN413,AO413,AG413,AH413)</f>
        <v/>
      </c>
      <c r="AQ413" s="3">
        <f>AE413-AP413</f>
        <v/>
      </c>
      <c r="AR413" s="3" t="n"/>
      <c r="AS413" s="3" t="n"/>
      <c r="AT413" s="3">
        <f>AR413-AS413</f>
        <v/>
      </c>
    </row>
    <row r="414">
      <c r="A414" s="2" t="n"/>
      <c r="B414" s="3" t="n"/>
      <c r="C414" s="4" t="n"/>
      <c r="D414" s="5" t="n"/>
      <c r="E414" s="3" t="n"/>
      <c r="F414" s="3">
        <f>IF(C414=0,0,IF(E414="",B414*D414/100,E414))</f>
        <v/>
      </c>
      <c r="G414" s="4" t="n"/>
      <c r="H414" s="5" t="n"/>
      <c r="I414" s="3" t="n"/>
      <c r="J414" s="3">
        <f>IF(G414=0,0,IF(I414="",B414*H414/100,I414))</f>
        <v/>
      </c>
      <c r="K414" s="4" t="n"/>
      <c r="L414" s="5" t="n"/>
      <c r="M414" s="3" t="n"/>
      <c r="N414" s="3">
        <f>IF(K414=0,0,IF(M414="",B414*L414/100,M414))</f>
        <v/>
      </c>
      <c r="O414" s="4" t="n"/>
      <c r="P414" s="5" t="n"/>
      <c r="Q414" s="3" t="n"/>
      <c r="R414" s="3">
        <f>IF(O414=0,0,IF(Q414="",B414*P414/100,Q414))</f>
        <v/>
      </c>
      <c r="S414" s="4" t="n"/>
      <c r="T414" s="5" t="n"/>
      <c r="U414" s="3" t="n"/>
      <c r="V414" s="3">
        <f>IF(S414=0,0,IF(U414="",B414*T414/100,U414))</f>
        <v/>
      </c>
      <c r="W414" s="4" t="n"/>
      <c r="X414" s="5" t="n"/>
      <c r="Y414" s="3" t="n"/>
      <c r="Z414" s="3">
        <f>IF(W414=0,0,IF(Y414="",B414*X414/100,Y414))</f>
        <v/>
      </c>
      <c r="AA414" s="3" t="n"/>
      <c r="AB414" s="3" t="n"/>
      <c r="AC414" s="3">
        <f>B414*0.035</f>
        <v/>
      </c>
      <c r="AD414" s="3">
        <f>B414*0.065</f>
        <v/>
      </c>
      <c r="AE414" s="3">
        <f>SUM(B414,F414,J414,N414,R414,V414,Z414,AA414,AB414,AC414,AD414)</f>
        <v/>
      </c>
      <c r="AF414" s="3">
        <f>B414*0.055</f>
        <v/>
      </c>
      <c r="AG414" s="3">
        <f>B414*0.035</f>
        <v/>
      </c>
      <c r="AH414" s="3">
        <f>B414*0.165</f>
        <v/>
      </c>
      <c r="AI414" s="3">
        <f>MAX(0,AE414-AF414-AH414)</f>
        <v/>
      </c>
      <c r="AJ414" s="3">
        <f>IF(AI414&lt;=490,0,IF(AI414&lt;=600,(AI414-490)*0.05,IF(AI414&lt;=730,5.5+(AI414-600)*0.10,IF(AI414&lt;=3896.67,18.5+(AI414-730)*0.175,IF(AI414&lt;=19896.67,572.67+(AI414-3896.67)*0.25,IF(AI414&lt;=50416.67,4572.67+(AI414-19896.67)*0.30,13728.67+(AI414-50416.67)*0.35))))))</f>
        <v/>
      </c>
      <c r="AK414" s="3" t="n"/>
      <c r="AL414" s="3" t="n"/>
      <c r="AM414" s="3" t="n"/>
      <c r="AN414" s="3" t="n"/>
      <c r="AO414" s="3" t="n"/>
      <c r="AP414" s="3">
        <f>SUM(AF414,AJ414,AK414,AL414,AM414,AN414,AO414,AG414,AH414)</f>
        <v/>
      </c>
      <c r="AQ414" s="3">
        <f>AE414-AP414</f>
        <v/>
      </c>
      <c r="AR414" s="3" t="n"/>
      <c r="AS414" s="3" t="n"/>
      <c r="AT414" s="3">
        <f>AR414-AS414</f>
        <v/>
      </c>
    </row>
    <row r="415">
      <c r="A415" s="2" t="n"/>
      <c r="B415" s="3" t="n"/>
      <c r="C415" s="4" t="n"/>
      <c r="D415" s="5" t="n"/>
      <c r="E415" s="3" t="n"/>
      <c r="F415" s="3">
        <f>IF(C415=0,0,IF(E415="",B415*D415/100,E415))</f>
        <v/>
      </c>
      <c r="G415" s="4" t="n"/>
      <c r="H415" s="5" t="n"/>
      <c r="I415" s="3" t="n"/>
      <c r="J415" s="3">
        <f>IF(G415=0,0,IF(I415="",B415*H415/100,I415))</f>
        <v/>
      </c>
      <c r="K415" s="4" t="n"/>
      <c r="L415" s="5" t="n"/>
      <c r="M415" s="3" t="n"/>
      <c r="N415" s="3">
        <f>IF(K415=0,0,IF(M415="",B415*L415/100,M415))</f>
        <v/>
      </c>
      <c r="O415" s="4" t="n"/>
      <c r="P415" s="5" t="n"/>
      <c r="Q415" s="3" t="n"/>
      <c r="R415" s="3">
        <f>IF(O415=0,0,IF(Q415="",B415*P415/100,Q415))</f>
        <v/>
      </c>
      <c r="S415" s="4" t="n"/>
      <c r="T415" s="5" t="n"/>
      <c r="U415" s="3" t="n"/>
      <c r="V415" s="3">
        <f>IF(S415=0,0,IF(U415="",B415*T415/100,U415))</f>
        <v/>
      </c>
      <c r="W415" s="4" t="n"/>
      <c r="X415" s="5" t="n"/>
      <c r="Y415" s="3" t="n"/>
      <c r="Z415" s="3">
        <f>IF(W415=0,0,IF(Y415="",B415*X415/100,Y415))</f>
        <v/>
      </c>
      <c r="AA415" s="3" t="n"/>
      <c r="AB415" s="3" t="n"/>
      <c r="AC415" s="3">
        <f>B415*0.035</f>
        <v/>
      </c>
      <c r="AD415" s="3">
        <f>B415*0.065</f>
        <v/>
      </c>
      <c r="AE415" s="3">
        <f>SUM(B415,F415,J415,N415,R415,V415,Z415,AA415,AB415,AC415,AD415)</f>
        <v/>
      </c>
      <c r="AF415" s="3">
        <f>B415*0.055</f>
        <v/>
      </c>
      <c r="AG415" s="3">
        <f>B415*0.035</f>
        <v/>
      </c>
      <c r="AH415" s="3">
        <f>B415*0.165</f>
        <v/>
      </c>
      <c r="AI415" s="3">
        <f>MAX(0,AE415-AF415-AH415)</f>
        <v/>
      </c>
      <c r="AJ415" s="3">
        <f>IF(AI415&lt;=490,0,IF(AI415&lt;=600,(AI415-490)*0.05,IF(AI415&lt;=730,5.5+(AI415-600)*0.10,IF(AI415&lt;=3896.67,18.5+(AI415-730)*0.175,IF(AI415&lt;=19896.67,572.67+(AI415-3896.67)*0.25,IF(AI415&lt;=50416.67,4572.67+(AI415-19896.67)*0.30,13728.67+(AI415-50416.67)*0.35))))))</f>
        <v/>
      </c>
      <c r="AK415" s="3" t="n"/>
      <c r="AL415" s="3" t="n"/>
      <c r="AM415" s="3" t="n"/>
      <c r="AN415" s="3" t="n"/>
      <c r="AO415" s="3" t="n"/>
      <c r="AP415" s="3">
        <f>SUM(AF415,AJ415,AK415,AL415,AM415,AN415,AO415,AG415,AH415)</f>
        <v/>
      </c>
      <c r="AQ415" s="3">
        <f>AE415-AP415</f>
        <v/>
      </c>
      <c r="AR415" s="3" t="n"/>
      <c r="AS415" s="3" t="n"/>
      <c r="AT415" s="3">
        <f>AR415-AS415</f>
        <v/>
      </c>
    </row>
    <row r="416">
      <c r="A416" s="2" t="n"/>
      <c r="B416" s="3" t="n"/>
      <c r="C416" s="4" t="n"/>
      <c r="D416" s="5" t="n"/>
      <c r="E416" s="3" t="n"/>
      <c r="F416" s="3">
        <f>IF(C416=0,0,IF(E416="",B416*D416/100,E416))</f>
        <v/>
      </c>
      <c r="G416" s="4" t="n"/>
      <c r="H416" s="5" t="n"/>
      <c r="I416" s="3" t="n"/>
      <c r="J416" s="3">
        <f>IF(G416=0,0,IF(I416="",B416*H416/100,I416))</f>
        <v/>
      </c>
      <c r="K416" s="4" t="n"/>
      <c r="L416" s="5" t="n"/>
      <c r="M416" s="3" t="n"/>
      <c r="N416" s="3">
        <f>IF(K416=0,0,IF(M416="",B416*L416/100,M416))</f>
        <v/>
      </c>
      <c r="O416" s="4" t="n"/>
      <c r="P416" s="5" t="n"/>
      <c r="Q416" s="3" t="n"/>
      <c r="R416" s="3">
        <f>IF(O416=0,0,IF(Q416="",B416*P416/100,Q416))</f>
        <v/>
      </c>
      <c r="S416" s="4" t="n"/>
      <c r="T416" s="5" t="n"/>
      <c r="U416" s="3" t="n"/>
      <c r="V416" s="3">
        <f>IF(S416=0,0,IF(U416="",B416*T416/100,U416))</f>
        <v/>
      </c>
      <c r="W416" s="4" t="n"/>
      <c r="X416" s="5" t="n"/>
      <c r="Y416" s="3" t="n"/>
      <c r="Z416" s="3">
        <f>IF(W416=0,0,IF(Y416="",B416*X416/100,Y416))</f>
        <v/>
      </c>
      <c r="AA416" s="3" t="n"/>
      <c r="AB416" s="3" t="n"/>
      <c r="AC416" s="3">
        <f>B416*0.035</f>
        <v/>
      </c>
      <c r="AD416" s="3">
        <f>B416*0.065</f>
        <v/>
      </c>
      <c r="AE416" s="3">
        <f>SUM(B416,F416,J416,N416,R416,V416,Z416,AA416,AB416,AC416,AD416)</f>
        <v/>
      </c>
      <c r="AF416" s="3">
        <f>B416*0.055</f>
        <v/>
      </c>
      <c r="AG416" s="3">
        <f>B416*0.035</f>
        <v/>
      </c>
      <c r="AH416" s="3">
        <f>B416*0.165</f>
        <v/>
      </c>
      <c r="AI416" s="3">
        <f>MAX(0,AE416-AF416-AH416)</f>
        <v/>
      </c>
      <c r="AJ416" s="3">
        <f>IF(AI416&lt;=490,0,IF(AI416&lt;=600,(AI416-490)*0.05,IF(AI416&lt;=730,5.5+(AI416-600)*0.10,IF(AI416&lt;=3896.67,18.5+(AI416-730)*0.175,IF(AI416&lt;=19896.67,572.67+(AI416-3896.67)*0.25,IF(AI416&lt;=50416.67,4572.67+(AI416-19896.67)*0.30,13728.67+(AI416-50416.67)*0.35))))))</f>
        <v/>
      </c>
      <c r="AK416" s="3" t="n"/>
      <c r="AL416" s="3" t="n"/>
      <c r="AM416" s="3" t="n"/>
      <c r="AN416" s="3" t="n"/>
      <c r="AO416" s="3" t="n"/>
      <c r="AP416" s="3">
        <f>SUM(AF416,AJ416,AK416,AL416,AM416,AN416,AO416,AG416,AH416)</f>
        <v/>
      </c>
      <c r="AQ416" s="3">
        <f>AE416-AP416</f>
        <v/>
      </c>
      <c r="AR416" s="3" t="n"/>
      <c r="AS416" s="3" t="n"/>
      <c r="AT416" s="3">
        <f>AR416-AS416</f>
        <v/>
      </c>
    </row>
    <row r="417">
      <c r="A417" s="2" t="n"/>
      <c r="B417" s="3" t="n"/>
      <c r="C417" s="4" t="n"/>
      <c r="D417" s="5" t="n"/>
      <c r="E417" s="3" t="n"/>
      <c r="F417" s="3">
        <f>IF(C417=0,0,IF(E417="",B417*D417/100,E417))</f>
        <v/>
      </c>
      <c r="G417" s="4" t="n"/>
      <c r="H417" s="5" t="n"/>
      <c r="I417" s="3" t="n"/>
      <c r="J417" s="3">
        <f>IF(G417=0,0,IF(I417="",B417*H417/100,I417))</f>
        <v/>
      </c>
      <c r="K417" s="4" t="n"/>
      <c r="L417" s="5" t="n"/>
      <c r="M417" s="3" t="n"/>
      <c r="N417" s="3">
        <f>IF(K417=0,0,IF(M417="",B417*L417/100,M417))</f>
        <v/>
      </c>
      <c r="O417" s="4" t="n"/>
      <c r="P417" s="5" t="n"/>
      <c r="Q417" s="3" t="n"/>
      <c r="R417" s="3">
        <f>IF(O417=0,0,IF(Q417="",B417*P417/100,Q417))</f>
        <v/>
      </c>
      <c r="S417" s="4" t="n"/>
      <c r="T417" s="5" t="n"/>
      <c r="U417" s="3" t="n"/>
      <c r="V417" s="3">
        <f>IF(S417=0,0,IF(U417="",B417*T417/100,U417))</f>
        <v/>
      </c>
      <c r="W417" s="4" t="n"/>
      <c r="X417" s="5" t="n"/>
      <c r="Y417" s="3" t="n"/>
      <c r="Z417" s="3">
        <f>IF(W417=0,0,IF(Y417="",B417*X417/100,Y417))</f>
        <v/>
      </c>
      <c r="AA417" s="3" t="n"/>
      <c r="AB417" s="3" t="n"/>
      <c r="AC417" s="3">
        <f>B417*0.035</f>
        <v/>
      </c>
      <c r="AD417" s="3">
        <f>B417*0.065</f>
        <v/>
      </c>
      <c r="AE417" s="3">
        <f>SUM(B417,F417,J417,N417,R417,V417,Z417,AA417,AB417,AC417,AD417)</f>
        <v/>
      </c>
      <c r="AF417" s="3">
        <f>B417*0.055</f>
        <v/>
      </c>
      <c r="AG417" s="3">
        <f>B417*0.035</f>
        <v/>
      </c>
      <c r="AH417" s="3">
        <f>B417*0.165</f>
        <v/>
      </c>
      <c r="AI417" s="3">
        <f>MAX(0,AE417-AF417-AH417)</f>
        <v/>
      </c>
      <c r="AJ417" s="3">
        <f>IF(AI417&lt;=490,0,IF(AI417&lt;=600,(AI417-490)*0.05,IF(AI417&lt;=730,5.5+(AI417-600)*0.10,IF(AI417&lt;=3896.67,18.5+(AI417-730)*0.175,IF(AI417&lt;=19896.67,572.67+(AI417-3896.67)*0.25,IF(AI417&lt;=50416.67,4572.67+(AI417-19896.67)*0.30,13728.67+(AI417-50416.67)*0.35))))))</f>
        <v/>
      </c>
      <c r="AK417" s="3" t="n"/>
      <c r="AL417" s="3" t="n"/>
      <c r="AM417" s="3" t="n"/>
      <c r="AN417" s="3" t="n"/>
      <c r="AO417" s="3" t="n"/>
      <c r="AP417" s="3">
        <f>SUM(AF417,AJ417,AK417,AL417,AM417,AN417,AO417,AG417,AH417)</f>
        <v/>
      </c>
      <c r="AQ417" s="3">
        <f>AE417-AP417</f>
        <v/>
      </c>
      <c r="AR417" s="3" t="n"/>
      <c r="AS417" s="3" t="n"/>
      <c r="AT417" s="3">
        <f>AR417-AS417</f>
        <v/>
      </c>
    </row>
    <row r="418">
      <c r="A418" s="2" t="n"/>
      <c r="B418" s="3" t="n"/>
      <c r="C418" s="4" t="n"/>
      <c r="D418" s="5" t="n"/>
      <c r="E418" s="3" t="n"/>
      <c r="F418" s="3">
        <f>IF(C418=0,0,IF(E418="",B418*D418/100,E418))</f>
        <v/>
      </c>
      <c r="G418" s="4" t="n"/>
      <c r="H418" s="5" t="n"/>
      <c r="I418" s="3" t="n"/>
      <c r="J418" s="3">
        <f>IF(G418=0,0,IF(I418="",B418*H418/100,I418))</f>
        <v/>
      </c>
      <c r="K418" s="4" t="n"/>
      <c r="L418" s="5" t="n"/>
      <c r="M418" s="3" t="n"/>
      <c r="N418" s="3">
        <f>IF(K418=0,0,IF(M418="",B418*L418/100,M418))</f>
        <v/>
      </c>
      <c r="O418" s="4" t="n"/>
      <c r="P418" s="5" t="n"/>
      <c r="Q418" s="3" t="n"/>
      <c r="R418" s="3">
        <f>IF(O418=0,0,IF(Q418="",B418*P418/100,Q418))</f>
        <v/>
      </c>
      <c r="S418" s="4" t="n"/>
      <c r="T418" s="5" t="n"/>
      <c r="U418" s="3" t="n"/>
      <c r="V418" s="3">
        <f>IF(S418=0,0,IF(U418="",B418*T418/100,U418))</f>
        <v/>
      </c>
      <c r="W418" s="4" t="n"/>
      <c r="X418" s="5" t="n"/>
      <c r="Y418" s="3" t="n"/>
      <c r="Z418" s="3">
        <f>IF(W418=0,0,IF(Y418="",B418*X418/100,Y418))</f>
        <v/>
      </c>
      <c r="AA418" s="3" t="n"/>
      <c r="AB418" s="3" t="n"/>
      <c r="AC418" s="3">
        <f>B418*0.035</f>
        <v/>
      </c>
      <c r="AD418" s="3">
        <f>B418*0.065</f>
        <v/>
      </c>
      <c r="AE418" s="3">
        <f>SUM(B418,F418,J418,N418,R418,V418,Z418,AA418,AB418,AC418,AD418)</f>
        <v/>
      </c>
      <c r="AF418" s="3">
        <f>B418*0.055</f>
        <v/>
      </c>
      <c r="AG418" s="3">
        <f>B418*0.035</f>
        <v/>
      </c>
      <c r="AH418" s="3">
        <f>B418*0.165</f>
        <v/>
      </c>
      <c r="AI418" s="3">
        <f>MAX(0,AE418-AF418-AH418)</f>
        <v/>
      </c>
      <c r="AJ418" s="3">
        <f>IF(AI418&lt;=490,0,IF(AI418&lt;=600,(AI418-490)*0.05,IF(AI418&lt;=730,5.5+(AI418-600)*0.10,IF(AI418&lt;=3896.67,18.5+(AI418-730)*0.175,IF(AI418&lt;=19896.67,572.67+(AI418-3896.67)*0.25,IF(AI418&lt;=50416.67,4572.67+(AI418-19896.67)*0.30,13728.67+(AI418-50416.67)*0.35))))))</f>
        <v/>
      </c>
      <c r="AK418" s="3" t="n"/>
      <c r="AL418" s="3" t="n"/>
      <c r="AM418" s="3" t="n"/>
      <c r="AN418" s="3" t="n"/>
      <c r="AO418" s="3" t="n"/>
      <c r="AP418" s="3">
        <f>SUM(AF418,AJ418,AK418,AL418,AM418,AN418,AO418,AG418,AH418)</f>
        <v/>
      </c>
      <c r="AQ418" s="3">
        <f>AE418-AP418</f>
        <v/>
      </c>
      <c r="AR418" s="3" t="n"/>
      <c r="AS418" s="3" t="n"/>
      <c r="AT418" s="3">
        <f>AR418-AS418</f>
        <v/>
      </c>
    </row>
    <row r="419">
      <c r="A419" s="2" t="n"/>
      <c r="B419" s="3" t="n"/>
      <c r="C419" s="4" t="n"/>
      <c r="D419" s="5" t="n"/>
      <c r="E419" s="3" t="n"/>
      <c r="F419" s="3">
        <f>IF(C419=0,0,IF(E419="",B419*D419/100,E419))</f>
        <v/>
      </c>
      <c r="G419" s="4" t="n"/>
      <c r="H419" s="5" t="n"/>
      <c r="I419" s="3" t="n"/>
      <c r="J419" s="3">
        <f>IF(G419=0,0,IF(I419="",B419*H419/100,I419))</f>
        <v/>
      </c>
      <c r="K419" s="4" t="n"/>
      <c r="L419" s="5" t="n"/>
      <c r="M419" s="3" t="n"/>
      <c r="N419" s="3">
        <f>IF(K419=0,0,IF(M419="",B419*L419/100,M419))</f>
        <v/>
      </c>
      <c r="O419" s="4" t="n"/>
      <c r="P419" s="5" t="n"/>
      <c r="Q419" s="3" t="n"/>
      <c r="R419" s="3">
        <f>IF(O419=0,0,IF(Q419="",B419*P419/100,Q419))</f>
        <v/>
      </c>
      <c r="S419" s="4" t="n"/>
      <c r="T419" s="5" t="n"/>
      <c r="U419" s="3" t="n"/>
      <c r="V419" s="3">
        <f>IF(S419=0,0,IF(U419="",B419*T419/100,U419))</f>
        <v/>
      </c>
      <c r="W419" s="4" t="n"/>
      <c r="X419" s="5" t="n"/>
      <c r="Y419" s="3" t="n"/>
      <c r="Z419" s="3">
        <f>IF(W419=0,0,IF(Y419="",B419*X419/100,Y419))</f>
        <v/>
      </c>
      <c r="AA419" s="3" t="n"/>
      <c r="AB419" s="3" t="n"/>
      <c r="AC419" s="3">
        <f>B419*0.035</f>
        <v/>
      </c>
      <c r="AD419" s="3">
        <f>B419*0.065</f>
        <v/>
      </c>
      <c r="AE419" s="3">
        <f>SUM(B419,F419,J419,N419,R419,V419,Z419,AA419,AB419,AC419,AD419)</f>
        <v/>
      </c>
      <c r="AF419" s="3">
        <f>B419*0.055</f>
        <v/>
      </c>
      <c r="AG419" s="3">
        <f>B419*0.035</f>
        <v/>
      </c>
      <c r="AH419" s="3">
        <f>B419*0.165</f>
        <v/>
      </c>
      <c r="AI419" s="3">
        <f>MAX(0,AE419-AF419-AH419)</f>
        <v/>
      </c>
      <c r="AJ419" s="3">
        <f>IF(AI419&lt;=490,0,IF(AI419&lt;=600,(AI419-490)*0.05,IF(AI419&lt;=730,5.5+(AI419-600)*0.10,IF(AI419&lt;=3896.67,18.5+(AI419-730)*0.175,IF(AI419&lt;=19896.67,572.67+(AI419-3896.67)*0.25,IF(AI419&lt;=50416.67,4572.67+(AI419-19896.67)*0.30,13728.67+(AI419-50416.67)*0.35))))))</f>
        <v/>
      </c>
      <c r="AK419" s="3" t="n"/>
      <c r="AL419" s="3" t="n"/>
      <c r="AM419" s="3" t="n"/>
      <c r="AN419" s="3" t="n"/>
      <c r="AO419" s="3" t="n"/>
      <c r="AP419" s="3">
        <f>SUM(AF419,AJ419,AK419,AL419,AM419,AN419,AO419,AG419,AH419)</f>
        <v/>
      </c>
      <c r="AQ419" s="3">
        <f>AE419-AP419</f>
        <v/>
      </c>
      <c r="AR419" s="3" t="n"/>
      <c r="AS419" s="3" t="n"/>
      <c r="AT419" s="3">
        <f>AR419-AS419</f>
        <v/>
      </c>
    </row>
    <row r="420">
      <c r="A420" s="2" t="n"/>
      <c r="B420" s="3" t="n"/>
      <c r="C420" s="4" t="n"/>
      <c r="D420" s="5" t="n"/>
      <c r="E420" s="3" t="n"/>
      <c r="F420" s="3">
        <f>IF(C420=0,0,IF(E420="",B420*D420/100,E420))</f>
        <v/>
      </c>
      <c r="G420" s="4" t="n"/>
      <c r="H420" s="5" t="n"/>
      <c r="I420" s="3" t="n"/>
      <c r="J420" s="3">
        <f>IF(G420=0,0,IF(I420="",B420*H420/100,I420))</f>
        <v/>
      </c>
      <c r="K420" s="4" t="n"/>
      <c r="L420" s="5" t="n"/>
      <c r="M420" s="3" t="n"/>
      <c r="N420" s="3">
        <f>IF(K420=0,0,IF(M420="",B420*L420/100,M420))</f>
        <v/>
      </c>
      <c r="O420" s="4" t="n"/>
      <c r="P420" s="5" t="n"/>
      <c r="Q420" s="3" t="n"/>
      <c r="R420" s="3">
        <f>IF(O420=0,0,IF(Q420="",B420*P420/100,Q420))</f>
        <v/>
      </c>
      <c r="S420" s="4" t="n"/>
      <c r="T420" s="5" t="n"/>
      <c r="U420" s="3" t="n"/>
      <c r="V420" s="3">
        <f>IF(S420=0,0,IF(U420="",B420*T420/100,U420))</f>
        <v/>
      </c>
      <c r="W420" s="4" t="n"/>
      <c r="X420" s="5" t="n"/>
      <c r="Y420" s="3" t="n"/>
      <c r="Z420" s="3">
        <f>IF(W420=0,0,IF(Y420="",B420*X420/100,Y420))</f>
        <v/>
      </c>
      <c r="AA420" s="3" t="n"/>
      <c r="AB420" s="3" t="n"/>
      <c r="AC420" s="3">
        <f>B420*0.035</f>
        <v/>
      </c>
      <c r="AD420" s="3">
        <f>B420*0.065</f>
        <v/>
      </c>
      <c r="AE420" s="3">
        <f>SUM(B420,F420,J420,N420,R420,V420,Z420,AA420,AB420,AC420,AD420)</f>
        <v/>
      </c>
      <c r="AF420" s="3">
        <f>B420*0.055</f>
        <v/>
      </c>
      <c r="AG420" s="3">
        <f>B420*0.035</f>
        <v/>
      </c>
      <c r="AH420" s="3">
        <f>B420*0.165</f>
        <v/>
      </c>
      <c r="AI420" s="3">
        <f>MAX(0,AE420-AF420-AH420)</f>
        <v/>
      </c>
      <c r="AJ420" s="3">
        <f>IF(AI420&lt;=490,0,IF(AI420&lt;=600,(AI420-490)*0.05,IF(AI420&lt;=730,5.5+(AI420-600)*0.10,IF(AI420&lt;=3896.67,18.5+(AI420-730)*0.175,IF(AI420&lt;=19896.67,572.67+(AI420-3896.67)*0.25,IF(AI420&lt;=50416.67,4572.67+(AI420-19896.67)*0.30,13728.67+(AI420-50416.67)*0.35))))))</f>
        <v/>
      </c>
      <c r="AK420" s="3" t="n"/>
      <c r="AL420" s="3" t="n"/>
      <c r="AM420" s="3" t="n"/>
      <c r="AN420" s="3" t="n"/>
      <c r="AO420" s="3" t="n"/>
      <c r="AP420" s="3">
        <f>SUM(AF420,AJ420,AK420,AL420,AM420,AN420,AO420,AG420,AH420)</f>
        <v/>
      </c>
      <c r="AQ420" s="3">
        <f>AE420-AP420</f>
        <v/>
      </c>
      <c r="AR420" s="3" t="n"/>
      <c r="AS420" s="3" t="n"/>
      <c r="AT420" s="3">
        <f>AR420-AS420</f>
        <v/>
      </c>
    </row>
    <row r="421">
      <c r="A421" s="2" t="n"/>
      <c r="B421" s="3" t="n"/>
      <c r="C421" s="4" t="n"/>
      <c r="D421" s="5" t="n"/>
      <c r="E421" s="3" t="n"/>
      <c r="F421" s="3">
        <f>IF(C421=0,0,IF(E421="",B421*D421/100,E421))</f>
        <v/>
      </c>
      <c r="G421" s="4" t="n"/>
      <c r="H421" s="5" t="n"/>
      <c r="I421" s="3" t="n"/>
      <c r="J421" s="3">
        <f>IF(G421=0,0,IF(I421="",B421*H421/100,I421))</f>
        <v/>
      </c>
      <c r="K421" s="4" t="n"/>
      <c r="L421" s="5" t="n"/>
      <c r="M421" s="3" t="n"/>
      <c r="N421" s="3">
        <f>IF(K421=0,0,IF(M421="",B421*L421/100,M421))</f>
        <v/>
      </c>
      <c r="O421" s="4" t="n"/>
      <c r="P421" s="5" t="n"/>
      <c r="Q421" s="3" t="n"/>
      <c r="R421" s="3">
        <f>IF(O421=0,0,IF(Q421="",B421*P421/100,Q421))</f>
        <v/>
      </c>
      <c r="S421" s="4" t="n"/>
      <c r="T421" s="5" t="n"/>
      <c r="U421" s="3" t="n"/>
      <c r="V421" s="3">
        <f>IF(S421=0,0,IF(U421="",B421*T421/100,U421))</f>
        <v/>
      </c>
      <c r="W421" s="4" t="n"/>
      <c r="X421" s="5" t="n"/>
      <c r="Y421" s="3" t="n"/>
      <c r="Z421" s="3">
        <f>IF(W421=0,0,IF(Y421="",B421*X421/100,Y421))</f>
        <v/>
      </c>
      <c r="AA421" s="3" t="n"/>
      <c r="AB421" s="3" t="n"/>
      <c r="AC421" s="3">
        <f>B421*0.035</f>
        <v/>
      </c>
      <c r="AD421" s="3">
        <f>B421*0.065</f>
        <v/>
      </c>
      <c r="AE421" s="3">
        <f>SUM(B421,F421,J421,N421,R421,V421,Z421,AA421,AB421,AC421,AD421)</f>
        <v/>
      </c>
      <c r="AF421" s="3">
        <f>B421*0.055</f>
        <v/>
      </c>
      <c r="AG421" s="3">
        <f>B421*0.035</f>
        <v/>
      </c>
      <c r="AH421" s="3">
        <f>B421*0.165</f>
        <v/>
      </c>
      <c r="AI421" s="3">
        <f>MAX(0,AE421-AF421-AH421)</f>
        <v/>
      </c>
      <c r="AJ421" s="3">
        <f>IF(AI421&lt;=490,0,IF(AI421&lt;=600,(AI421-490)*0.05,IF(AI421&lt;=730,5.5+(AI421-600)*0.10,IF(AI421&lt;=3896.67,18.5+(AI421-730)*0.175,IF(AI421&lt;=19896.67,572.67+(AI421-3896.67)*0.25,IF(AI421&lt;=50416.67,4572.67+(AI421-19896.67)*0.30,13728.67+(AI421-50416.67)*0.35))))))</f>
        <v/>
      </c>
      <c r="AK421" s="3" t="n"/>
      <c r="AL421" s="3" t="n"/>
      <c r="AM421" s="3" t="n"/>
      <c r="AN421" s="3" t="n"/>
      <c r="AO421" s="3" t="n"/>
      <c r="AP421" s="3">
        <f>SUM(AF421,AJ421,AK421,AL421,AM421,AN421,AO421,AG421,AH421)</f>
        <v/>
      </c>
      <c r="AQ421" s="3">
        <f>AE421-AP421</f>
        <v/>
      </c>
      <c r="AR421" s="3" t="n"/>
      <c r="AS421" s="3" t="n"/>
      <c r="AT421" s="3">
        <f>AR421-AS421</f>
        <v/>
      </c>
    </row>
    <row r="422">
      <c r="A422" s="2" t="n"/>
      <c r="B422" s="3" t="n"/>
      <c r="C422" s="4" t="n"/>
      <c r="D422" s="5" t="n"/>
      <c r="E422" s="3" t="n"/>
      <c r="F422" s="3">
        <f>IF(C422=0,0,IF(E422="",B422*D422/100,E422))</f>
        <v/>
      </c>
      <c r="G422" s="4" t="n"/>
      <c r="H422" s="5" t="n"/>
      <c r="I422" s="3" t="n"/>
      <c r="J422" s="3">
        <f>IF(G422=0,0,IF(I422="",B422*H422/100,I422))</f>
        <v/>
      </c>
      <c r="K422" s="4" t="n"/>
      <c r="L422" s="5" t="n"/>
      <c r="M422" s="3" t="n"/>
      <c r="N422" s="3">
        <f>IF(K422=0,0,IF(M422="",B422*L422/100,M422))</f>
        <v/>
      </c>
      <c r="O422" s="4" t="n"/>
      <c r="P422" s="5" t="n"/>
      <c r="Q422" s="3" t="n"/>
      <c r="R422" s="3">
        <f>IF(O422=0,0,IF(Q422="",B422*P422/100,Q422))</f>
        <v/>
      </c>
      <c r="S422" s="4" t="n"/>
      <c r="T422" s="5" t="n"/>
      <c r="U422" s="3" t="n"/>
      <c r="V422" s="3">
        <f>IF(S422=0,0,IF(U422="",B422*T422/100,U422))</f>
        <v/>
      </c>
      <c r="W422" s="4" t="n"/>
      <c r="X422" s="5" t="n"/>
      <c r="Y422" s="3" t="n"/>
      <c r="Z422" s="3">
        <f>IF(W422=0,0,IF(Y422="",B422*X422/100,Y422))</f>
        <v/>
      </c>
      <c r="AA422" s="3" t="n"/>
      <c r="AB422" s="3" t="n"/>
      <c r="AC422" s="3">
        <f>B422*0.035</f>
        <v/>
      </c>
      <c r="AD422" s="3">
        <f>B422*0.065</f>
        <v/>
      </c>
      <c r="AE422" s="3">
        <f>SUM(B422,F422,J422,N422,R422,V422,Z422,AA422,AB422,AC422,AD422)</f>
        <v/>
      </c>
      <c r="AF422" s="3">
        <f>B422*0.055</f>
        <v/>
      </c>
      <c r="AG422" s="3">
        <f>B422*0.035</f>
        <v/>
      </c>
      <c r="AH422" s="3">
        <f>B422*0.165</f>
        <v/>
      </c>
      <c r="AI422" s="3">
        <f>MAX(0,AE422-AF422-AH422)</f>
        <v/>
      </c>
      <c r="AJ422" s="3">
        <f>IF(AI422&lt;=490,0,IF(AI422&lt;=600,(AI422-490)*0.05,IF(AI422&lt;=730,5.5+(AI422-600)*0.10,IF(AI422&lt;=3896.67,18.5+(AI422-730)*0.175,IF(AI422&lt;=19896.67,572.67+(AI422-3896.67)*0.25,IF(AI422&lt;=50416.67,4572.67+(AI422-19896.67)*0.30,13728.67+(AI422-50416.67)*0.35))))))</f>
        <v/>
      </c>
      <c r="AK422" s="3" t="n"/>
      <c r="AL422" s="3" t="n"/>
      <c r="AM422" s="3" t="n"/>
      <c r="AN422" s="3" t="n"/>
      <c r="AO422" s="3" t="n"/>
      <c r="AP422" s="3">
        <f>SUM(AF422,AJ422,AK422,AL422,AM422,AN422,AO422,AG422,AH422)</f>
        <v/>
      </c>
      <c r="AQ422" s="3">
        <f>AE422-AP422</f>
        <v/>
      </c>
      <c r="AR422" s="3" t="n"/>
      <c r="AS422" s="3" t="n"/>
      <c r="AT422" s="3">
        <f>AR422-AS422</f>
        <v/>
      </c>
    </row>
    <row r="423">
      <c r="A423" s="2" t="n"/>
      <c r="B423" s="3" t="n"/>
      <c r="C423" s="4" t="n"/>
      <c r="D423" s="5" t="n"/>
      <c r="E423" s="3" t="n"/>
      <c r="F423" s="3">
        <f>IF(C423=0,0,IF(E423="",B423*D423/100,E423))</f>
        <v/>
      </c>
      <c r="G423" s="4" t="n"/>
      <c r="H423" s="5" t="n"/>
      <c r="I423" s="3" t="n"/>
      <c r="J423" s="3">
        <f>IF(G423=0,0,IF(I423="",B423*H423/100,I423))</f>
        <v/>
      </c>
      <c r="K423" s="4" t="n"/>
      <c r="L423" s="5" t="n"/>
      <c r="M423" s="3" t="n"/>
      <c r="N423" s="3">
        <f>IF(K423=0,0,IF(M423="",B423*L423/100,M423))</f>
        <v/>
      </c>
      <c r="O423" s="4" t="n"/>
      <c r="P423" s="5" t="n"/>
      <c r="Q423" s="3" t="n"/>
      <c r="R423" s="3">
        <f>IF(O423=0,0,IF(Q423="",B423*P423/100,Q423))</f>
        <v/>
      </c>
      <c r="S423" s="4" t="n"/>
      <c r="T423" s="5" t="n"/>
      <c r="U423" s="3" t="n"/>
      <c r="V423" s="3">
        <f>IF(S423=0,0,IF(U423="",B423*T423/100,U423))</f>
        <v/>
      </c>
      <c r="W423" s="4" t="n"/>
      <c r="X423" s="5" t="n"/>
      <c r="Y423" s="3" t="n"/>
      <c r="Z423" s="3">
        <f>IF(W423=0,0,IF(Y423="",B423*X423/100,Y423))</f>
        <v/>
      </c>
      <c r="AA423" s="3" t="n"/>
      <c r="AB423" s="3" t="n"/>
      <c r="AC423" s="3">
        <f>B423*0.035</f>
        <v/>
      </c>
      <c r="AD423" s="3">
        <f>B423*0.065</f>
        <v/>
      </c>
      <c r="AE423" s="3">
        <f>SUM(B423,F423,J423,N423,R423,V423,Z423,AA423,AB423,AC423,AD423)</f>
        <v/>
      </c>
      <c r="AF423" s="3">
        <f>B423*0.055</f>
        <v/>
      </c>
      <c r="AG423" s="3">
        <f>B423*0.035</f>
        <v/>
      </c>
      <c r="AH423" s="3">
        <f>B423*0.165</f>
        <v/>
      </c>
      <c r="AI423" s="3">
        <f>MAX(0,AE423-AF423-AH423)</f>
        <v/>
      </c>
      <c r="AJ423" s="3">
        <f>IF(AI423&lt;=490,0,IF(AI423&lt;=600,(AI423-490)*0.05,IF(AI423&lt;=730,5.5+(AI423-600)*0.10,IF(AI423&lt;=3896.67,18.5+(AI423-730)*0.175,IF(AI423&lt;=19896.67,572.67+(AI423-3896.67)*0.25,IF(AI423&lt;=50416.67,4572.67+(AI423-19896.67)*0.30,13728.67+(AI423-50416.67)*0.35))))))</f>
        <v/>
      </c>
      <c r="AK423" s="3" t="n"/>
      <c r="AL423" s="3" t="n"/>
      <c r="AM423" s="3" t="n"/>
      <c r="AN423" s="3" t="n"/>
      <c r="AO423" s="3" t="n"/>
      <c r="AP423" s="3">
        <f>SUM(AF423,AJ423,AK423,AL423,AM423,AN423,AO423,AG423,AH423)</f>
        <v/>
      </c>
      <c r="AQ423" s="3">
        <f>AE423-AP423</f>
        <v/>
      </c>
      <c r="AR423" s="3" t="n"/>
      <c r="AS423" s="3" t="n"/>
      <c r="AT423" s="3">
        <f>AR423-AS423</f>
        <v/>
      </c>
    </row>
    <row r="424">
      <c r="A424" s="2" t="n"/>
      <c r="B424" s="3" t="n"/>
      <c r="C424" s="4" t="n"/>
      <c r="D424" s="5" t="n"/>
      <c r="E424" s="3" t="n"/>
      <c r="F424" s="3">
        <f>IF(C424=0,0,IF(E424="",B424*D424/100,E424))</f>
        <v/>
      </c>
      <c r="G424" s="4" t="n"/>
      <c r="H424" s="5" t="n"/>
      <c r="I424" s="3" t="n"/>
      <c r="J424" s="3">
        <f>IF(G424=0,0,IF(I424="",B424*H424/100,I424))</f>
        <v/>
      </c>
      <c r="K424" s="4" t="n"/>
      <c r="L424" s="5" t="n"/>
      <c r="M424" s="3" t="n"/>
      <c r="N424" s="3">
        <f>IF(K424=0,0,IF(M424="",B424*L424/100,M424))</f>
        <v/>
      </c>
      <c r="O424" s="4" t="n"/>
      <c r="P424" s="5" t="n"/>
      <c r="Q424" s="3" t="n"/>
      <c r="R424" s="3">
        <f>IF(O424=0,0,IF(Q424="",B424*P424/100,Q424))</f>
        <v/>
      </c>
      <c r="S424" s="4" t="n"/>
      <c r="T424" s="5" t="n"/>
      <c r="U424" s="3" t="n"/>
      <c r="V424" s="3">
        <f>IF(S424=0,0,IF(U424="",B424*T424/100,U424))</f>
        <v/>
      </c>
      <c r="W424" s="4" t="n"/>
      <c r="X424" s="5" t="n"/>
      <c r="Y424" s="3" t="n"/>
      <c r="Z424" s="3">
        <f>IF(W424=0,0,IF(Y424="",B424*X424/100,Y424))</f>
        <v/>
      </c>
      <c r="AA424" s="3" t="n"/>
      <c r="AB424" s="3" t="n"/>
      <c r="AC424" s="3">
        <f>B424*0.035</f>
        <v/>
      </c>
      <c r="AD424" s="3">
        <f>B424*0.065</f>
        <v/>
      </c>
      <c r="AE424" s="3">
        <f>SUM(B424,F424,J424,N424,R424,V424,Z424,AA424,AB424,AC424,AD424)</f>
        <v/>
      </c>
      <c r="AF424" s="3">
        <f>B424*0.055</f>
        <v/>
      </c>
      <c r="AG424" s="3">
        <f>B424*0.035</f>
        <v/>
      </c>
      <c r="AH424" s="3">
        <f>B424*0.165</f>
        <v/>
      </c>
      <c r="AI424" s="3">
        <f>MAX(0,AE424-AF424-AH424)</f>
        <v/>
      </c>
      <c r="AJ424" s="3">
        <f>IF(AI424&lt;=490,0,IF(AI424&lt;=600,(AI424-490)*0.05,IF(AI424&lt;=730,5.5+(AI424-600)*0.10,IF(AI424&lt;=3896.67,18.5+(AI424-730)*0.175,IF(AI424&lt;=19896.67,572.67+(AI424-3896.67)*0.25,IF(AI424&lt;=50416.67,4572.67+(AI424-19896.67)*0.30,13728.67+(AI424-50416.67)*0.35))))))</f>
        <v/>
      </c>
      <c r="AK424" s="3" t="n"/>
      <c r="AL424" s="3" t="n"/>
      <c r="AM424" s="3" t="n"/>
      <c r="AN424" s="3" t="n"/>
      <c r="AO424" s="3" t="n"/>
      <c r="AP424" s="3">
        <f>SUM(AF424,AJ424,AK424,AL424,AM424,AN424,AO424,AG424,AH424)</f>
        <v/>
      </c>
      <c r="AQ424" s="3">
        <f>AE424-AP424</f>
        <v/>
      </c>
      <c r="AR424" s="3" t="n"/>
      <c r="AS424" s="3" t="n"/>
      <c r="AT424" s="3">
        <f>AR424-AS424</f>
        <v/>
      </c>
    </row>
    <row r="425">
      <c r="A425" s="2" t="n"/>
      <c r="B425" s="3" t="n"/>
      <c r="C425" s="4" t="n"/>
      <c r="D425" s="5" t="n"/>
      <c r="E425" s="3" t="n"/>
      <c r="F425" s="3">
        <f>IF(C425=0,0,IF(E425="",B425*D425/100,E425))</f>
        <v/>
      </c>
      <c r="G425" s="4" t="n"/>
      <c r="H425" s="5" t="n"/>
      <c r="I425" s="3" t="n"/>
      <c r="J425" s="3">
        <f>IF(G425=0,0,IF(I425="",B425*H425/100,I425))</f>
        <v/>
      </c>
      <c r="K425" s="4" t="n"/>
      <c r="L425" s="5" t="n"/>
      <c r="M425" s="3" t="n"/>
      <c r="N425" s="3">
        <f>IF(K425=0,0,IF(M425="",B425*L425/100,M425))</f>
        <v/>
      </c>
      <c r="O425" s="4" t="n"/>
      <c r="P425" s="5" t="n"/>
      <c r="Q425" s="3" t="n"/>
      <c r="R425" s="3">
        <f>IF(O425=0,0,IF(Q425="",B425*P425/100,Q425))</f>
        <v/>
      </c>
      <c r="S425" s="4" t="n"/>
      <c r="T425" s="5" t="n"/>
      <c r="U425" s="3" t="n"/>
      <c r="V425" s="3">
        <f>IF(S425=0,0,IF(U425="",B425*T425/100,U425))</f>
        <v/>
      </c>
      <c r="W425" s="4" t="n"/>
      <c r="X425" s="5" t="n"/>
      <c r="Y425" s="3" t="n"/>
      <c r="Z425" s="3">
        <f>IF(W425=0,0,IF(Y425="",B425*X425/100,Y425))</f>
        <v/>
      </c>
      <c r="AA425" s="3" t="n"/>
      <c r="AB425" s="3" t="n"/>
      <c r="AC425" s="3">
        <f>B425*0.035</f>
        <v/>
      </c>
      <c r="AD425" s="3">
        <f>B425*0.065</f>
        <v/>
      </c>
      <c r="AE425" s="3">
        <f>SUM(B425,F425,J425,N425,R425,V425,Z425,AA425,AB425,AC425,AD425)</f>
        <v/>
      </c>
      <c r="AF425" s="3">
        <f>B425*0.055</f>
        <v/>
      </c>
      <c r="AG425" s="3">
        <f>B425*0.035</f>
        <v/>
      </c>
      <c r="AH425" s="3">
        <f>B425*0.165</f>
        <v/>
      </c>
      <c r="AI425" s="3">
        <f>MAX(0,AE425-AF425-AH425)</f>
        <v/>
      </c>
      <c r="AJ425" s="3">
        <f>IF(AI425&lt;=490,0,IF(AI425&lt;=600,(AI425-490)*0.05,IF(AI425&lt;=730,5.5+(AI425-600)*0.10,IF(AI425&lt;=3896.67,18.5+(AI425-730)*0.175,IF(AI425&lt;=19896.67,572.67+(AI425-3896.67)*0.25,IF(AI425&lt;=50416.67,4572.67+(AI425-19896.67)*0.30,13728.67+(AI425-50416.67)*0.35))))))</f>
        <v/>
      </c>
      <c r="AK425" s="3" t="n"/>
      <c r="AL425" s="3" t="n"/>
      <c r="AM425" s="3" t="n"/>
      <c r="AN425" s="3" t="n"/>
      <c r="AO425" s="3" t="n"/>
      <c r="AP425" s="3">
        <f>SUM(AF425,AJ425,AK425,AL425,AM425,AN425,AO425,AG425,AH425)</f>
        <v/>
      </c>
      <c r="AQ425" s="3">
        <f>AE425-AP425</f>
        <v/>
      </c>
      <c r="AR425" s="3" t="n"/>
      <c r="AS425" s="3" t="n"/>
      <c r="AT425" s="3">
        <f>AR425-AS425</f>
        <v/>
      </c>
    </row>
    <row r="426">
      <c r="A426" s="2" t="n"/>
      <c r="B426" s="3" t="n"/>
      <c r="C426" s="4" t="n"/>
      <c r="D426" s="5" t="n"/>
      <c r="E426" s="3" t="n"/>
      <c r="F426" s="3">
        <f>IF(C426=0,0,IF(E426="",B426*D426/100,E426))</f>
        <v/>
      </c>
      <c r="G426" s="4" t="n"/>
      <c r="H426" s="5" t="n"/>
      <c r="I426" s="3" t="n"/>
      <c r="J426" s="3">
        <f>IF(G426=0,0,IF(I426="",B426*H426/100,I426))</f>
        <v/>
      </c>
      <c r="K426" s="4" t="n"/>
      <c r="L426" s="5" t="n"/>
      <c r="M426" s="3" t="n"/>
      <c r="N426" s="3">
        <f>IF(K426=0,0,IF(M426="",B426*L426/100,M426))</f>
        <v/>
      </c>
      <c r="O426" s="4" t="n"/>
      <c r="P426" s="5" t="n"/>
      <c r="Q426" s="3" t="n"/>
      <c r="R426" s="3">
        <f>IF(O426=0,0,IF(Q426="",B426*P426/100,Q426))</f>
        <v/>
      </c>
      <c r="S426" s="4" t="n"/>
      <c r="T426" s="5" t="n"/>
      <c r="U426" s="3" t="n"/>
      <c r="V426" s="3">
        <f>IF(S426=0,0,IF(U426="",B426*T426/100,U426))</f>
        <v/>
      </c>
      <c r="W426" s="4" t="n"/>
      <c r="X426" s="5" t="n"/>
      <c r="Y426" s="3" t="n"/>
      <c r="Z426" s="3">
        <f>IF(W426=0,0,IF(Y426="",B426*X426/100,Y426))</f>
        <v/>
      </c>
      <c r="AA426" s="3" t="n"/>
      <c r="AB426" s="3" t="n"/>
      <c r="AC426" s="3">
        <f>B426*0.035</f>
        <v/>
      </c>
      <c r="AD426" s="3">
        <f>B426*0.065</f>
        <v/>
      </c>
      <c r="AE426" s="3">
        <f>SUM(B426,F426,J426,N426,R426,V426,Z426,AA426,AB426,AC426,AD426)</f>
        <v/>
      </c>
      <c r="AF426" s="3">
        <f>B426*0.055</f>
        <v/>
      </c>
      <c r="AG426" s="3">
        <f>B426*0.035</f>
        <v/>
      </c>
      <c r="AH426" s="3">
        <f>B426*0.165</f>
        <v/>
      </c>
      <c r="AI426" s="3">
        <f>MAX(0,AE426-AF426-AH426)</f>
        <v/>
      </c>
      <c r="AJ426" s="3">
        <f>IF(AI426&lt;=490,0,IF(AI426&lt;=600,(AI426-490)*0.05,IF(AI426&lt;=730,5.5+(AI426-600)*0.10,IF(AI426&lt;=3896.67,18.5+(AI426-730)*0.175,IF(AI426&lt;=19896.67,572.67+(AI426-3896.67)*0.25,IF(AI426&lt;=50416.67,4572.67+(AI426-19896.67)*0.30,13728.67+(AI426-50416.67)*0.35))))))</f>
        <v/>
      </c>
      <c r="AK426" s="3" t="n"/>
      <c r="AL426" s="3" t="n"/>
      <c r="AM426" s="3" t="n"/>
      <c r="AN426" s="3" t="n"/>
      <c r="AO426" s="3" t="n"/>
      <c r="AP426" s="3">
        <f>SUM(AF426,AJ426,AK426,AL426,AM426,AN426,AO426,AG426,AH426)</f>
        <v/>
      </c>
      <c r="AQ426" s="3">
        <f>AE426-AP426</f>
        <v/>
      </c>
      <c r="AR426" s="3" t="n"/>
      <c r="AS426" s="3" t="n"/>
      <c r="AT426" s="3">
        <f>AR426-AS426</f>
        <v/>
      </c>
    </row>
    <row r="427">
      <c r="A427" s="2" t="n"/>
      <c r="B427" s="3" t="n"/>
      <c r="C427" s="4" t="n"/>
      <c r="D427" s="5" t="n"/>
      <c r="E427" s="3" t="n"/>
      <c r="F427" s="3">
        <f>IF(C427=0,0,IF(E427="",B427*D427/100,E427))</f>
        <v/>
      </c>
      <c r="G427" s="4" t="n"/>
      <c r="H427" s="5" t="n"/>
      <c r="I427" s="3" t="n"/>
      <c r="J427" s="3">
        <f>IF(G427=0,0,IF(I427="",B427*H427/100,I427))</f>
        <v/>
      </c>
      <c r="K427" s="4" t="n"/>
      <c r="L427" s="5" t="n"/>
      <c r="M427" s="3" t="n"/>
      <c r="N427" s="3">
        <f>IF(K427=0,0,IF(M427="",B427*L427/100,M427))</f>
        <v/>
      </c>
      <c r="O427" s="4" t="n"/>
      <c r="P427" s="5" t="n"/>
      <c r="Q427" s="3" t="n"/>
      <c r="R427" s="3">
        <f>IF(O427=0,0,IF(Q427="",B427*P427/100,Q427))</f>
        <v/>
      </c>
      <c r="S427" s="4" t="n"/>
      <c r="T427" s="5" t="n"/>
      <c r="U427" s="3" t="n"/>
      <c r="V427" s="3">
        <f>IF(S427=0,0,IF(U427="",B427*T427/100,U427))</f>
        <v/>
      </c>
      <c r="W427" s="4" t="n"/>
      <c r="X427" s="5" t="n"/>
      <c r="Y427" s="3" t="n"/>
      <c r="Z427" s="3">
        <f>IF(W427=0,0,IF(Y427="",B427*X427/100,Y427))</f>
        <v/>
      </c>
      <c r="AA427" s="3" t="n"/>
      <c r="AB427" s="3" t="n"/>
      <c r="AC427" s="3">
        <f>B427*0.035</f>
        <v/>
      </c>
      <c r="AD427" s="3">
        <f>B427*0.065</f>
        <v/>
      </c>
      <c r="AE427" s="3">
        <f>SUM(B427,F427,J427,N427,R427,V427,Z427,AA427,AB427,AC427,AD427)</f>
        <v/>
      </c>
      <c r="AF427" s="3">
        <f>B427*0.055</f>
        <v/>
      </c>
      <c r="AG427" s="3">
        <f>B427*0.035</f>
        <v/>
      </c>
      <c r="AH427" s="3">
        <f>B427*0.165</f>
        <v/>
      </c>
      <c r="AI427" s="3">
        <f>MAX(0,AE427-AF427-AH427)</f>
        <v/>
      </c>
      <c r="AJ427" s="3">
        <f>IF(AI427&lt;=490,0,IF(AI427&lt;=600,(AI427-490)*0.05,IF(AI427&lt;=730,5.5+(AI427-600)*0.10,IF(AI427&lt;=3896.67,18.5+(AI427-730)*0.175,IF(AI427&lt;=19896.67,572.67+(AI427-3896.67)*0.25,IF(AI427&lt;=50416.67,4572.67+(AI427-19896.67)*0.30,13728.67+(AI427-50416.67)*0.35))))))</f>
        <v/>
      </c>
      <c r="AK427" s="3" t="n"/>
      <c r="AL427" s="3" t="n"/>
      <c r="AM427" s="3" t="n"/>
      <c r="AN427" s="3" t="n"/>
      <c r="AO427" s="3" t="n"/>
      <c r="AP427" s="3">
        <f>SUM(AF427,AJ427,AK427,AL427,AM427,AN427,AO427,AG427,AH427)</f>
        <v/>
      </c>
      <c r="AQ427" s="3">
        <f>AE427-AP427</f>
        <v/>
      </c>
      <c r="AR427" s="3" t="n"/>
      <c r="AS427" s="3" t="n"/>
      <c r="AT427" s="3">
        <f>AR427-AS427</f>
        <v/>
      </c>
    </row>
    <row r="428">
      <c r="A428" s="2" t="n"/>
      <c r="B428" s="3" t="n"/>
      <c r="C428" s="4" t="n"/>
      <c r="D428" s="5" t="n"/>
      <c r="E428" s="3" t="n"/>
      <c r="F428" s="3">
        <f>IF(C428=0,0,IF(E428="",B428*D428/100,E428))</f>
        <v/>
      </c>
      <c r="G428" s="4" t="n"/>
      <c r="H428" s="5" t="n"/>
      <c r="I428" s="3" t="n"/>
      <c r="J428" s="3">
        <f>IF(G428=0,0,IF(I428="",B428*H428/100,I428))</f>
        <v/>
      </c>
      <c r="K428" s="4" t="n"/>
      <c r="L428" s="5" t="n"/>
      <c r="M428" s="3" t="n"/>
      <c r="N428" s="3">
        <f>IF(K428=0,0,IF(M428="",B428*L428/100,M428))</f>
        <v/>
      </c>
      <c r="O428" s="4" t="n"/>
      <c r="P428" s="5" t="n"/>
      <c r="Q428" s="3" t="n"/>
      <c r="R428" s="3">
        <f>IF(O428=0,0,IF(Q428="",B428*P428/100,Q428))</f>
        <v/>
      </c>
      <c r="S428" s="4" t="n"/>
      <c r="T428" s="5" t="n"/>
      <c r="U428" s="3" t="n"/>
      <c r="V428" s="3">
        <f>IF(S428=0,0,IF(U428="",B428*T428/100,U428))</f>
        <v/>
      </c>
      <c r="W428" s="4" t="n"/>
      <c r="X428" s="5" t="n"/>
      <c r="Y428" s="3" t="n"/>
      <c r="Z428" s="3">
        <f>IF(W428=0,0,IF(Y428="",B428*X428/100,Y428))</f>
        <v/>
      </c>
      <c r="AA428" s="3" t="n"/>
      <c r="AB428" s="3" t="n"/>
      <c r="AC428" s="3">
        <f>B428*0.035</f>
        <v/>
      </c>
      <c r="AD428" s="3">
        <f>B428*0.065</f>
        <v/>
      </c>
      <c r="AE428" s="3">
        <f>SUM(B428,F428,J428,N428,R428,V428,Z428,AA428,AB428,AC428,AD428)</f>
        <v/>
      </c>
      <c r="AF428" s="3">
        <f>B428*0.055</f>
        <v/>
      </c>
      <c r="AG428" s="3">
        <f>B428*0.035</f>
        <v/>
      </c>
      <c r="AH428" s="3">
        <f>B428*0.165</f>
        <v/>
      </c>
      <c r="AI428" s="3">
        <f>MAX(0,AE428-AF428-AH428)</f>
        <v/>
      </c>
      <c r="AJ428" s="3">
        <f>IF(AI428&lt;=490,0,IF(AI428&lt;=600,(AI428-490)*0.05,IF(AI428&lt;=730,5.5+(AI428-600)*0.10,IF(AI428&lt;=3896.67,18.5+(AI428-730)*0.175,IF(AI428&lt;=19896.67,572.67+(AI428-3896.67)*0.25,IF(AI428&lt;=50416.67,4572.67+(AI428-19896.67)*0.30,13728.67+(AI428-50416.67)*0.35))))))</f>
        <v/>
      </c>
      <c r="AK428" s="3" t="n"/>
      <c r="AL428" s="3" t="n"/>
      <c r="AM428" s="3" t="n"/>
      <c r="AN428" s="3" t="n"/>
      <c r="AO428" s="3" t="n"/>
      <c r="AP428" s="3">
        <f>SUM(AF428,AJ428,AK428,AL428,AM428,AN428,AO428,AG428,AH428)</f>
        <v/>
      </c>
      <c r="AQ428" s="3">
        <f>AE428-AP428</f>
        <v/>
      </c>
      <c r="AR428" s="3" t="n"/>
      <c r="AS428" s="3" t="n"/>
      <c r="AT428" s="3">
        <f>AR428-AS428</f>
        <v/>
      </c>
    </row>
    <row r="429">
      <c r="A429" s="2" t="n"/>
      <c r="B429" s="3" t="n"/>
      <c r="C429" s="4" t="n"/>
      <c r="D429" s="5" t="n"/>
      <c r="E429" s="3" t="n"/>
      <c r="F429" s="3">
        <f>IF(C429=0,0,IF(E429="",B429*D429/100,E429))</f>
        <v/>
      </c>
      <c r="G429" s="4" t="n"/>
      <c r="H429" s="5" t="n"/>
      <c r="I429" s="3" t="n"/>
      <c r="J429" s="3">
        <f>IF(G429=0,0,IF(I429="",B429*H429/100,I429))</f>
        <v/>
      </c>
      <c r="K429" s="4" t="n"/>
      <c r="L429" s="5" t="n"/>
      <c r="M429" s="3" t="n"/>
      <c r="N429" s="3">
        <f>IF(K429=0,0,IF(M429="",B429*L429/100,M429))</f>
        <v/>
      </c>
      <c r="O429" s="4" t="n"/>
      <c r="P429" s="5" t="n"/>
      <c r="Q429" s="3" t="n"/>
      <c r="R429" s="3">
        <f>IF(O429=0,0,IF(Q429="",B429*P429/100,Q429))</f>
        <v/>
      </c>
      <c r="S429" s="4" t="n"/>
      <c r="T429" s="5" t="n"/>
      <c r="U429" s="3" t="n"/>
      <c r="V429" s="3">
        <f>IF(S429=0,0,IF(U429="",B429*T429/100,U429))</f>
        <v/>
      </c>
      <c r="W429" s="4" t="n"/>
      <c r="X429" s="5" t="n"/>
      <c r="Y429" s="3" t="n"/>
      <c r="Z429" s="3">
        <f>IF(W429=0,0,IF(Y429="",B429*X429/100,Y429))</f>
        <v/>
      </c>
      <c r="AA429" s="3" t="n"/>
      <c r="AB429" s="3" t="n"/>
      <c r="AC429" s="3">
        <f>B429*0.035</f>
        <v/>
      </c>
      <c r="AD429" s="3">
        <f>B429*0.065</f>
        <v/>
      </c>
      <c r="AE429" s="3">
        <f>SUM(B429,F429,J429,N429,R429,V429,Z429,AA429,AB429,AC429,AD429)</f>
        <v/>
      </c>
      <c r="AF429" s="3">
        <f>B429*0.055</f>
        <v/>
      </c>
      <c r="AG429" s="3">
        <f>B429*0.035</f>
        <v/>
      </c>
      <c r="AH429" s="3">
        <f>B429*0.165</f>
        <v/>
      </c>
      <c r="AI429" s="3">
        <f>MAX(0,AE429-AF429-AH429)</f>
        <v/>
      </c>
      <c r="AJ429" s="3">
        <f>IF(AI429&lt;=490,0,IF(AI429&lt;=600,(AI429-490)*0.05,IF(AI429&lt;=730,5.5+(AI429-600)*0.10,IF(AI429&lt;=3896.67,18.5+(AI429-730)*0.175,IF(AI429&lt;=19896.67,572.67+(AI429-3896.67)*0.25,IF(AI429&lt;=50416.67,4572.67+(AI429-19896.67)*0.30,13728.67+(AI429-50416.67)*0.35))))))</f>
        <v/>
      </c>
      <c r="AK429" s="3" t="n"/>
      <c r="AL429" s="3" t="n"/>
      <c r="AM429" s="3" t="n"/>
      <c r="AN429" s="3" t="n"/>
      <c r="AO429" s="3" t="n"/>
      <c r="AP429" s="3">
        <f>SUM(AF429,AJ429,AK429,AL429,AM429,AN429,AO429,AG429,AH429)</f>
        <v/>
      </c>
      <c r="AQ429" s="3">
        <f>AE429-AP429</f>
        <v/>
      </c>
      <c r="AR429" s="3" t="n"/>
      <c r="AS429" s="3" t="n"/>
      <c r="AT429" s="3">
        <f>AR429-AS429</f>
        <v/>
      </c>
    </row>
    <row r="430">
      <c r="A430" s="2" t="n"/>
      <c r="B430" s="3" t="n"/>
      <c r="C430" s="4" t="n"/>
      <c r="D430" s="5" t="n"/>
      <c r="E430" s="3" t="n"/>
      <c r="F430" s="3">
        <f>IF(C430=0,0,IF(E430="",B430*D430/100,E430))</f>
        <v/>
      </c>
      <c r="G430" s="4" t="n"/>
      <c r="H430" s="5" t="n"/>
      <c r="I430" s="3" t="n"/>
      <c r="J430" s="3">
        <f>IF(G430=0,0,IF(I430="",B430*H430/100,I430))</f>
        <v/>
      </c>
      <c r="K430" s="4" t="n"/>
      <c r="L430" s="5" t="n"/>
      <c r="M430" s="3" t="n"/>
      <c r="N430" s="3">
        <f>IF(K430=0,0,IF(M430="",B430*L430/100,M430))</f>
        <v/>
      </c>
      <c r="O430" s="4" t="n"/>
      <c r="P430" s="5" t="n"/>
      <c r="Q430" s="3" t="n"/>
      <c r="R430" s="3">
        <f>IF(O430=0,0,IF(Q430="",B430*P430/100,Q430))</f>
        <v/>
      </c>
      <c r="S430" s="4" t="n"/>
      <c r="T430" s="5" t="n"/>
      <c r="U430" s="3" t="n"/>
      <c r="V430" s="3">
        <f>IF(S430=0,0,IF(U430="",B430*T430/100,U430))</f>
        <v/>
      </c>
      <c r="W430" s="4" t="n"/>
      <c r="X430" s="5" t="n"/>
      <c r="Y430" s="3" t="n"/>
      <c r="Z430" s="3">
        <f>IF(W430=0,0,IF(Y430="",B430*X430/100,Y430))</f>
        <v/>
      </c>
      <c r="AA430" s="3" t="n"/>
      <c r="AB430" s="3" t="n"/>
      <c r="AC430" s="3">
        <f>B430*0.035</f>
        <v/>
      </c>
      <c r="AD430" s="3">
        <f>B430*0.065</f>
        <v/>
      </c>
      <c r="AE430" s="3">
        <f>SUM(B430,F430,J430,N430,R430,V430,Z430,AA430,AB430,AC430,AD430)</f>
        <v/>
      </c>
      <c r="AF430" s="3">
        <f>B430*0.055</f>
        <v/>
      </c>
      <c r="AG430" s="3">
        <f>B430*0.035</f>
        <v/>
      </c>
      <c r="AH430" s="3">
        <f>B430*0.165</f>
        <v/>
      </c>
      <c r="AI430" s="3">
        <f>MAX(0,AE430-AF430-AH430)</f>
        <v/>
      </c>
      <c r="AJ430" s="3">
        <f>IF(AI430&lt;=490,0,IF(AI430&lt;=600,(AI430-490)*0.05,IF(AI430&lt;=730,5.5+(AI430-600)*0.10,IF(AI430&lt;=3896.67,18.5+(AI430-730)*0.175,IF(AI430&lt;=19896.67,572.67+(AI430-3896.67)*0.25,IF(AI430&lt;=50416.67,4572.67+(AI430-19896.67)*0.30,13728.67+(AI430-50416.67)*0.35))))))</f>
        <v/>
      </c>
      <c r="AK430" s="3" t="n"/>
      <c r="AL430" s="3" t="n"/>
      <c r="AM430" s="3" t="n"/>
      <c r="AN430" s="3" t="n"/>
      <c r="AO430" s="3" t="n"/>
      <c r="AP430" s="3">
        <f>SUM(AF430,AJ430,AK430,AL430,AM430,AN430,AO430,AG430,AH430)</f>
        <v/>
      </c>
      <c r="AQ430" s="3">
        <f>AE430-AP430</f>
        <v/>
      </c>
      <c r="AR430" s="3" t="n"/>
      <c r="AS430" s="3" t="n"/>
      <c r="AT430" s="3">
        <f>AR430-AS430</f>
        <v/>
      </c>
    </row>
    <row r="431">
      <c r="A431" s="2" t="n"/>
      <c r="B431" s="3" t="n"/>
      <c r="C431" s="4" t="n"/>
      <c r="D431" s="5" t="n"/>
      <c r="E431" s="3" t="n"/>
      <c r="F431" s="3">
        <f>IF(C431=0,0,IF(E431="",B431*D431/100,E431))</f>
        <v/>
      </c>
      <c r="G431" s="4" t="n"/>
      <c r="H431" s="5" t="n"/>
      <c r="I431" s="3" t="n"/>
      <c r="J431" s="3">
        <f>IF(G431=0,0,IF(I431="",B431*H431/100,I431))</f>
        <v/>
      </c>
      <c r="K431" s="4" t="n"/>
      <c r="L431" s="5" t="n"/>
      <c r="M431" s="3" t="n"/>
      <c r="N431" s="3">
        <f>IF(K431=0,0,IF(M431="",B431*L431/100,M431))</f>
        <v/>
      </c>
      <c r="O431" s="4" t="n"/>
      <c r="P431" s="5" t="n"/>
      <c r="Q431" s="3" t="n"/>
      <c r="R431" s="3">
        <f>IF(O431=0,0,IF(Q431="",B431*P431/100,Q431))</f>
        <v/>
      </c>
      <c r="S431" s="4" t="n"/>
      <c r="T431" s="5" t="n"/>
      <c r="U431" s="3" t="n"/>
      <c r="V431" s="3">
        <f>IF(S431=0,0,IF(U431="",B431*T431/100,U431))</f>
        <v/>
      </c>
      <c r="W431" s="4" t="n"/>
      <c r="X431" s="5" t="n"/>
      <c r="Y431" s="3" t="n"/>
      <c r="Z431" s="3">
        <f>IF(W431=0,0,IF(Y431="",B431*X431/100,Y431))</f>
        <v/>
      </c>
      <c r="AA431" s="3" t="n"/>
      <c r="AB431" s="3" t="n"/>
      <c r="AC431" s="3">
        <f>B431*0.035</f>
        <v/>
      </c>
      <c r="AD431" s="3">
        <f>B431*0.065</f>
        <v/>
      </c>
      <c r="AE431" s="3">
        <f>SUM(B431,F431,J431,N431,R431,V431,Z431,AA431,AB431,AC431,AD431)</f>
        <v/>
      </c>
      <c r="AF431" s="3">
        <f>B431*0.055</f>
        <v/>
      </c>
      <c r="AG431" s="3">
        <f>B431*0.035</f>
        <v/>
      </c>
      <c r="AH431" s="3">
        <f>B431*0.165</f>
        <v/>
      </c>
      <c r="AI431" s="3">
        <f>MAX(0,AE431-AF431-AH431)</f>
        <v/>
      </c>
      <c r="AJ431" s="3">
        <f>IF(AI431&lt;=490,0,IF(AI431&lt;=600,(AI431-490)*0.05,IF(AI431&lt;=730,5.5+(AI431-600)*0.10,IF(AI431&lt;=3896.67,18.5+(AI431-730)*0.175,IF(AI431&lt;=19896.67,572.67+(AI431-3896.67)*0.25,IF(AI431&lt;=50416.67,4572.67+(AI431-19896.67)*0.30,13728.67+(AI431-50416.67)*0.35))))))</f>
        <v/>
      </c>
      <c r="AK431" s="3" t="n"/>
      <c r="AL431" s="3" t="n"/>
      <c r="AM431" s="3" t="n"/>
      <c r="AN431" s="3" t="n"/>
      <c r="AO431" s="3" t="n"/>
      <c r="AP431" s="3">
        <f>SUM(AF431,AJ431,AK431,AL431,AM431,AN431,AO431,AG431,AH431)</f>
        <v/>
      </c>
      <c r="AQ431" s="3">
        <f>AE431-AP431</f>
        <v/>
      </c>
      <c r="AR431" s="3" t="n"/>
      <c r="AS431" s="3" t="n"/>
      <c r="AT431" s="3">
        <f>AR431-AS431</f>
        <v/>
      </c>
    </row>
    <row r="432">
      <c r="A432" s="2" t="n"/>
      <c r="B432" s="3" t="n"/>
      <c r="C432" s="4" t="n"/>
      <c r="D432" s="5" t="n"/>
      <c r="E432" s="3" t="n"/>
      <c r="F432" s="3">
        <f>IF(C432=0,0,IF(E432="",B432*D432/100,E432))</f>
        <v/>
      </c>
      <c r="G432" s="4" t="n"/>
      <c r="H432" s="5" t="n"/>
      <c r="I432" s="3" t="n"/>
      <c r="J432" s="3">
        <f>IF(G432=0,0,IF(I432="",B432*H432/100,I432))</f>
        <v/>
      </c>
      <c r="K432" s="4" t="n"/>
      <c r="L432" s="5" t="n"/>
      <c r="M432" s="3" t="n"/>
      <c r="N432" s="3">
        <f>IF(K432=0,0,IF(M432="",B432*L432/100,M432))</f>
        <v/>
      </c>
      <c r="O432" s="4" t="n"/>
      <c r="P432" s="5" t="n"/>
      <c r="Q432" s="3" t="n"/>
      <c r="R432" s="3">
        <f>IF(O432=0,0,IF(Q432="",B432*P432/100,Q432))</f>
        <v/>
      </c>
      <c r="S432" s="4" t="n"/>
      <c r="T432" s="5" t="n"/>
      <c r="U432" s="3" t="n"/>
      <c r="V432" s="3">
        <f>IF(S432=0,0,IF(U432="",B432*T432/100,U432))</f>
        <v/>
      </c>
      <c r="W432" s="4" t="n"/>
      <c r="X432" s="5" t="n"/>
      <c r="Y432" s="3" t="n"/>
      <c r="Z432" s="3">
        <f>IF(W432=0,0,IF(Y432="",B432*X432/100,Y432))</f>
        <v/>
      </c>
      <c r="AA432" s="3" t="n"/>
      <c r="AB432" s="3" t="n"/>
      <c r="AC432" s="3">
        <f>B432*0.035</f>
        <v/>
      </c>
      <c r="AD432" s="3">
        <f>B432*0.065</f>
        <v/>
      </c>
      <c r="AE432" s="3">
        <f>SUM(B432,F432,J432,N432,R432,V432,Z432,AA432,AB432,AC432,AD432)</f>
        <v/>
      </c>
      <c r="AF432" s="3">
        <f>B432*0.055</f>
        <v/>
      </c>
      <c r="AG432" s="3">
        <f>B432*0.035</f>
        <v/>
      </c>
      <c r="AH432" s="3">
        <f>B432*0.165</f>
        <v/>
      </c>
      <c r="AI432" s="3">
        <f>MAX(0,AE432-AF432-AH432)</f>
        <v/>
      </c>
      <c r="AJ432" s="3">
        <f>IF(AI432&lt;=490,0,IF(AI432&lt;=600,(AI432-490)*0.05,IF(AI432&lt;=730,5.5+(AI432-600)*0.10,IF(AI432&lt;=3896.67,18.5+(AI432-730)*0.175,IF(AI432&lt;=19896.67,572.67+(AI432-3896.67)*0.25,IF(AI432&lt;=50416.67,4572.67+(AI432-19896.67)*0.30,13728.67+(AI432-50416.67)*0.35))))))</f>
        <v/>
      </c>
      <c r="AK432" s="3" t="n"/>
      <c r="AL432" s="3" t="n"/>
      <c r="AM432" s="3" t="n"/>
      <c r="AN432" s="3" t="n"/>
      <c r="AO432" s="3" t="n"/>
      <c r="AP432" s="3">
        <f>SUM(AF432,AJ432,AK432,AL432,AM432,AN432,AO432,AG432,AH432)</f>
        <v/>
      </c>
      <c r="AQ432" s="3">
        <f>AE432-AP432</f>
        <v/>
      </c>
      <c r="AR432" s="3" t="n"/>
      <c r="AS432" s="3" t="n"/>
      <c r="AT432" s="3">
        <f>AR432-AS432</f>
        <v/>
      </c>
    </row>
    <row r="433">
      <c r="A433" s="2" t="n"/>
      <c r="B433" s="3" t="n"/>
      <c r="C433" s="4" t="n"/>
      <c r="D433" s="5" t="n"/>
      <c r="E433" s="3" t="n"/>
      <c r="F433" s="3">
        <f>IF(C433=0,0,IF(E433="",B433*D433/100,E433))</f>
        <v/>
      </c>
      <c r="G433" s="4" t="n"/>
      <c r="H433" s="5" t="n"/>
      <c r="I433" s="3" t="n"/>
      <c r="J433" s="3">
        <f>IF(G433=0,0,IF(I433="",B433*H433/100,I433))</f>
        <v/>
      </c>
      <c r="K433" s="4" t="n"/>
      <c r="L433" s="5" t="n"/>
      <c r="M433" s="3" t="n"/>
      <c r="N433" s="3">
        <f>IF(K433=0,0,IF(M433="",B433*L433/100,M433))</f>
        <v/>
      </c>
      <c r="O433" s="4" t="n"/>
      <c r="P433" s="5" t="n"/>
      <c r="Q433" s="3" t="n"/>
      <c r="R433" s="3">
        <f>IF(O433=0,0,IF(Q433="",B433*P433/100,Q433))</f>
        <v/>
      </c>
      <c r="S433" s="4" t="n"/>
      <c r="T433" s="5" t="n"/>
      <c r="U433" s="3" t="n"/>
      <c r="V433" s="3">
        <f>IF(S433=0,0,IF(U433="",B433*T433/100,U433))</f>
        <v/>
      </c>
      <c r="W433" s="4" t="n"/>
      <c r="X433" s="5" t="n"/>
      <c r="Y433" s="3" t="n"/>
      <c r="Z433" s="3">
        <f>IF(W433=0,0,IF(Y433="",B433*X433/100,Y433))</f>
        <v/>
      </c>
      <c r="AA433" s="3" t="n"/>
      <c r="AB433" s="3" t="n"/>
      <c r="AC433" s="3">
        <f>B433*0.035</f>
        <v/>
      </c>
      <c r="AD433" s="3">
        <f>B433*0.065</f>
        <v/>
      </c>
      <c r="AE433" s="3">
        <f>SUM(B433,F433,J433,N433,R433,V433,Z433,AA433,AB433,AC433,AD433)</f>
        <v/>
      </c>
      <c r="AF433" s="3">
        <f>B433*0.055</f>
        <v/>
      </c>
      <c r="AG433" s="3">
        <f>B433*0.035</f>
        <v/>
      </c>
      <c r="AH433" s="3">
        <f>B433*0.165</f>
        <v/>
      </c>
      <c r="AI433" s="3">
        <f>MAX(0,AE433-AF433-AH433)</f>
        <v/>
      </c>
      <c r="AJ433" s="3">
        <f>IF(AI433&lt;=490,0,IF(AI433&lt;=600,(AI433-490)*0.05,IF(AI433&lt;=730,5.5+(AI433-600)*0.10,IF(AI433&lt;=3896.67,18.5+(AI433-730)*0.175,IF(AI433&lt;=19896.67,572.67+(AI433-3896.67)*0.25,IF(AI433&lt;=50416.67,4572.67+(AI433-19896.67)*0.30,13728.67+(AI433-50416.67)*0.35))))))</f>
        <v/>
      </c>
      <c r="AK433" s="3" t="n"/>
      <c r="AL433" s="3" t="n"/>
      <c r="AM433" s="3" t="n"/>
      <c r="AN433" s="3" t="n"/>
      <c r="AO433" s="3" t="n"/>
      <c r="AP433" s="3">
        <f>SUM(AF433,AJ433,AK433,AL433,AM433,AN433,AO433,AG433,AH433)</f>
        <v/>
      </c>
      <c r="AQ433" s="3">
        <f>AE433-AP433</f>
        <v/>
      </c>
      <c r="AR433" s="3" t="n"/>
      <c r="AS433" s="3" t="n"/>
      <c r="AT433" s="3">
        <f>AR433-AS433</f>
        <v/>
      </c>
    </row>
    <row r="434">
      <c r="A434" s="2" t="n"/>
      <c r="B434" s="3" t="n"/>
      <c r="C434" s="4" t="n"/>
      <c r="D434" s="5" t="n"/>
      <c r="E434" s="3" t="n"/>
      <c r="F434" s="3">
        <f>IF(C434=0,0,IF(E434="",B434*D434/100,E434))</f>
        <v/>
      </c>
      <c r="G434" s="4" t="n"/>
      <c r="H434" s="5" t="n"/>
      <c r="I434" s="3" t="n"/>
      <c r="J434" s="3">
        <f>IF(G434=0,0,IF(I434="",B434*H434/100,I434))</f>
        <v/>
      </c>
      <c r="K434" s="4" t="n"/>
      <c r="L434" s="5" t="n"/>
      <c r="M434" s="3" t="n"/>
      <c r="N434" s="3">
        <f>IF(K434=0,0,IF(M434="",B434*L434/100,M434))</f>
        <v/>
      </c>
      <c r="O434" s="4" t="n"/>
      <c r="P434" s="5" t="n"/>
      <c r="Q434" s="3" t="n"/>
      <c r="R434" s="3">
        <f>IF(O434=0,0,IF(Q434="",B434*P434/100,Q434))</f>
        <v/>
      </c>
      <c r="S434" s="4" t="n"/>
      <c r="T434" s="5" t="n"/>
      <c r="U434" s="3" t="n"/>
      <c r="V434" s="3">
        <f>IF(S434=0,0,IF(U434="",B434*T434/100,U434))</f>
        <v/>
      </c>
      <c r="W434" s="4" t="n"/>
      <c r="X434" s="5" t="n"/>
      <c r="Y434" s="3" t="n"/>
      <c r="Z434" s="3">
        <f>IF(W434=0,0,IF(Y434="",B434*X434/100,Y434))</f>
        <v/>
      </c>
      <c r="AA434" s="3" t="n"/>
      <c r="AB434" s="3" t="n"/>
      <c r="AC434" s="3">
        <f>B434*0.035</f>
        <v/>
      </c>
      <c r="AD434" s="3">
        <f>B434*0.065</f>
        <v/>
      </c>
      <c r="AE434" s="3">
        <f>SUM(B434,F434,J434,N434,R434,V434,Z434,AA434,AB434,AC434,AD434)</f>
        <v/>
      </c>
      <c r="AF434" s="3">
        <f>B434*0.055</f>
        <v/>
      </c>
      <c r="AG434" s="3">
        <f>B434*0.035</f>
        <v/>
      </c>
      <c r="AH434" s="3">
        <f>B434*0.165</f>
        <v/>
      </c>
      <c r="AI434" s="3">
        <f>MAX(0,AE434-AF434-AH434)</f>
        <v/>
      </c>
      <c r="AJ434" s="3">
        <f>IF(AI434&lt;=490,0,IF(AI434&lt;=600,(AI434-490)*0.05,IF(AI434&lt;=730,5.5+(AI434-600)*0.10,IF(AI434&lt;=3896.67,18.5+(AI434-730)*0.175,IF(AI434&lt;=19896.67,572.67+(AI434-3896.67)*0.25,IF(AI434&lt;=50416.67,4572.67+(AI434-19896.67)*0.30,13728.67+(AI434-50416.67)*0.35))))))</f>
        <v/>
      </c>
      <c r="AK434" s="3" t="n"/>
      <c r="AL434" s="3" t="n"/>
      <c r="AM434" s="3" t="n"/>
      <c r="AN434" s="3" t="n"/>
      <c r="AO434" s="3" t="n"/>
      <c r="AP434" s="3">
        <f>SUM(AF434,AJ434,AK434,AL434,AM434,AN434,AO434,AG434,AH434)</f>
        <v/>
      </c>
      <c r="AQ434" s="3">
        <f>AE434-AP434</f>
        <v/>
      </c>
      <c r="AR434" s="3" t="n"/>
      <c r="AS434" s="3" t="n"/>
      <c r="AT434" s="3">
        <f>AR434-AS434</f>
        <v/>
      </c>
    </row>
    <row r="435">
      <c r="A435" s="2" t="n"/>
      <c r="B435" s="3" t="n"/>
      <c r="C435" s="4" t="n"/>
      <c r="D435" s="5" t="n"/>
      <c r="E435" s="3" t="n"/>
      <c r="F435" s="3">
        <f>IF(C435=0,0,IF(E435="",B435*D435/100,E435))</f>
        <v/>
      </c>
      <c r="G435" s="4" t="n"/>
      <c r="H435" s="5" t="n"/>
      <c r="I435" s="3" t="n"/>
      <c r="J435" s="3">
        <f>IF(G435=0,0,IF(I435="",B435*H435/100,I435))</f>
        <v/>
      </c>
      <c r="K435" s="4" t="n"/>
      <c r="L435" s="5" t="n"/>
      <c r="M435" s="3" t="n"/>
      <c r="N435" s="3">
        <f>IF(K435=0,0,IF(M435="",B435*L435/100,M435))</f>
        <v/>
      </c>
      <c r="O435" s="4" t="n"/>
      <c r="P435" s="5" t="n"/>
      <c r="Q435" s="3" t="n"/>
      <c r="R435" s="3">
        <f>IF(O435=0,0,IF(Q435="",B435*P435/100,Q435))</f>
        <v/>
      </c>
      <c r="S435" s="4" t="n"/>
      <c r="T435" s="5" t="n"/>
      <c r="U435" s="3" t="n"/>
      <c r="V435" s="3">
        <f>IF(S435=0,0,IF(U435="",B435*T435/100,U435))</f>
        <v/>
      </c>
      <c r="W435" s="4" t="n"/>
      <c r="X435" s="5" t="n"/>
      <c r="Y435" s="3" t="n"/>
      <c r="Z435" s="3">
        <f>IF(W435=0,0,IF(Y435="",B435*X435/100,Y435))</f>
        <v/>
      </c>
      <c r="AA435" s="3" t="n"/>
      <c r="AB435" s="3" t="n"/>
      <c r="AC435" s="3">
        <f>B435*0.035</f>
        <v/>
      </c>
      <c r="AD435" s="3">
        <f>B435*0.065</f>
        <v/>
      </c>
      <c r="AE435" s="3">
        <f>SUM(B435,F435,J435,N435,R435,V435,Z435,AA435,AB435,AC435,AD435)</f>
        <v/>
      </c>
      <c r="AF435" s="3">
        <f>B435*0.055</f>
        <v/>
      </c>
      <c r="AG435" s="3">
        <f>B435*0.035</f>
        <v/>
      </c>
      <c r="AH435" s="3">
        <f>B435*0.165</f>
        <v/>
      </c>
      <c r="AI435" s="3">
        <f>MAX(0,AE435-AF435-AH435)</f>
        <v/>
      </c>
      <c r="AJ435" s="3">
        <f>IF(AI435&lt;=490,0,IF(AI435&lt;=600,(AI435-490)*0.05,IF(AI435&lt;=730,5.5+(AI435-600)*0.10,IF(AI435&lt;=3896.67,18.5+(AI435-730)*0.175,IF(AI435&lt;=19896.67,572.67+(AI435-3896.67)*0.25,IF(AI435&lt;=50416.67,4572.67+(AI435-19896.67)*0.30,13728.67+(AI435-50416.67)*0.35))))))</f>
        <v/>
      </c>
      <c r="AK435" s="3" t="n"/>
      <c r="AL435" s="3" t="n"/>
      <c r="AM435" s="3" t="n"/>
      <c r="AN435" s="3" t="n"/>
      <c r="AO435" s="3" t="n"/>
      <c r="AP435" s="3">
        <f>SUM(AF435,AJ435,AK435,AL435,AM435,AN435,AO435,AG435,AH435)</f>
        <v/>
      </c>
      <c r="AQ435" s="3">
        <f>AE435-AP435</f>
        <v/>
      </c>
      <c r="AR435" s="3" t="n"/>
      <c r="AS435" s="3" t="n"/>
      <c r="AT435" s="3">
        <f>AR435-AS435</f>
        <v/>
      </c>
    </row>
    <row r="436">
      <c r="A436" s="2" t="n"/>
      <c r="B436" s="3" t="n"/>
      <c r="C436" s="4" t="n"/>
      <c r="D436" s="5" t="n"/>
      <c r="E436" s="3" t="n"/>
      <c r="F436" s="3">
        <f>IF(C436=0,0,IF(E436="",B436*D436/100,E436))</f>
        <v/>
      </c>
      <c r="G436" s="4" t="n"/>
      <c r="H436" s="5" t="n"/>
      <c r="I436" s="3" t="n"/>
      <c r="J436" s="3">
        <f>IF(G436=0,0,IF(I436="",B436*H436/100,I436))</f>
        <v/>
      </c>
      <c r="K436" s="4" t="n"/>
      <c r="L436" s="5" t="n"/>
      <c r="M436" s="3" t="n"/>
      <c r="N436" s="3">
        <f>IF(K436=0,0,IF(M436="",B436*L436/100,M436))</f>
        <v/>
      </c>
      <c r="O436" s="4" t="n"/>
      <c r="P436" s="5" t="n"/>
      <c r="Q436" s="3" t="n"/>
      <c r="R436" s="3">
        <f>IF(O436=0,0,IF(Q436="",B436*P436/100,Q436))</f>
        <v/>
      </c>
      <c r="S436" s="4" t="n"/>
      <c r="T436" s="5" t="n"/>
      <c r="U436" s="3" t="n"/>
      <c r="V436" s="3">
        <f>IF(S436=0,0,IF(U436="",B436*T436/100,U436))</f>
        <v/>
      </c>
      <c r="W436" s="4" t="n"/>
      <c r="X436" s="5" t="n"/>
      <c r="Y436" s="3" t="n"/>
      <c r="Z436" s="3">
        <f>IF(W436=0,0,IF(Y436="",B436*X436/100,Y436))</f>
        <v/>
      </c>
      <c r="AA436" s="3" t="n"/>
      <c r="AB436" s="3" t="n"/>
      <c r="AC436" s="3">
        <f>B436*0.035</f>
        <v/>
      </c>
      <c r="AD436" s="3">
        <f>B436*0.065</f>
        <v/>
      </c>
      <c r="AE436" s="3">
        <f>SUM(B436,F436,J436,N436,R436,V436,Z436,AA436,AB436,AC436,AD436)</f>
        <v/>
      </c>
      <c r="AF436" s="3">
        <f>B436*0.055</f>
        <v/>
      </c>
      <c r="AG436" s="3">
        <f>B436*0.035</f>
        <v/>
      </c>
      <c r="AH436" s="3">
        <f>B436*0.165</f>
        <v/>
      </c>
      <c r="AI436" s="3">
        <f>MAX(0,AE436-AF436-AH436)</f>
        <v/>
      </c>
      <c r="AJ436" s="3">
        <f>IF(AI436&lt;=490,0,IF(AI436&lt;=600,(AI436-490)*0.05,IF(AI436&lt;=730,5.5+(AI436-600)*0.10,IF(AI436&lt;=3896.67,18.5+(AI436-730)*0.175,IF(AI436&lt;=19896.67,572.67+(AI436-3896.67)*0.25,IF(AI436&lt;=50416.67,4572.67+(AI436-19896.67)*0.30,13728.67+(AI436-50416.67)*0.35))))))</f>
        <v/>
      </c>
      <c r="AK436" s="3" t="n"/>
      <c r="AL436" s="3" t="n"/>
      <c r="AM436" s="3" t="n"/>
      <c r="AN436" s="3" t="n"/>
      <c r="AO436" s="3" t="n"/>
      <c r="AP436" s="3">
        <f>SUM(AF436,AJ436,AK436,AL436,AM436,AN436,AO436,AG436,AH436)</f>
        <v/>
      </c>
      <c r="AQ436" s="3">
        <f>AE436-AP436</f>
        <v/>
      </c>
      <c r="AR436" s="3" t="n"/>
      <c r="AS436" s="3" t="n"/>
      <c r="AT436" s="3">
        <f>AR436-AS436</f>
        <v/>
      </c>
    </row>
    <row r="437">
      <c r="A437" s="2" t="n"/>
      <c r="B437" s="3" t="n"/>
      <c r="C437" s="4" t="n"/>
      <c r="D437" s="5" t="n"/>
      <c r="E437" s="3" t="n"/>
      <c r="F437" s="3">
        <f>IF(C437=0,0,IF(E437="",B437*D437/100,E437))</f>
        <v/>
      </c>
      <c r="G437" s="4" t="n"/>
      <c r="H437" s="5" t="n"/>
      <c r="I437" s="3" t="n"/>
      <c r="J437" s="3">
        <f>IF(G437=0,0,IF(I437="",B437*H437/100,I437))</f>
        <v/>
      </c>
      <c r="K437" s="4" t="n"/>
      <c r="L437" s="5" t="n"/>
      <c r="M437" s="3" t="n"/>
      <c r="N437" s="3">
        <f>IF(K437=0,0,IF(M437="",B437*L437/100,M437))</f>
        <v/>
      </c>
      <c r="O437" s="4" t="n"/>
      <c r="P437" s="5" t="n"/>
      <c r="Q437" s="3" t="n"/>
      <c r="R437" s="3">
        <f>IF(O437=0,0,IF(Q437="",B437*P437/100,Q437))</f>
        <v/>
      </c>
      <c r="S437" s="4" t="n"/>
      <c r="T437" s="5" t="n"/>
      <c r="U437" s="3" t="n"/>
      <c r="V437" s="3">
        <f>IF(S437=0,0,IF(U437="",B437*T437/100,U437))</f>
        <v/>
      </c>
      <c r="W437" s="4" t="n"/>
      <c r="X437" s="5" t="n"/>
      <c r="Y437" s="3" t="n"/>
      <c r="Z437" s="3">
        <f>IF(W437=0,0,IF(Y437="",B437*X437/100,Y437))</f>
        <v/>
      </c>
      <c r="AA437" s="3" t="n"/>
      <c r="AB437" s="3" t="n"/>
      <c r="AC437" s="3">
        <f>B437*0.035</f>
        <v/>
      </c>
      <c r="AD437" s="3">
        <f>B437*0.065</f>
        <v/>
      </c>
      <c r="AE437" s="3">
        <f>SUM(B437,F437,J437,N437,R437,V437,Z437,AA437,AB437,AC437,AD437)</f>
        <v/>
      </c>
      <c r="AF437" s="3">
        <f>B437*0.055</f>
        <v/>
      </c>
      <c r="AG437" s="3">
        <f>B437*0.035</f>
        <v/>
      </c>
      <c r="AH437" s="3">
        <f>B437*0.165</f>
        <v/>
      </c>
      <c r="AI437" s="3">
        <f>MAX(0,AE437-AF437-AH437)</f>
        <v/>
      </c>
      <c r="AJ437" s="3">
        <f>IF(AI437&lt;=490,0,IF(AI437&lt;=600,(AI437-490)*0.05,IF(AI437&lt;=730,5.5+(AI437-600)*0.10,IF(AI437&lt;=3896.67,18.5+(AI437-730)*0.175,IF(AI437&lt;=19896.67,572.67+(AI437-3896.67)*0.25,IF(AI437&lt;=50416.67,4572.67+(AI437-19896.67)*0.30,13728.67+(AI437-50416.67)*0.35))))))</f>
        <v/>
      </c>
      <c r="AK437" s="3" t="n"/>
      <c r="AL437" s="3" t="n"/>
      <c r="AM437" s="3" t="n"/>
      <c r="AN437" s="3" t="n"/>
      <c r="AO437" s="3" t="n"/>
      <c r="AP437" s="3">
        <f>SUM(AF437,AJ437,AK437,AL437,AM437,AN437,AO437,AG437,AH437)</f>
        <v/>
      </c>
      <c r="AQ437" s="3">
        <f>AE437-AP437</f>
        <v/>
      </c>
      <c r="AR437" s="3" t="n"/>
      <c r="AS437" s="3" t="n"/>
      <c r="AT437" s="3">
        <f>AR437-AS437</f>
        <v/>
      </c>
    </row>
    <row r="438">
      <c r="A438" s="2" t="n"/>
      <c r="B438" s="3" t="n"/>
      <c r="C438" s="4" t="n"/>
      <c r="D438" s="5" t="n"/>
      <c r="E438" s="3" t="n"/>
      <c r="F438" s="3">
        <f>IF(C438=0,0,IF(E438="",B438*D438/100,E438))</f>
        <v/>
      </c>
      <c r="G438" s="4" t="n"/>
      <c r="H438" s="5" t="n"/>
      <c r="I438" s="3" t="n"/>
      <c r="J438" s="3">
        <f>IF(G438=0,0,IF(I438="",B438*H438/100,I438))</f>
        <v/>
      </c>
      <c r="K438" s="4" t="n"/>
      <c r="L438" s="5" t="n"/>
      <c r="M438" s="3" t="n"/>
      <c r="N438" s="3">
        <f>IF(K438=0,0,IF(M438="",B438*L438/100,M438))</f>
        <v/>
      </c>
      <c r="O438" s="4" t="n"/>
      <c r="P438" s="5" t="n"/>
      <c r="Q438" s="3" t="n"/>
      <c r="R438" s="3">
        <f>IF(O438=0,0,IF(Q438="",B438*P438/100,Q438))</f>
        <v/>
      </c>
      <c r="S438" s="4" t="n"/>
      <c r="T438" s="5" t="n"/>
      <c r="U438" s="3" t="n"/>
      <c r="V438" s="3">
        <f>IF(S438=0,0,IF(U438="",B438*T438/100,U438))</f>
        <v/>
      </c>
      <c r="W438" s="4" t="n"/>
      <c r="X438" s="5" t="n"/>
      <c r="Y438" s="3" t="n"/>
      <c r="Z438" s="3">
        <f>IF(W438=0,0,IF(Y438="",B438*X438/100,Y438))</f>
        <v/>
      </c>
      <c r="AA438" s="3" t="n"/>
      <c r="AB438" s="3" t="n"/>
      <c r="AC438" s="3">
        <f>B438*0.035</f>
        <v/>
      </c>
      <c r="AD438" s="3">
        <f>B438*0.065</f>
        <v/>
      </c>
      <c r="AE438" s="3">
        <f>SUM(B438,F438,J438,N438,R438,V438,Z438,AA438,AB438,AC438,AD438)</f>
        <v/>
      </c>
      <c r="AF438" s="3">
        <f>B438*0.055</f>
        <v/>
      </c>
      <c r="AG438" s="3">
        <f>B438*0.035</f>
        <v/>
      </c>
      <c r="AH438" s="3">
        <f>B438*0.165</f>
        <v/>
      </c>
      <c r="AI438" s="3">
        <f>MAX(0,AE438-AF438-AH438)</f>
        <v/>
      </c>
      <c r="AJ438" s="3">
        <f>IF(AI438&lt;=490,0,IF(AI438&lt;=600,(AI438-490)*0.05,IF(AI438&lt;=730,5.5+(AI438-600)*0.10,IF(AI438&lt;=3896.67,18.5+(AI438-730)*0.175,IF(AI438&lt;=19896.67,572.67+(AI438-3896.67)*0.25,IF(AI438&lt;=50416.67,4572.67+(AI438-19896.67)*0.30,13728.67+(AI438-50416.67)*0.35))))))</f>
        <v/>
      </c>
      <c r="AK438" s="3" t="n"/>
      <c r="AL438" s="3" t="n"/>
      <c r="AM438" s="3" t="n"/>
      <c r="AN438" s="3" t="n"/>
      <c r="AO438" s="3" t="n"/>
      <c r="AP438" s="3">
        <f>SUM(AF438,AJ438,AK438,AL438,AM438,AN438,AO438,AG438,AH438)</f>
        <v/>
      </c>
      <c r="AQ438" s="3">
        <f>AE438-AP438</f>
        <v/>
      </c>
      <c r="AR438" s="3" t="n"/>
      <c r="AS438" s="3" t="n"/>
      <c r="AT438" s="3">
        <f>AR438-AS438</f>
        <v/>
      </c>
    </row>
    <row r="439">
      <c r="A439" s="2" t="n"/>
      <c r="B439" s="3" t="n"/>
      <c r="C439" s="4" t="n"/>
      <c r="D439" s="5" t="n"/>
      <c r="E439" s="3" t="n"/>
      <c r="F439" s="3">
        <f>IF(C439=0,0,IF(E439="",B439*D439/100,E439))</f>
        <v/>
      </c>
      <c r="G439" s="4" t="n"/>
      <c r="H439" s="5" t="n"/>
      <c r="I439" s="3" t="n"/>
      <c r="J439" s="3">
        <f>IF(G439=0,0,IF(I439="",B439*H439/100,I439))</f>
        <v/>
      </c>
      <c r="K439" s="4" t="n"/>
      <c r="L439" s="5" t="n"/>
      <c r="M439" s="3" t="n"/>
      <c r="N439" s="3">
        <f>IF(K439=0,0,IF(M439="",B439*L439/100,M439))</f>
        <v/>
      </c>
      <c r="O439" s="4" t="n"/>
      <c r="P439" s="5" t="n"/>
      <c r="Q439" s="3" t="n"/>
      <c r="R439" s="3">
        <f>IF(O439=0,0,IF(Q439="",B439*P439/100,Q439))</f>
        <v/>
      </c>
      <c r="S439" s="4" t="n"/>
      <c r="T439" s="5" t="n"/>
      <c r="U439" s="3" t="n"/>
      <c r="V439" s="3">
        <f>IF(S439=0,0,IF(U439="",B439*T439/100,U439))</f>
        <v/>
      </c>
      <c r="W439" s="4" t="n"/>
      <c r="X439" s="5" t="n"/>
      <c r="Y439" s="3" t="n"/>
      <c r="Z439" s="3">
        <f>IF(W439=0,0,IF(Y439="",B439*X439/100,Y439))</f>
        <v/>
      </c>
      <c r="AA439" s="3" t="n"/>
      <c r="AB439" s="3" t="n"/>
      <c r="AC439" s="3">
        <f>B439*0.035</f>
        <v/>
      </c>
      <c r="AD439" s="3">
        <f>B439*0.065</f>
        <v/>
      </c>
      <c r="AE439" s="3">
        <f>SUM(B439,F439,J439,N439,R439,V439,Z439,AA439,AB439,AC439,AD439)</f>
        <v/>
      </c>
      <c r="AF439" s="3">
        <f>B439*0.055</f>
        <v/>
      </c>
      <c r="AG439" s="3">
        <f>B439*0.035</f>
        <v/>
      </c>
      <c r="AH439" s="3">
        <f>B439*0.165</f>
        <v/>
      </c>
      <c r="AI439" s="3">
        <f>MAX(0,AE439-AF439-AH439)</f>
        <v/>
      </c>
      <c r="AJ439" s="3">
        <f>IF(AI439&lt;=490,0,IF(AI439&lt;=600,(AI439-490)*0.05,IF(AI439&lt;=730,5.5+(AI439-600)*0.10,IF(AI439&lt;=3896.67,18.5+(AI439-730)*0.175,IF(AI439&lt;=19896.67,572.67+(AI439-3896.67)*0.25,IF(AI439&lt;=50416.67,4572.67+(AI439-19896.67)*0.30,13728.67+(AI439-50416.67)*0.35))))))</f>
        <v/>
      </c>
      <c r="AK439" s="3" t="n"/>
      <c r="AL439" s="3" t="n"/>
      <c r="AM439" s="3" t="n"/>
      <c r="AN439" s="3" t="n"/>
      <c r="AO439" s="3" t="n"/>
      <c r="AP439" s="3">
        <f>SUM(AF439,AJ439,AK439,AL439,AM439,AN439,AO439,AG439,AH439)</f>
        <v/>
      </c>
      <c r="AQ439" s="3">
        <f>AE439-AP439</f>
        <v/>
      </c>
      <c r="AR439" s="3" t="n"/>
      <c r="AS439" s="3" t="n"/>
      <c r="AT439" s="3">
        <f>AR439-AS439</f>
        <v/>
      </c>
    </row>
    <row r="440">
      <c r="A440" s="2" t="n"/>
      <c r="B440" s="3" t="n"/>
      <c r="C440" s="4" t="n"/>
      <c r="D440" s="5" t="n"/>
      <c r="E440" s="3" t="n"/>
      <c r="F440" s="3">
        <f>IF(C440=0,0,IF(E440="",B440*D440/100,E440))</f>
        <v/>
      </c>
      <c r="G440" s="4" t="n"/>
      <c r="H440" s="5" t="n"/>
      <c r="I440" s="3" t="n"/>
      <c r="J440" s="3">
        <f>IF(G440=0,0,IF(I440="",B440*H440/100,I440))</f>
        <v/>
      </c>
      <c r="K440" s="4" t="n"/>
      <c r="L440" s="5" t="n"/>
      <c r="M440" s="3" t="n"/>
      <c r="N440" s="3">
        <f>IF(K440=0,0,IF(M440="",B440*L440/100,M440))</f>
        <v/>
      </c>
      <c r="O440" s="4" t="n"/>
      <c r="P440" s="5" t="n"/>
      <c r="Q440" s="3" t="n"/>
      <c r="R440" s="3">
        <f>IF(O440=0,0,IF(Q440="",B440*P440/100,Q440))</f>
        <v/>
      </c>
      <c r="S440" s="4" t="n"/>
      <c r="T440" s="5" t="n"/>
      <c r="U440" s="3" t="n"/>
      <c r="V440" s="3">
        <f>IF(S440=0,0,IF(U440="",B440*T440/100,U440))</f>
        <v/>
      </c>
      <c r="W440" s="4" t="n"/>
      <c r="X440" s="5" t="n"/>
      <c r="Y440" s="3" t="n"/>
      <c r="Z440" s="3">
        <f>IF(W440=0,0,IF(Y440="",B440*X440/100,Y440))</f>
        <v/>
      </c>
      <c r="AA440" s="3" t="n"/>
      <c r="AB440" s="3" t="n"/>
      <c r="AC440" s="3">
        <f>B440*0.035</f>
        <v/>
      </c>
      <c r="AD440" s="3">
        <f>B440*0.065</f>
        <v/>
      </c>
      <c r="AE440" s="3">
        <f>SUM(B440,F440,J440,N440,R440,V440,Z440,AA440,AB440,AC440,AD440)</f>
        <v/>
      </c>
      <c r="AF440" s="3">
        <f>B440*0.055</f>
        <v/>
      </c>
      <c r="AG440" s="3">
        <f>B440*0.035</f>
        <v/>
      </c>
      <c r="AH440" s="3">
        <f>B440*0.165</f>
        <v/>
      </c>
      <c r="AI440" s="3">
        <f>MAX(0,AE440-AF440-AH440)</f>
        <v/>
      </c>
      <c r="AJ440" s="3">
        <f>IF(AI440&lt;=490,0,IF(AI440&lt;=600,(AI440-490)*0.05,IF(AI440&lt;=730,5.5+(AI440-600)*0.10,IF(AI440&lt;=3896.67,18.5+(AI440-730)*0.175,IF(AI440&lt;=19896.67,572.67+(AI440-3896.67)*0.25,IF(AI440&lt;=50416.67,4572.67+(AI440-19896.67)*0.30,13728.67+(AI440-50416.67)*0.35))))))</f>
        <v/>
      </c>
      <c r="AK440" s="3" t="n"/>
      <c r="AL440" s="3" t="n"/>
      <c r="AM440" s="3" t="n"/>
      <c r="AN440" s="3" t="n"/>
      <c r="AO440" s="3" t="n"/>
      <c r="AP440" s="3">
        <f>SUM(AF440,AJ440,AK440,AL440,AM440,AN440,AO440,AG440,AH440)</f>
        <v/>
      </c>
      <c r="AQ440" s="3">
        <f>AE440-AP440</f>
        <v/>
      </c>
      <c r="AR440" s="3" t="n"/>
      <c r="AS440" s="3" t="n"/>
      <c r="AT440" s="3">
        <f>AR440-AS440</f>
        <v/>
      </c>
    </row>
    <row r="441">
      <c r="A441" s="2" t="n"/>
      <c r="B441" s="3" t="n"/>
      <c r="C441" s="4" t="n"/>
      <c r="D441" s="5" t="n"/>
      <c r="E441" s="3" t="n"/>
      <c r="F441" s="3">
        <f>IF(C441=0,0,IF(E441="",B441*D441/100,E441))</f>
        <v/>
      </c>
      <c r="G441" s="4" t="n"/>
      <c r="H441" s="5" t="n"/>
      <c r="I441" s="3" t="n"/>
      <c r="J441" s="3">
        <f>IF(G441=0,0,IF(I441="",B441*H441/100,I441))</f>
        <v/>
      </c>
      <c r="K441" s="4" t="n"/>
      <c r="L441" s="5" t="n"/>
      <c r="M441" s="3" t="n"/>
      <c r="N441" s="3">
        <f>IF(K441=0,0,IF(M441="",B441*L441/100,M441))</f>
        <v/>
      </c>
      <c r="O441" s="4" t="n"/>
      <c r="P441" s="5" t="n"/>
      <c r="Q441" s="3" t="n"/>
      <c r="R441" s="3">
        <f>IF(O441=0,0,IF(Q441="",B441*P441/100,Q441))</f>
        <v/>
      </c>
      <c r="S441" s="4" t="n"/>
      <c r="T441" s="5" t="n"/>
      <c r="U441" s="3" t="n"/>
      <c r="V441" s="3">
        <f>IF(S441=0,0,IF(U441="",B441*T441/100,U441))</f>
        <v/>
      </c>
      <c r="W441" s="4" t="n"/>
      <c r="X441" s="5" t="n"/>
      <c r="Y441" s="3" t="n"/>
      <c r="Z441" s="3">
        <f>IF(W441=0,0,IF(Y441="",B441*X441/100,Y441))</f>
        <v/>
      </c>
      <c r="AA441" s="3" t="n"/>
      <c r="AB441" s="3" t="n"/>
      <c r="AC441" s="3">
        <f>B441*0.035</f>
        <v/>
      </c>
      <c r="AD441" s="3">
        <f>B441*0.065</f>
        <v/>
      </c>
      <c r="AE441" s="3">
        <f>SUM(B441,F441,J441,N441,R441,V441,Z441,AA441,AB441,AC441,AD441)</f>
        <v/>
      </c>
      <c r="AF441" s="3">
        <f>B441*0.055</f>
        <v/>
      </c>
      <c r="AG441" s="3">
        <f>B441*0.035</f>
        <v/>
      </c>
      <c r="AH441" s="3">
        <f>B441*0.165</f>
        <v/>
      </c>
      <c r="AI441" s="3">
        <f>MAX(0,AE441-AF441-AH441)</f>
        <v/>
      </c>
      <c r="AJ441" s="3">
        <f>IF(AI441&lt;=490,0,IF(AI441&lt;=600,(AI441-490)*0.05,IF(AI441&lt;=730,5.5+(AI441-600)*0.10,IF(AI441&lt;=3896.67,18.5+(AI441-730)*0.175,IF(AI441&lt;=19896.67,572.67+(AI441-3896.67)*0.25,IF(AI441&lt;=50416.67,4572.67+(AI441-19896.67)*0.30,13728.67+(AI441-50416.67)*0.35))))))</f>
        <v/>
      </c>
      <c r="AK441" s="3" t="n"/>
      <c r="AL441" s="3" t="n"/>
      <c r="AM441" s="3" t="n"/>
      <c r="AN441" s="3" t="n"/>
      <c r="AO441" s="3" t="n"/>
      <c r="AP441" s="3">
        <f>SUM(AF441,AJ441,AK441,AL441,AM441,AN441,AO441,AG441,AH441)</f>
        <v/>
      </c>
      <c r="AQ441" s="3">
        <f>AE441-AP441</f>
        <v/>
      </c>
      <c r="AR441" s="3" t="n"/>
      <c r="AS441" s="3" t="n"/>
      <c r="AT441" s="3">
        <f>AR441-AS441</f>
        <v/>
      </c>
    </row>
    <row r="442">
      <c r="A442" s="2" t="n"/>
      <c r="B442" s="3" t="n"/>
      <c r="C442" s="4" t="n"/>
      <c r="D442" s="5" t="n"/>
      <c r="E442" s="3" t="n"/>
      <c r="F442" s="3">
        <f>IF(C442=0,0,IF(E442="",B442*D442/100,E442))</f>
        <v/>
      </c>
      <c r="G442" s="4" t="n"/>
      <c r="H442" s="5" t="n"/>
      <c r="I442" s="3" t="n"/>
      <c r="J442" s="3">
        <f>IF(G442=0,0,IF(I442="",B442*H442/100,I442))</f>
        <v/>
      </c>
      <c r="K442" s="4" t="n"/>
      <c r="L442" s="5" t="n"/>
      <c r="M442" s="3" t="n"/>
      <c r="N442" s="3">
        <f>IF(K442=0,0,IF(M442="",B442*L442/100,M442))</f>
        <v/>
      </c>
      <c r="O442" s="4" t="n"/>
      <c r="P442" s="5" t="n"/>
      <c r="Q442" s="3" t="n"/>
      <c r="R442" s="3">
        <f>IF(O442=0,0,IF(Q442="",B442*P442/100,Q442))</f>
        <v/>
      </c>
      <c r="S442" s="4" t="n"/>
      <c r="T442" s="5" t="n"/>
      <c r="U442" s="3" t="n"/>
      <c r="V442" s="3">
        <f>IF(S442=0,0,IF(U442="",B442*T442/100,U442))</f>
        <v/>
      </c>
      <c r="W442" s="4" t="n"/>
      <c r="X442" s="5" t="n"/>
      <c r="Y442" s="3" t="n"/>
      <c r="Z442" s="3">
        <f>IF(W442=0,0,IF(Y442="",B442*X442/100,Y442))</f>
        <v/>
      </c>
      <c r="AA442" s="3" t="n"/>
      <c r="AB442" s="3" t="n"/>
      <c r="AC442" s="3">
        <f>B442*0.035</f>
        <v/>
      </c>
      <c r="AD442" s="3">
        <f>B442*0.065</f>
        <v/>
      </c>
      <c r="AE442" s="3">
        <f>SUM(B442,F442,J442,N442,R442,V442,Z442,AA442,AB442,AC442,AD442)</f>
        <v/>
      </c>
      <c r="AF442" s="3">
        <f>B442*0.055</f>
        <v/>
      </c>
      <c r="AG442" s="3">
        <f>B442*0.035</f>
        <v/>
      </c>
      <c r="AH442" s="3">
        <f>B442*0.165</f>
        <v/>
      </c>
      <c r="AI442" s="3">
        <f>MAX(0,AE442-AF442-AH442)</f>
        <v/>
      </c>
      <c r="AJ442" s="3">
        <f>IF(AI442&lt;=490,0,IF(AI442&lt;=600,(AI442-490)*0.05,IF(AI442&lt;=730,5.5+(AI442-600)*0.10,IF(AI442&lt;=3896.67,18.5+(AI442-730)*0.175,IF(AI442&lt;=19896.67,572.67+(AI442-3896.67)*0.25,IF(AI442&lt;=50416.67,4572.67+(AI442-19896.67)*0.30,13728.67+(AI442-50416.67)*0.35))))))</f>
        <v/>
      </c>
      <c r="AK442" s="3" t="n"/>
      <c r="AL442" s="3" t="n"/>
      <c r="AM442" s="3" t="n"/>
      <c r="AN442" s="3" t="n"/>
      <c r="AO442" s="3" t="n"/>
      <c r="AP442" s="3">
        <f>SUM(AF442,AJ442,AK442,AL442,AM442,AN442,AO442,AG442,AH442)</f>
        <v/>
      </c>
      <c r="AQ442" s="3">
        <f>AE442-AP442</f>
        <v/>
      </c>
      <c r="AR442" s="3" t="n"/>
      <c r="AS442" s="3" t="n"/>
      <c r="AT442" s="3">
        <f>AR442-AS442</f>
        <v/>
      </c>
    </row>
    <row r="443">
      <c r="A443" s="2" t="n"/>
      <c r="B443" s="3" t="n"/>
      <c r="C443" s="4" t="n"/>
      <c r="D443" s="5" t="n"/>
      <c r="E443" s="3" t="n"/>
      <c r="F443" s="3">
        <f>IF(C443=0,0,IF(E443="",B443*D443/100,E443))</f>
        <v/>
      </c>
      <c r="G443" s="4" t="n"/>
      <c r="H443" s="5" t="n"/>
      <c r="I443" s="3" t="n"/>
      <c r="J443" s="3">
        <f>IF(G443=0,0,IF(I443="",B443*H443/100,I443))</f>
        <v/>
      </c>
      <c r="K443" s="4" t="n"/>
      <c r="L443" s="5" t="n"/>
      <c r="M443" s="3" t="n"/>
      <c r="N443" s="3">
        <f>IF(K443=0,0,IF(M443="",B443*L443/100,M443))</f>
        <v/>
      </c>
      <c r="O443" s="4" t="n"/>
      <c r="P443" s="5" t="n"/>
      <c r="Q443" s="3" t="n"/>
      <c r="R443" s="3">
        <f>IF(O443=0,0,IF(Q443="",B443*P443/100,Q443))</f>
        <v/>
      </c>
      <c r="S443" s="4" t="n"/>
      <c r="T443" s="5" t="n"/>
      <c r="U443" s="3" t="n"/>
      <c r="V443" s="3">
        <f>IF(S443=0,0,IF(U443="",B443*T443/100,U443))</f>
        <v/>
      </c>
      <c r="W443" s="4" t="n"/>
      <c r="X443" s="5" t="n"/>
      <c r="Y443" s="3" t="n"/>
      <c r="Z443" s="3">
        <f>IF(W443=0,0,IF(Y443="",B443*X443/100,Y443))</f>
        <v/>
      </c>
      <c r="AA443" s="3" t="n"/>
      <c r="AB443" s="3" t="n"/>
      <c r="AC443" s="3">
        <f>B443*0.035</f>
        <v/>
      </c>
      <c r="AD443" s="3">
        <f>B443*0.065</f>
        <v/>
      </c>
      <c r="AE443" s="3">
        <f>SUM(B443,F443,J443,N443,R443,V443,Z443,AA443,AB443,AC443,AD443)</f>
        <v/>
      </c>
      <c r="AF443" s="3">
        <f>B443*0.055</f>
        <v/>
      </c>
      <c r="AG443" s="3">
        <f>B443*0.035</f>
        <v/>
      </c>
      <c r="AH443" s="3">
        <f>B443*0.165</f>
        <v/>
      </c>
      <c r="AI443" s="3">
        <f>MAX(0,AE443-AF443-AH443)</f>
        <v/>
      </c>
      <c r="AJ443" s="3">
        <f>IF(AI443&lt;=490,0,IF(AI443&lt;=600,(AI443-490)*0.05,IF(AI443&lt;=730,5.5+(AI443-600)*0.10,IF(AI443&lt;=3896.67,18.5+(AI443-730)*0.175,IF(AI443&lt;=19896.67,572.67+(AI443-3896.67)*0.25,IF(AI443&lt;=50416.67,4572.67+(AI443-19896.67)*0.30,13728.67+(AI443-50416.67)*0.35))))))</f>
        <v/>
      </c>
      <c r="AK443" s="3" t="n"/>
      <c r="AL443" s="3" t="n"/>
      <c r="AM443" s="3" t="n"/>
      <c r="AN443" s="3" t="n"/>
      <c r="AO443" s="3" t="n"/>
      <c r="AP443" s="3">
        <f>SUM(AF443,AJ443,AK443,AL443,AM443,AN443,AO443,AG443,AH443)</f>
        <v/>
      </c>
      <c r="AQ443" s="3">
        <f>AE443-AP443</f>
        <v/>
      </c>
      <c r="AR443" s="3" t="n"/>
      <c r="AS443" s="3" t="n"/>
      <c r="AT443" s="3">
        <f>AR443-AS443</f>
        <v/>
      </c>
    </row>
    <row r="444">
      <c r="A444" s="2" t="n"/>
      <c r="B444" s="3" t="n"/>
      <c r="C444" s="4" t="n"/>
      <c r="D444" s="5" t="n"/>
      <c r="E444" s="3" t="n"/>
      <c r="F444" s="3">
        <f>IF(C444=0,0,IF(E444="",B444*D444/100,E444))</f>
        <v/>
      </c>
      <c r="G444" s="4" t="n"/>
      <c r="H444" s="5" t="n"/>
      <c r="I444" s="3" t="n"/>
      <c r="J444" s="3">
        <f>IF(G444=0,0,IF(I444="",B444*H444/100,I444))</f>
        <v/>
      </c>
      <c r="K444" s="4" t="n"/>
      <c r="L444" s="5" t="n"/>
      <c r="M444" s="3" t="n"/>
      <c r="N444" s="3">
        <f>IF(K444=0,0,IF(M444="",B444*L444/100,M444))</f>
        <v/>
      </c>
      <c r="O444" s="4" t="n"/>
      <c r="P444" s="5" t="n"/>
      <c r="Q444" s="3" t="n"/>
      <c r="R444" s="3">
        <f>IF(O444=0,0,IF(Q444="",B444*P444/100,Q444))</f>
        <v/>
      </c>
      <c r="S444" s="4" t="n"/>
      <c r="T444" s="5" t="n"/>
      <c r="U444" s="3" t="n"/>
      <c r="V444" s="3">
        <f>IF(S444=0,0,IF(U444="",B444*T444/100,U444))</f>
        <v/>
      </c>
      <c r="W444" s="4" t="n"/>
      <c r="X444" s="5" t="n"/>
      <c r="Y444" s="3" t="n"/>
      <c r="Z444" s="3">
        <f>IF(W444=0,0,IF(Y444="",B444*X444/100,Y444))</f>
        <v/>
      </c>
      <c r="AA444" s="3" t="n"/>
      <c r="AB444" s="3" t="n"/>
      <c r="AC444" s="3">
        <f>B444*0.035</f>
        <v/>
      </c>
      <c r="AD444" s="3">
        <f>B444*0.065</f>
        <v/>
      </c>
      <c r="AE444" s="3">
        <f>SUM(B444,F444,J444,N444,R444,V444,Z444,AA444,AB444,AC444,AD444)</f>
        <v/>
      </c>
      <c r="AF444" s="3">
        <f>B444*0.055</f>
        <v/>
      </c>
      <c r="AG444" s="3">
        <f>B444*0.035</f>
        <v/>
      </c>
      <c r="AH444" s="3">
        <f>B444*0.165</f>
        <v/>
      </c>
      <c r="AI444" s="3">
        <f>MAX(0,AE444-AF444-AH444)</f>
        <v/>
      </c>
      <c r="AJ444" s="3">
        <f>IF(AI444&lt;=490,0,IF(AI444&lt;=600,(AI444-490)*0.05,IF(AI444&lt;=730,5.5+(AI444-600)*0.10,IF(AI444&lt;=3896.67,18.5+(AI444-730)*0.175,IF(AI444&lt;=19896.67,572.67+(AI444-3896.67)*0.25,IF(AI444&lt;=50416.67,4572.67+(AI444-19896.67)*0.30,13728.67+(AI444-50416.67)*0.35))))))</f>
        <v/>
      </c>
      <c r="AK444" s="3" t="n"/>
      <c r="AL444" s="3" t="n"/>
      <c r="AM444" s="3" t="n"/>
      <c r="AN444" s="3" t="n"/>
      <c r="AO444" s="3" t="n"/>
      <c r="AP444" s="3">
        <f>SUM(AF444,AJ444,AK444,AL444,AM444,AN444,AO444,AG444,AH444)</f>
        <v/>
      </c>
      <c r="AQ444" s="3">
        <f>AE444-AP444</f>
        <v/>
      </c>
      <c r="AR444" s="3" t="n"/>
      <c r="AS444" s="3" t="n"/>
      <c r="AT444" s="3">
        <f>AR444-AS444</f>
        <v/>
      </c>
    </row>
    <row r="445">
      <c r="A445" s="2" t="n"/>
      <c r="B445" s="3" t="n"/>
      <c r="C445" s="4" t="n"/>
      <c r="D445" s="5" t="n"/>
      <c r="E445" s="3" t="n"/>
      <c r="F445" s="3">
        <f>IF(C445=0,0,IF(E445="",B445*D445/100,E445))</f>
        <v/>
      </c>
      <c r="G445" s="4" t="n"/>
      <c r="H445" s="5" t="n"/>
      <c r="I445" s="3" t="n"/>
      <c r="J445" s="3">
        <f>IF(G445=0,0,IF(I445="",B445*H445/100,I445))</f>
        <v/>
      </c>
      <c r="K445" s="4" t="n"/>
      <c r="L445" s="5" t="n"/>
      <c r="M445" s="3" t="n"/>
      <c r="N445" s="3">
        <f>IF(K445=0,0,IF(M445="",B445*L445/100,M445))</f>
        <v/>
      </c>
      <c r="O445" s="4" t="n"/>
      <c r="P445" s="5" t="n"/>
      <c r="Q445" s="3" t="n"/>
      <c r="R445" s="3">
        <f>IF(O445=0,0,IF(Q445="",B445*P445/100,Q445))</f>
        <v/>
      </c>
      <c r="S445" s="4" t="n"/>
      <c r="T445" s="5" t="n"/>
      <c r="U445" s="3" t="n"/>
      <c r="V445" s="3">
        <f>IF(S445=0,0,IF(U445="",B445*T445/100,U445))</f>
        <v/>
      </c>
      <c r="W445" s="4" t="n"/>
      <c r="X445" s="5" t="n"/>
      <c r="Y445" s="3" t="n"/>
      <c r="Z445" s="3">
        <f>IF(W445=0,0,IF(Y445="",B445*X445/100,Y445))</f>
        <v/>
      </c>
      <c r="AA445" s="3" t="n"/>
      <c r="AB445" s="3" t="n"/>
      <c r="AC445" s="3">
        <f>B445*0.035</f>
        <v/>
      </c>
      <c r="AD445" s="3">
        <f>B445*0.065</f>
        <v/>
      </c>
      <c r="AE445" s="3">
        <f>SUM(B445,F445,J445,N445,R445,V445,Z445,AA445,AB445,AC445,AD445)</f>
        <v/>
      </c>
      <c r="AF445" s="3">
        <f>B445*0.055</f>
        <v/>
      </c>
      <c r="AG445" s="3">
        <f>B445*0.035</f>
        <v/>
      </c>
      <c r="AH445" s="3">
        <f>B445*0.165</f>
        <v/>
      </c>
      <c r="AI445" s="3">
        <f>MAX(0,AE445-AF445-AH445)</f>
        <v/>
      </c>
      <c r="AJ445" s="3">
        <f>IF(AI445&lt;=490,0,IF(AI445&lt;=600,(AI445-490)*0.05,IF(AI445&lt;=730,5.5+(AI445-600)*0.10,IF(AI445&lt;=3896.67,18.5+(AI445-730)*0.175,IF(AI445&lt;=19896.67,572.67+(AI445-3896.67)*0.25,IF(AI445&lt;=50416.67,4572.67+(AI445-19896.67)*0.30,13728.67+(AI445-50416.67)*0.35))))))</f>
        <v/>
      </c>
      <c r="AK445" s="3" t="n"/>
      <c r="AL445" s="3" t="n"/>
      <c r="AM445" s="3" t="n"/>
      <c r="AN445" s="3" t="n"/>
      <c r="AO445" s="3" t="n"/>
      <c r="AP445" s="3">
        <f>SUM(AF445,AJ445,AK445,AL445,AM445,AN445,AO445,AG445,AH445)</f>
        <v/>
      </c>
      <c r="AQ445" s="3">
        <f>AE445-AP445</f>
        <v/>
      </c>
      <c r="AR445" s="3" t="n"/>
      <c r="AS445" s="3" t="n"/>
      <c r="AT445" s="3">
        <f>AR445-AS445</f>
        <v/>
      </c>
    </row>
    <row r="446">
      <c r="A446" s="2" t="n"/>
      <c r="B446" s="3" t="n"/>
      <c r="C446" s="4" t="n"/>
      <c r="D446" s="5" t="n"/>
      <c r="E446" s="3" t="n"/>
      <c r="F446" s="3">
        <f>IF(C446=0,0,IF(E446="",B446*D446/100,E446))</f>
        <v/>
      </c>
      <c r="G446" s="4" t="n"/>
      <c r="H446" s="5" t="n"/>
      <c r="I446" s="3" t="n"/>
      <c r="J446" s="3">
        <f>IF(G446=0,0,IF(I446="",B446*H446/100,I446))</f>
        <v/>
      </c>
      <c r="K446" s="4" t="n"/>
      <c r="L446" s="5" t="n"/>
      <c r="M446" s="3" t="n"/>
      <c r="N446" s="3">
        <f>IF(K446=0,0,IF(M446="",B446*L446/100,M446))</f>
        <v/>
      </c>
      <c r="O446" s="4" t="n"/>
      <c r="P446" s="5" t="n"/>
      <c r="Q446" s="3" t="n"/>
      <c r="R446" s="3">
        <f>IF(O446=0,0,IF(Q446="",B446*P446/100,Q446))</f>
        <v/>
      </c>
      <c r="S446" s="4" t="n"/>
      <c r="T446" s="5" t="n"/>
      <c r="U446" s="3" t="n"/>
      <c r="V446" s="3">
        <f>IF(S446=0,0,IF(U446="",B446*T446/100,U446))</f>
        <v/>
      </c>
      <c r="W446" s="4" t="n"/>
      <c r="X446" s="5" t="n"/>
      <c r="Y446" s="3" t="n"/>
      <c r="Z446" s="3">
        <f>IF(W446=0,0,IF(Y446="",B446*X446/100,Y446))</f>
        <v/>
      </c>
      <c r="AA446" s="3" t="n"/>
      <c r="AB446" s="3" t="n"/>
      <c r="AC446" s="3">
        <f>B446*0.035</f>
        <v/>
      </c>
      <c r="AD446" s="3">
        <f>B446*0.065</f>
        <v/>
      </c>
      <c r="AE446" s="3">
        <f>SUM(B446,F446,J446,N446,R446,V446,Z446,AA446,AB446,AC446,AD446)</f>
        <v/>
      </c>
      <c r="AF446" s="3">
        <f>B446*0.055</f>
        <v/>
      </c>
      <c r="AG446" s="3">
        <f>B446*0.035</f>
        <v/>
      </c>
      <c r="AH446" s="3">
        <f>B446*0.165</f>
        <v/>
      </c>
      <c r="AI446" s="3">
        <f>MAX(0,AE446-AF446-AH446)</f>
        <v/>
      </c>
      <c r="AJ446" s="3">
        <f>IF(AI446&lt;=490,0,IF(AI446&lt;=600,(AI446-490)*0.05,IF(AI446&lt;=730,5.5+(AI446-600)*0.10,IF(AI446&lt;=3896.67,18.5+(AI446-730)*0.175,IF(AI446&lt;=19896.67,572.67+(AI446-3896.67)*0.25,IF(AI446&lt;=50416.67,4572.67+(AI446-19896.67)*0.30,13728.67+(AI446-50416.67)*0.35))))))</f>
        <v/>
      </c>
      <c r="AK446" s="3" t="n"/>
      <c r="AL446" s="3" t="n"/>
      <c r="AM446" s="3" t="n"/>
      <c r="AN446" s="3" t="n"/>
      <c r="AO446" s="3" t="n"/>
      <c r="AP446" s="3">
        <f>SUM(AF446,AJ446,AK446,AL446,AM446,AN446,AO446,AG446,AH446)</f>
        <v/>
      </c>
      <c r="AQ446" s="3">
        <f>AE446-AP446</f>
        <v/>
      </c>
      <c r="AR446" s="3" t="n"/>
      <c r="AS446" s="3" t="n"/>
      <c r="AT446" s="3">
        <f>AR446-AS446</f>
        <v/>
      </c>
    </row>
    <row r="447">
      <c r="A447" s="2" t="n"/>
      <c r="B447" s="3" t="n"/>
      <c r="C447" s="4" t="n"/>
      <c r="D447" s="5" t="n"/>
      <c r="E447" s="3" t="n"/>
      <c r="F447" s="3">
        <f>IF(C447=0,0,IF(E447="",B447*D447/100,E447))</f>
        <v/>
      </c>
      <c r="G447" s="4" t="n"/>
      <c r="H447" s="5" t="n"/>
      <c r="I447" s="3" t="n"/>
      <c r="J447" s="3">
        <f>IF(G447=0,0,IF(I447="",B447*H447/100,I447))</f>
        <v/>
      </c>
      <c r="K447" s="4" t="n"/>
      <c r="L447" s="5" t="n"/>
      <c r="M447" s="3" t="n"/>
      <c r="N447" s="3">
        <f>IF(K447=0,0,IF(M447="",B447*L447/100,M447))</f>
        <v/>
      </c>
      <c r="O447" s="4" t="n"/>
      <c r="P447" s="5" t="n"/>
      <c r="Q447" s="3" t="n"/>
      <c r="R447" s="3">
        <f>IF(O447=0,0,IF(Q447="",B447*P447/100,Q447))</f>
        <v/>
      </c>
      <c r="S447" s="4" t="n"/>
      <c r="T447" s="5" t="n"/>
      <c r="U447" s="3" t="n"/>
      <c r="V447" s="3">
        <f>IF(S447=0,0,IF(U447="",B447*T447/100,U447))</f>
        <v/>
      </c>
      <c r="W447" s="4" t="n"/>
      <c r="X447" s="5" t="n"/>
      <c r="Y447" s="3" t="n"/>
      <c r="Z447" s="3">
        <f>IF(W447=0,0,IF(Y447="",B447*X447/100,Y447))</f>
        <v/>
      </c>
      <c r="AA447" s="3" t="n"/>
      <c r="AB447" s="3" t="n"/>
      <c r="AC447" s="3">
        <f>B447*0.035</f>
        <v/>
      </c>
      <c r="AD447" s="3">
        <f>B447*0.065</f>
        <v/>
      </c>
      <c r="AE447" s="3">
        <f>SUM(B447,F447,J447,N447,R447,V447,Z447,AA447,AB447,AC447,AD447)</f>
        <v/>
      </c>
      <c r="AF447" s="3">
        <f>B447*0.055</f>
        <v/>
      </c>
      <c r="AG447" s="3">
        <f>B447*0.035</f>
        <v/>
      </c>
      <c r="AH447" s="3">
        <f>B447*0.165</f>
        <v/>
      </c>
      <c r="AI447" s="3">
        <f>MAX(0,AE447-AF447-AH447)</f>
        <v/>
      </c>
      <c r="AJ447" s="3">
        <f>IF(AI447&lt;=490,0,IF(AI447&lt;=600,(AI447-490)*0.05,IF(AI447&lt;=730,5.5+(AI447-600)*0.10,IF(AI447&lt;=3896.67,18.5+(AI447-730)*0.175,IF(AI447&lt;=19896.67,572.67+(AI447-3896.67)*0.25,IF(AI447&lt;=50416.67,4572.67+(AI447-19896.67)*0.30,13728.67+(AI447-50416.67)*0.35))))))</f>
        <v/>
      </c>
      <c r="AK447" s="3" t="n"/>
      <c r="AL447" s="3" t="n"/>
      <c r="AM447" s="3" t="n"/>
      <c r="AN447" s="3" t="n"/>
      <c r="AO447" s="3" t="n"/>
      <c r="AP447" s="3">
        <f>SUM(AF447,AJ447,AK447,AL447,AM447,AN447,AO447,AG447,AH447)</f>
        <v/>
      </c>
      <c r="AQ447" s="3">
        <f>AE447-AP447</f>
        <v/>
      </c>
      <c r="AR447" s="3" t="n"/>
      <c r="AS447" s="3" t="n"/>
      <c r="AT447" s="3">
        <f>AR447-AS447</f>
        <v/>
      </c>
    </row>
    <row r="448">
      <c r="A448" s="2" t="n"/>
      <c r="B448" s="3" t="n"/>
      <c r="C448" s="4" t="n"/>
      <c r="D448" s="5" t="n"/>
      <c r="E448" s="3" t="n"/>
      <c r="F448" s="3">
        <f>IF(C448=0,0,IF(E448="",B448*D448/100,E448))</f>
        <v/>
      </c>
      <c r="G448" s="4" t="n"/>
      <c r="H448" s="5" t="n"/>
      <c r="I448" s="3" t="n"/>
      <c r="J448" s="3">
        <f>IF(G448=0,0,IF(I448="",B448*H448/100,I448))</f>
        <v/>
      </c>
      <c r="K448" s="4" t="n"/>
      <c r="L448" s="5" t="n"/>
      <c r="M448" s="3" t="n"/>
      <c r="N448" s="3">
        <f>IF(K448=0,0,IF(M448="",B448*L448/100,M448))</f>
        <v/>
      </c>
      <c r="O448" s="4" t="n"/>
      <c r="P448" s="5" t="n"/>
      <c r="Q448" s="3" t="n"/>
      <c r="R448" s="3">
        <f>IF(O448=0,0,IF(Q448="",B448*P448/100,Q448))</f>
        <v/>
      </c>
      <c r="S448" s="4" t="n"/>
      <c r="T448" s="5" t="n"/>
      <c r="U448" s="3" t="n"/>
      <c r="V448" s="3">
        <f>IF(S448=0,0,IF(U448="",B448*T448/100,U448))</f>
        <v/>
      </c>
      <c r="W448" s="4" t="n"/>
      <c r="X448" s="5" t="n"/>
      <c r="Y448" s="3" t="n"/>
      <c r="Z448" s="3">
        <f>IF(W448=0,0,IF(Y448="",B448*X448/100,Y448))</f>
        <v/>
      </c>
      <c r="AA448" s="3" t="n"/>
      <c r="AB448" s="3" t="n"/>
      <c r="AC448" s="3">
        <f>B448*0.035</f>
        <v/>
      </c>
      <c r="AD448" s="3">
        <f>B448*0.065</f>
        <v/>
      </c>
      <c r="AE448" s="3">
        <f>SUM(B448,F448,J448,N448,R448,V448,Z448,AA448,AB448,AC448,AD448)</f>
        <v/>
      </c>
      <c r="AF448" s="3">
        <f>B448*0.055</f>
        <v/>
      </c>
      <c r="AG448" s="3">
        <f>B448*0.035</f>
        <v/>
      </c>
      <c r="AH448" s="3">
        <f>B448*0.165</f>
        <v/>
      </c>
      <c r="AI448" s="3">
        <f>MAX(0,AE448-AF448-AH448)</f>
        <v/>
      </c>
      <c r="AJ448" s="3">
        <f>IF(AI448&lt;=490,0,IF(AI448&lt;=600,(AI448-490)*0.05,IF(AI448&lt;=730,5.5+(AI448-600)*0.10,IF(AI448&lt;=3896.67,18.5+(AI448-730)*0.175,IF(AI448&lt;=19896.67,572.67+(AI448-3896.67)*0.25,IF(AI448&lt;=50416.67,4572.67+(AI448-19896.67)*0.30,13728.67+(AI448-50416.67)*0.35))))))</f>
        <v/>
      </c>
      <c r="AK448" s="3" t="n"/>
      <c r="AL448" s="3" t="n"/>
      <c r="AM448" s="3" t="n"/>
      <c r="AN448" s="3" t="n"/>
      <c r="AO448" s="3" t="n"/>
      <c r="AP448" s="3">
        <f>SUM(AF448,AJ448,AK448,AL448,AM448,AN448,AO448,AG448,AH448)</f>
        <v/>
      </c>
      <c r="AQ448" s="3">
        <f>AE448-AP448</f>
        <v/>
      </c>
      <c r="AR448" s="3" t="n"/>
      <c r="AS448" s="3" t="n"/>
      <c r="AT448" s="3">
        <f>AR448-AS448</f>
        <v/>
      </c>
    </row>
    <row r="449">
      <c r="A449" s="2" t="n"/>
      <c r="B449" s="3" t="n"/>
      <c r="C449" s="4" t="n"/>
      <c r="D449" s="5" t="n"/>
      <c r="E449" s="3" t="n"/>
      <c r="F449" s="3">
        <f>IF(C449=0,0,IF(E449="",B449*D449/100,E449))</f>
        <v/>
      </c>
      <c r="G449" s="4" t="n"/>
      <c r="H449" s="5" t="n"/>
      <c r="I449" s="3" t="n"/>
      <c r="J449" s="3">
        <f>IF(G449=0,0,IF(I449="",B449*H449/100,I449))</f>
        <v/>
      </c>
      <c r="K449" s="4" t="n"/>
      <c r="L449" s="5" t="n"/>
      <c r="M449" s="3" t="n"/>
      <c r="N449" s="3">
        <f>IF(K449=0,0,IF(M449="",B449*L449/100,M449))</f>
        <v/>
      </c>
      <c r="O449" s="4" t="n"/>
      <c r="P449" s="5" t="n"/>
      <c r="Q449" s="3" t="n"/>
      <c r="R449" s="3">
        <f>IF(O449=0,0,IF(Q449="",B449*P449/100,Q449))</f>
        <v/>
      </c>
      <c r="S449" s="4" t="n"/>
      <c r="T449" s="5" t="n"/>
      <c r="U449" s="3" t="n"/>
      <c r="V449" s="3">
        <f>IF(S449=0,0,IF(U449="",B449*T449/100,U449))</f>
        <v/>
      </c>
      <c r="W449" s="4" t="n"/>
      <c r="X449" s="5" t="n"/>
      <c r="Y449" s="3" t="n"/>
      <c r="Z449" s="3">
        <f>IF(W449=0,0,IF(Y449="",B449*X449/100,Y449))</f>
        <v/>
      </c>
      <c r="AA449" s="3" t="n"/>
      <c r="AB449" s="3" t="n"/>
      <c r="AC449" s="3">
        <f>B449*0.035</f>
        <v/>
      </c>
      <c r="AD449" s="3">
        <f>B449*0.065</f>
        <v/>
      </c>
      <c r="AE449" s="3">
        <f>SUM(B449,F449,J449,N449,R449,V449,Z449,AA449,AB449,AC449,AD449)</f>
        <v/>
      </c>
      <c r="AF449" s="3">
        <f>B449*0.055</f>
        <v/>
      </c>
      <c r="AG449" s="3">
        <f>B449*0.035</f>
        <v/>
      </c>
      <c r="AH449" s="3">
        <f>B449*0.165</f>
        <v/>
      </c>
      <c r="AI449" s="3">
        <f>MAX(0,AE449-AF449-AH449)</f>
        <v/>
      </c>
      <c r="AJ449" s="3">
        <f>IF(AI449&lt;=490,0,IF(AI449&lt;=600,(AI449-490)*0.05,IF(AI449&lt;=730,5.5+(AI449-600)*0.10,IF(AI449&lt;=3896.67,18.5+(AI449-730)*0.175,IF(AI449&lt;=19896.67,572.67+(AI449-3896.67)*0.25,IF(AI449&lt;=50416.67,4572.67+(AI449-19896.67)*0.30,13728.67+(AI449-50416.67)*0.35))))))</f>
        <v/>
      </c>
      <c r="AK449" s="3" t="n"/>
      <c r="AL449" s="3" t="n"/>
      <c r="AM449" s="3" t="n"/>
      <c r="AN449" s="3" t="n"/>
      <c r="AO449" s="3" t="n"/>
      <c r="AP449" s="3">
        <f>SUM(AF449,AJ449,AK449,AL449,AM449,AN449,AO449,AG449,AH449)</f>
        <v/>
      </c>
      <c r="AQ449" s="3">
        <f>AE449-AP449</f>
        <v/>
      </c>
      <c r="AR449" s="3" t="n"/>
      <c r="AS449" s="3" t="n"/>
      <c r="AT449" s="3">
        <f>AR449-AS449</f>
        <v/>
      </c>
    </row>
    <row r="450">
      <c r="A450" s="2" t="n"/>
      <c r="B450" s="3" t="n"/>
      <c r="C450" s="4" t="n"/>
      <c r="D450" s="5" t="n"/>
      <c r="E450" s="3" t="n"/>
      <c r="F450" s="3">
        <f>IF(C450=0,0,IF(E450="",B450*D450/100,E450))</f>
        <v/>
      </c>
      <c r="G450" s="4" t="n"/>
      <c r="H450" s="5" t="n"/>
      <c r="I450" s="3" t="n"/>
      <c r="J450" s="3">
        <f>IF(G450=0,0,IF(I450="",B450*H450/100,I450))</f>
        <v/>
      </c>
      <c r="K450" s="4" t="n"/>
      <c r="L450" s="5" t="n"/>
      <c r="M450" s="3" t="n"/>
      <c r="N450" s="3">
        <f>IF(K450=0,0,IF(M450="",B450*L450/100,M450))</f>
        <v/>
      </c>
      <c r="O450" s="4" t="n"/>
      <c r="P450" s="5" t="n"/>
      <c r="Q450" s="3" t="n"/>
      <c r="R450" s="3">
        <f>IF(O450=0,0,IF(Q450="",B450*P450/100,Q450))</f>
        <v/>
      </c>
      <c r="S450" s="4" t="n"/>
      <c r="T450" s="5" t="n"/>
      <c r="U450" s="3" t="n"/>
      <c r="V450" s="3">
        <f>IF(S450=0,0,IF(U450="",B450*T450/100,U450))</f>
        <v/>
      </c>
      <c r="W450" s="4" t="n"/>
      <c r="X450" s="5" t="n"/>
      <c r="Y450" s="3" t="n"/>
      <c r="Z450" s="3">
        <f>IF(W450=0,0,IF(Y450="",B450*X450/100,Y450))</f>
        <v/>
      </c>
      <c r="AA450" s="3" t="n"/>
      <c r="AB450" s="3" t="n"/>
      <c r="AC450" s="3">
        <f>B450*0.035</f>
        <v/>
      </c>
      <c r="AD450" s="3">
        <f>B450*0.065</f>
        <v/>
      </c>
      <c r="AE450" s="3">
        <f>SUM(B450,F450,J450,N450,R450,V450,Z450,AA450,AB450,AC450,AD450)</f>
        <v/>
      </c>
      <c r="AF450" s="3">
        <f>B450*0.055</f>
        <v/>
      </c>
      <c r="AG450" s="3">
        <f>B450*0.035</f>
        <v/>
      </c>
      <c r="AH450" s="3">
        <f>B450*0.165</f>
        <v/>
      </c>
      <c r="AI450" s="3">
        <f>MAX(0,AE450-AF450-AH450)</f>
        <v/>
      </c>
      <c r="AJ450" s="3">
        <f>IF(AI450&lt;=490,0,IF(AI450&lt;=600,(AI450-490)*0.05,IF(AI450&lt;=730,5.5+(AI450-600)*0.10,IF(AI450&lt;=3896.67,18.5+(AI450-730)*0.175,IF(AI450&lt;=19896.67,572.67+(AI450-3896.67)*0.25,IF(AI450&lt;=50416.67,4572.67+(AI450-19896.67)*0.30,13728.67+(AI450-50416.67)*0.35))))))</f>
        <v/>
      </c>
      <c r="AK450" s="3" t="n"/>
      <c r="AL450" s="3" t="n"/>
      <c r="AM450" s="3" t="n"/>
      <c r="AN450" s="3" t="n"/>
      <c r="AO450" s="3" t="n"/>
      <c r="AP450" s="3">
        <f>SUM(AF450,AJ450,AK450,AL450,AM450,AN450,AO450,AG450,AH450)</f>
        <v/>
      </c>
      <c r="AQ450" s="3">
        <f>AE450-AP450</f>
        <v/>
      </c>
      <c r="AR450" s="3" t="n"/>
      <c r="AS450" s="3" t="n"/>
      <c r="AT450" s="3">
        <f>AR450-AS450</f>
        <v/>
      </c>
    </row>
    <row r="451">
      <c r="A451" s="2" t="n"/>
      <c r="B451" s="3" t="n"/>
      <c r="C451" s="4" t="n"/>
      <c r="D451" s="5" t="n"/>
      <c r="E451" s="3" t="n"/>
      <c r="F451" s="3">
        <f>IF(C451=0,0,IF(E451="",B451*D451/100,E451))</f>
        <v/>
      </c>
      <c r="G451" s="4" t="n"/>
      <c r="H451" s="5" t="n"/>
      <c r="I451" s="3" t="n"/>
      <c r="J451" s="3">
        <f>IF(G451=0,0,IF(I451="",B451*H451/100,I451))</f>
        <v/>
      </c>
      <c r="K451" s="4" t="n"/>
      <c r="L451" s="5" t="n"/>
      <c r="M451" s="3" t="n"/>
      <c r="N451" s="3">
        <f>IF(K451=0,0,IF(M451="",B451*L451/100,M451))</f>
        <v/>
      </c>
      <c r="O451" s="4" t="n"/>
      <c r="P451" s="5" t="n"/>
      <c r="Q451" s="3" t="n"/>
      <c r="R451" s="3">
        <f>IF(O451=0,0,IF(Q451="",B451*P451/100,Q451))</f>
        <v/>
      </c>
      <c r="S451" s="4" t="n"/>
      <c r="T451" s="5" t="n"/>
      <c r="U451" s="3" t="n"/>
      <c r="V451" s="3">
        <f>IF(S451=0,0,IF(U451="",B451*T451/100,U451))</f>
        <v/>
      </c>
      <c r="W451" s="4" t="n"/>
      <c r="X451" s="5" t="n"/>
      <c r="Y451" s="3" t="n"/>
      <c r="Z451" s="3">
        <f>IF(W451=0,0,IF(Y451="",B451*X451/100,Y451))</f>
        <v/>
      </c>
      <c r="AA451" s="3" t="n"/>
      <c r="AB451" s="3" t="n"/>
      <c r="AC451" s="3">
        <f>B451*0.035</f>
        <v/>
      </c>
      <c r="AD451" s="3">
        <f>B451*0.065</f>
        <v/>
      </c>
      <c r="AE451" s="3">
        <f>SUM(B451,F451,J451,N451,R451,V451,Z451,AA451,AB451,AC451,AD451)</f>
        <v/>
      </c>
      <c r="AF451" s="3">
        <f>B451*0.055</f>
        <v/>
      </c>
      <c r="AG451" s="3">
        <f>B451*0.035</f>
        <v/>
      </c>
      <c r="AH451" s="3">
        <f>B451*0.165</f>
        <v/>
      </c>
      <c r="AI451" s="3">
        <f>MAX(0,AE451-AF451-AH451)</f>
        <v/>
      </c>
      <c r="AJ451" s="3">
        <f>IF(AI451&lt;=490,0,IF(AI451&lt;=600,(AI451-490)*0.05,IF(AI451&lt;=730,5.5+(AI451-600)*0.10,IF(AI451&lt;=3896.67,18.5+(AI451-730)*0.175,IF(AI451&lt;=19896.67,572.67+(AI451-3896.67)*0.25,IF(AI451&lt;=50416.67,4572.67+(AI451-19896.67)*0.30,13728.67+(AI451-50416.67)*0.35))))))</f>
        <v/>
      </c>
      <c r="AK451" s="3" t="n"/>
      <c r="AL451" s="3" t="n"/>
      <c r="AM451" s="3" t="n"/>
      <c r="AN451" s="3" t="n"/>
      <c r="AO451" s="3" t="n"/>
      <c r="AP451" s="3">
        <f>SUM(AF451,AJ451,AK451,AL451,AM451,AN451,AO451,AG451,AH451)</f>
        <v/>
      </c>
      <c r="AQ451" s="3">
        <f>AE451-AP451</f>
        <v/>
      </c>
      <c r="AR451" s="3" t="n"/>
      <c r="AS451" s="3" t="n"/>
      <c r="AT451" s="3">
        <f>AR451-AS451</f>
        <v/>
      </c>
    </row>
    <row r="452">
      <c r="A452" s="2" t="n"/>
      <c r="B452" s="3" t="n"/>
      <c r="C452" s="4" t="n"/>
      <c r="D452" s="5" t="n"/>
      <c r="E452" s="3" t="n"/>
      <c r="F452" s="3">
        <f>IF(C452=0,0,IF(E452="",B452*D452/100,E452))</f>
        <v/>
      </c>
      <c r="G452" s="4" t="n"/>
      <c r="H452" s="5" t="n"/>
      <c r="I452" s="3" t="n"/>
      <c r="J452" s="3">
        <f>IF(G452=0,0,IF(I452="",B452*H452/100,I452))</f>
        <v/>
      </c>
      <c r="K452" s="4" t="n"/>
      <c r="L452" s="5" t="n"/>
      <c r="M452" s="3" t="n"/>
      <c r="N452" s="3">
        <f>IF(K452=0,0,IF(M452="",B452*L452/100,M452))</f>
        <v/>
      </c>
      <c r="O452" s="4" t="n"/>
      <c r="P452" s="5" t="n"/>
      <c r="Q452" s="3" t="n"/>
      <c r="R452" s="3">
        <f>IF(O452=0,0,IF(Q452="",B452*P452/100,Q452))</f>
        <v/>
      </c>
      <c r="S452" s="4" t="n"/>
      <c r="T452" s="5" t="n"/>
      <c r="U452" s="3" t="n"/>
      <c r="V452" s="3">
        <f>IF(S452=0,0,IF(U452="",B452*T452/100,U452))</f>
        <v/>
      </c>
      <c r="W452" s="4" t="n"/>
      <c r="X452" s="5" t="n"/>
      <c r="Y452" s="3" t="n"/>
      <c r="Z452" s="3">
        <f>IF(W452=0,0,IF(Y452="",B452*X452/100,Y452))</f>
        <v/>
      </c>
      <c r="AA452" s="3" t="n"/>
      <c r="AB452" s="3" t="n"/>
      <c r="AC452" s="3">
        <f>B452*0.035</f>
        <v/>
      </c>
      <c r="AD452" s="3">
        <f>B452*0.065</f>
        <v/>
      </c>
      <c r="AE452" s="3">
        <f>SUM(B452,F452,J452,N452,R452,V452,Z452,AA452,AB452,AC452,AD452)</f>
        <v/>
      </c>
      <c r="AF452" s="3">
        <f>B452*0.055</f>
        <v/>
      </c>
      <c r="AG452" s="3">
        <f>B452*0.035</f>
        <v/>
      </c>
      <c r="AH452" s="3">
        <f>B452*0.165</f>
        <v/>
      </c>
      <c r="AI452" s="3">
        <f>MAX(0,AE452-AF452-AH452)</f>
        <v/>
      </c>
      <c r="AJ452" s="3">
        <f>IF(AI452&lt;=490,0,IF(AI452&lt;=600,(AI452-490)*0.05,IF(AI452&lt;=730,5.5+(AI452-600)*0.10,IF(AI452&lt;=3896.67,18.5+(AI452-730)*0.175,IF(AI452&lt;=19896.67,572.67+(AI452-3896.67)*0.25,IF(AI452&lt;=50416.67,4572.67+(AI452-19896.67)*0.30,13728.67+(AI452-50416.67)*0.35))))))</f>
        <v/>
      </c>
      <c r="AK452" s="3" t="n"/>
      <c r="AL452" s="3" t="n"/>
      <c r="AM452" s="3" t="n"/>
      <c r="AN452" s="3" t="n"/>
      <c r="AO452" s="3" t="n"/>
      <c r="AP452" s="3">
        <f>SUM(AF452,AJ452,AK452,AL452,AM452,AN452,AO452,AG452,AH452)</f>
        <v/>
      </c>
      <c r="AQ452" s="3">
        <f>AE452-AP452</f>
        <v/>
      </c>
      <c r="AR452" s="3" t="n"/>
      <c r="AS452" s="3" t="n"/>
      <c r="AT452" s="3">
        <f>AR452-AS452</f>
        <v/>
      </c>
    </row>
    <row r="453">
      <c r="A453" s="2" t="n"/>
      <c r="B453" s="3" t="n"/>
      <c r="C453" s="4" t="n"/>
      <c r="D453" s="5" t="n"/>
      <c r="E453" s="3" t="n"/>
      <c r="F453" s="3">
        <f>IF(C453=0,0,IF(E453="",B453*D453/100,E453))</f>
        <v/>
      </c>
      <c r="G453" s="4" t="n"/>
      <c r="H453" s="5" t="n"/>
      <c r="I453" s="3" t="n"/>
      <c r="J453" s="3">
        <f>IF(G453=0,0,IF(I453="",B453*H453/100,I453))</f>
        <v/>
      </c>
      <c r="K453" s="4" t="n"/>
      <c r="L453" s="5" t="n"/>
      <c r="M453" s="3" t="n"/>
      <c r="N453" s="3">
        <f>IF(K453=0,0,IF(M453="",B453*L453/100,M453))</f>
        <v/>
      </c>
      <c r="O453" s="4" t="n"/>
      <c r="P453" s="5" t="n"/>
      <c r="Q453" s="3" t="n"/>
      <c r="R453" s="3">
        <f>IF(O453=0,0,IF(Q453="",B453*P453/100,Q453))</f>
        <v/>
      </c>
      <c r="S453" s="4" t="n"/>
      <c r="T453" s="5" t="n"/>
      <c r="U453" s="3" t="n"/>
      <c r="V453" s="3">
        <f>IF(S453=0,0,IF(U453="",B453*T453/100,U453))</f>
        <v/>
      </c>
      <c r="W453" s="4" t="n"/>
      <c r="X453" s="5" t="n"/>
      <c r="Y453" s="3" t="n"/>
      <c r="Z453" s="3">
        <f>IF(W453=0,0,IF(Y453="",B453*X453/100,Y453))</f>
        <v/>
      </c>
      <c r="AA453" s="3" t="n"/>
      <c r="AB453" s="3" t="n"/>
      <c r="AC453" s="3">
        <f>B453*0.035</f>
        <v/>
      </c>
      <c r="AD453" s="3">
        <f>B453*0.065</f>
        <v/>
      </c>
      <c r="AE453" s="3">
        <f>SUM(B453,F453,J453,N453,R453,V453,Z453,AA453,AB453,AC453,AD453)</f>
        <v/>
      </c>
      <c r="AF453" s="3">
        <f>B453*0.055</f>
        <v/>
      </c>
      <c r="AG453" s="3">
        <f>B453*0.035</f>
        <v/>
      </c>
      <c r="AH453" s="3">
        <f>B453*0.165</f>
        <v/>
      </c>
      <c r="AI453" s="3">
        <f>MAX(0,AE453-AF453-AH453)</f>
        <v/>
      </c>
      <c r="AJ453" s="3">
        <f>IF(AI453&lt;=490,0,IF(AI453&lt;=600,(AI453-490)*0.05,IF(AI453&lt;=730,5.5+(AI453-600)*0.10,IF(AI453&lt;=3896.67,18.5+(AI453-730)*0.175,IF(AI453&lt;=19896.67,572.67+(AI453-3896.67)*0.25,IF(AI453&lt;=50416.67,4572.67+(AI453-19896.67)*0.30,13728.67+(AI453-50416.67)*0.35))))))</f>
        <v/>
      </c>
      <c r="AK453" s="3" t="n"/>
      <c r="AL453" s="3" t="n"/>
      <c r="AM453" s="3" t="n"/>
      <c r="AN453" s="3" t="n"/>
      <c r="AO453" s="3" t="n"/>
      <c r="AP453" s="3">
        <f>SUM(AF453,AJ453,AK453,AL453,AM453,AN453,AO453,AG453,AH453)</f>
        <v/>
      </c>
      <c r="AQ453" s="3">
        <f>AE453-AP453</f>
        <v/>
      </c>
      <c r="AR453" s="3" t="n"/>
      <c r="AS453" s="3" t="n"/>
      <c r="AT453" s="3">
        <f>AR453-AS453</f>
        <v/>
      </c>
    </row>
    <row r="454">
      <c r="A454" s="2" t="n"/>
      <c r="B454" s="3" t="n"/>
      <c r="C454" s="4" t="n"/>
      <c r="D454" s="5" t="n"/>
      <c r="E454" s="3" t="n"/>
      <c r="F454" s="3">
        <f>IF(C454=0,0,IF(E454="",B454*D454/100,E454))</f>
        <v/>
      </c>
      <c r="G454" s="4" t="n"/>
      <c r="H454" s="5" t="n"/>
      <c r="I454" s="3" t="n"/>
      <c r="J454" s="3">
        <f>IF(G454=0,0,IF(I454="",B454*H454/100,I454))</f>
        <v/>
      </c>
      <c r="K454" s="4" t="n"/>
      <c r="L454" s="5" t="n"/>
      <c r="M454" s="3" t="n"/>
      <c r="N454" s="3">
        <f>IF(K454=0,0,IF(M454="",B454*L454/100,M454))</f>
        <v/>
      </c>
      <c r="O454" s="4" t="n"/>
      <c r="P454" s="5" t="n"/>
      <c r="Q454" s="3" t="n"/>
      <c r="R454" s="3">
        <f>IF(O454=0,0,IF(Q454="",B454*P454/100,Q454))</f>
        <v/>
      </c>
      <c r="S454" s="4" t="n"/>
      <c r="T454" s="5" t="n"/>
      <c r="U454" s="3" t="n"/>
      <c r="V454" s="3">
        <f>IF(S454=0,0,IF(U454="",B454*T454/100,U454))</f>
        <v/>
      </c>
      <c r="W454" s="4" t="n"/>
      <c r="X454" s="5" t="n"/>
      <c r="Y454" s="3" t="n"/>
      <c r="Z454" s="3">
        <f>IF(W454=0,0,IF(Y454="",B454*X454/100,Y454))</f>
        <v/>
      </c>
      <c r="AA454" s="3" t="n"/>
      <c r="AB454" s="3" t="n"/>
      <c r="AC454" s="3">
        <f>B454*0.035</f>
        <v/>
      </c>
      <c r="AD454" s="3">
        <f>B454*0.065</f>
        <v/>
      </c>
      <c r="AE454" s="3">
        <f>SUM(B454,F454,J454,N454,R454,V454,Z454,AA454,AB454,AC454,AD454)</f>
        <v/>
      </c>
      <c r="AF454" s="3">
        <f>B454*0.055</f>
        <v/>
      </c>
      <c r="AG454" s="3">
        <f>B454*0.035</f>
        <v/>
      </c>
      <c r="AH454" s="3">
        <f>B454*0.165</f>
        <v/>
      </c>
      <c r="AI454" s="3">
        <f>MAX(0,AE454-AF454-AH454)</f>
        <v/>
      </c>
      <c r="AJ454" s="3">
        <f>IF(AI454&lt;=490,0,IF(AI454&lt;=600,(AI454-490)*0.05,IF(AI454&lt;=730,5.5+(AI454-600)*0.10,IF(AI454&lt;=3896.67,18.5+(AI454-730)*0.175,IF(AI454&lt;=19896.67,572.67+(AI454-3896.67)*0.25,IF(AI454&lt;=50416.67,4572.67+(AI454-19896.67)*0.30,13728.67+(AI454-50416.67)*0.35))))))</f>
        <v/>
      </c>
      <c r="AK454" s="3" t="n"/>
      <c r="AL454" s="3" t="n"/>
      <c r="AM454" s="3" t="n"/>
      <c r="AN454" s="3" t="n"/>
      <c r="AO454" s="3" t="n"/>
      <c r="AP454" s="3">
        <f>SUM(AF454,AJ454,AK454,AL454,AM454,AN454,AO454,AG454,AH454)</f>
        <v/>
      </c>
      <c r="AQ454" s="3">
        <f>AE454-AP454</f>
        <v/>
      </c>
      <c r="AR454" s="3" t="n"/>
      <c r="AS454" s="3" t="n"/>
      <c r="AT454" s="3">
        <f>AR454-AS454</f>
        <v/>
      </c>
    </row>
    <row r="455">
      <c r="A455" s="2" t="n"/>
      <c r="B455" s="3" t="n"/>
      <c r="C455" s="4" t="n"/>
      <c r="D455" s="5" t="n"/>
      <c r="E455" s="3" t="n"/>
      <c r="F455" s="3">
        <f>IF(C455=0,0,IF(E455="",B455*D455/100,E455))</f>
        <v/>
      </c>
      <c r="G455" s="4" t="n"/>
      <c r="H455" s="5" t="n"/>
      <c r="I455" s="3" t="n"/>
      <c r="J455" s="3">
        <f>IF(G455=0,0,IF(I455="",B455*H455/100,I455))</f>
        <v/>
      </c>
      <c r="K455" s="4" t="n"/>
      <c r="L455" s="5" t="n"/>
      <c r="M455" s="3" t="n"/>
      <c r="N455" s="3">
        <f>IF(K455=0,0,IF(M455="",B455*L455/100,M455))</f>
        <v/>
      </c>
      <c r="O455" s="4" t="n"/>
      <c r="P455" s="5" t="n"/>
      <c r="Q455" s="3" t="n"/>
      <c r="R455" s="3">
        <f>IF(O455=0,0,IF(Q455="",B455*P455/100,Q455))</f>
        <v/>
      </c>
      <c r="S455" s="4" t="n"/>
      <c r="T455" s="5" t="n"/>
      <c r="U455" s="3" t="n"/>
      <c r="V455" s="3">
        <f>IF(S455=0,0,IF(U455="",B455*T455/100,U455))</f>
        <v/>
      </c>
      <c r="W455" s="4" t="n"/>
      <c r="X455" s="5" t="n"/>
      <c r="Y455" s="3" t="n"/>
      <c r="Z455" s="3">
        <f>IF(W455=0,0,IF(Y455="",B455*X455/100,Y455))</f>
        <v/>
      </c>
      <c r="AA455" s="3" t="n"/>
      <c r="AB455" s="3" t="n"/>
      <c r="AC455" s="3">
        <f>B455*0.035</f>
        <v/>
      </c>
      <c r="AD455" s="3">
        <f>B455*0.065</f>
        <v/>
      </c>
      <c r="AE455" s="3">
        <f>SUM(B455,F455,J455,N455,R455,V455,Z455,AA455,AB455,AC455,AD455)</f>
        <v/>
      </c>
      <c r="AF455" s="3">
        <f>B455*0.055</f>
        <v/>
      </c>
      <c r="AG455" s="3">
        <f>B455*0.035</f>
        <v/>
      </c>
      <c r="AH455" s="3">
        <f>B455*0.165</f>
        <v/>
      </c>
      <c r="AI455" s="3">
        <f>MAX(0,AE455-AF455-AH455)</f>
        <v/>
      </c>
      <c r="AJ455" s="3">
        <f>IF(AI455&lt;=490,0,IF(AI455&lt;=600,(AI455-490)*0.05,IF(AI455&lt;=730,5.5+(AI455-600)*0.10,IF(AI455&lt;=3896.67,18.5+(AI455-730)*0.175,IF(AI455&lt;=19896.67,572.67+(AI455-3896.67)*0.25,IF(AI455&lt;=50416.67,4572.67+(AI455-19896.67)*0.30,13728.67+(AI455-50416.67)*0.35))))))</f>
        <v/>
      </c>
      <c r="AK455" s="3" t="n"/>
      <c r="AL455" s="3" t="n"/>
      <c r="AM455" s="3" t="n"/>
      <c r="AN455" s="3" t="n"/>
      <c r="AO455" s="3" t="n"/>
      <c r="AP455" s="3">
        <f>SUM(AF455,AJ455,AK455,AL455,AM455,AN455,AO455,AG455,AH455)</f>
        <v/>
      </c>
      <c r="AQ455" s="3">
        <f>AE455-AP455</f>
        <v/>
      </c>
      <c r="AR455" s="3" t="n"/>
      <c r="AS455" s="3" t="n"/>
      <c r="AT455" s="3">
        <f>AR455-AS455</f>
        <v/>
      </c>
    </row>
    <row r="456">
      <c r="A456" s="2" t="n"/>
      <c r="B456" s="3" t="n"/>
      <c r="C456" s="4" t="n"/>
      <c r="D456" s="5" t="n"/>
      <c r="E456" s="3" t="n"/>
      <c r="F456" s="3">
        <f>IF(C456=0,0,IF(E456="",B456*D456/100,E456))</f>
        <v/>
      </c>
      <c r="G456" s="4" t="n"/>
      <c r="H456" s="5" t="n"/>
      <c r="I456" s="3" t="n"/>
      <c r="J456" s="3">
        <f>IF(G456=0,0,IF(I456="",B456*H456/100,I456))</f>
        <v/>
      </c>
      <c r="K456" s="4" t="n"/>
      <c r="L456" s="5" t="n"/>
      <c r="M456" s="3" t="n"/>
      <c r="N456" s="3">
        <f>IF(K456=0,0,IF(M456="",B456*L456/100,M456))</f>
        <v/>
      </c>
      <c r="O456" s="4" t="n"/>
      <c r="P456" s="5" t="n"/>
      <c r="Q456" s="3" t="n"/>
      <c r="R456" s="3">
        <f>IF(O456=0,0,IF(Q456="",B456*P456/100,Q456))</f>
        <v/>
      </c>
      <c r="S456" s="4" t="n"/>
      <c r="T456" s="5" t="n"/>
      <c r="U456" s="3" t="n"/>
      <c r="V456" s="3">
        <f>IF(S456=0,0,IF(U456="",B456*T456/100,U456))</f>
        <v/>
      </c>
      <c r="W456" s="4" t="n"/>
      <c r="X456" s="5" t="n"/>
      <c r="Y456" s="3" t="n"/>
      <c r="Z456" s="3">
        <f>IF(W456=0,0,IF(Y456="",B456*X456/100,Y456))</f>
        <v/>
      </c>
      <c r="AA456" s="3" t="n"/>
      <c r="AB456" s="3" t="n"/>
      <c r="AC456" s="3">
        <f>B456*0.035</f>
        <v/>
      </c>
      <c r="AD456" s="3">
        <f>B456*0.065</f>
        <v/>
      </c>
      <c r="AE456" s="3">
        <f>SUM(B456,F456,J456,N456,R456,V456,Z456,AA456,AB456,AC456,AD456)</f>
        <v/>
      </c>
      <c r="AF456" s="3">
        <f>B456*0.055</f>
        <v/>
      </c>
      <c r="AG456" s="3">
        <f>B456*0.035</f>
        <v/>
      </c>
      <c r="AH456" s="3">
        <f>B456*0.165</f>
        <v/>
      </c>
      <c r="AI456" s="3">
        <f>MAX(0,AE456-AF456-AH456)</f>
        <v/>
      </c>
      <c r="AJ456" s="3">
        <f>IF(AI456&lt;=490,0,IF(AI456&lt;=600,(AI456-490)*0.05,IF(AI456&lt;=730,5.5+(AI456-600)*0.10,IF(AI456&lt;=3896.67,18.5+(AI456-730)*0.175,IF(AI456&lt;=19896.67,572.67+(AI456-3896.67)*0.25,IF(AI456&lt;=50416.67,4572.67+(AI456-19896.67)*0.30,13728.67+(AI456-50416.67)*0.35))))))</f>
        <v/>
      </c>
      <c r="AK456" s="3" t="n"/>
      <c r="AL456" s="3" t="n"/>
      <c r="AM456" s="3" t="n"/>
      <c r="AN456" s="3" t="n"/>
      <c r="AO456" s="3" t="n"/>
      <c r="AP456" s="3">
        <f>SUM(AF456,AJ456,AK456,AL456,AM456,AN456,AO456,AG456,AH456)</f>
        <v/>
      </c>
      <c r="AQ456" s="3">
        <f>AE456-AP456</f>
        <v/>
      </c>
      <c r="AR456" s="3" t="n"/>
      <c r="AS456" s="3" t="n"/>
      <c r="AT456" s="3">
        <f>AR456-AS456</f>
        <v/>
      </c>
    </row>
    <row r="457">
      <c r="A457" s="2" t="n"/>
      <c r="B457" s="3" t="n"/>
      <c r="C457" s="4" t="n"/>
      <c r="D457" s="5" t="n"/>
      <c r="E457" s="3" t="n"/>
      <c r="F457" s="3">
        <f>IF(C457=0,0,IF(E457="",B457*D457/100,E457))</f>
        <v/>
      </c>
      <c r="G457" s="4" t="n"/>
      <c r="H457" s="5" t="n"/>
      <c r="I457" s="3" t="n"/>
      <c r="J457" s="3">
        <f>IF(G457=0,0,IF(I457="",B457*H457/100,I457))</f>
        <v/>
      </c>
      <c r="K457" s="4" t="n"/>
      <c r="L457" s="5" t="n"/>
      <c r="M457" s="3" t="n"/>
      <c r="N457" s="3">
        <f>IF(K457=0,0,IF(M457="",B457*L457/100,M457))</f>
        <v/>
      </c>
      <c r="O457" s="4" t="n"/>
      <c r="P457" s="5" t="n"/>
      <c r="Q457" s="3" t="n"/>
      <c r="R457" s="3">
        <f>IF(O457=0,0,IF(Q457="",B457*P457/100,Q457))</f>
        <v/>
      </c>
      <c r="S457" s="4" t="n"/>
      <c r="T457" s="5" t="n"/>
      <c r="U457" s="3" t="n"/>
      <c r="V457" s="3">
        <f>IF(S457=0,0,IF(U457="",B457*T457/100,U457))</f>
        <v/>
      </c>
      <c r="W457" s="4" t="n"/>
      <c r="X457" s="5" t="n"/>
      <c r="Y457" s="3" t="n"/>
      <c r="Z457" s="3">
        <f>IF(W457=0,0,IF(Y457="",B457*X457/100,Y457))</f>
        <v/>
      </c>
      <c r="AA457" s="3" t="n"/>
      <c r="AB457" s="3" t="n"/>
      <c r="AC457" s="3">
        <f>B457*0.035</f>
        <v/>
      </c>
      <c r="AD457" s="3">
        <f>B457*0.065</f>
        <v/>
      </c>
      <c r="AE457" s="3">
        <f>SUM(B457,F457,J457,N457,R457,V457,Z457,AA457,AB457,AC457,AD457)</f>
        <v/>
      </c>
      <c r="AF457" s="3">
        <f>B457*0.055</f>
        <v/>
      </c>
      <c r="AG457" s="3">
        <f>B457*0.035</f>
        <v/>
      </c>
      <c r="AH457" s="3">
        <f>B457*0.165</f>
        <v/>
      </c>
      <c r="AI457" s="3">
        <f>MAX(0,AE457-AF457-AH457)</f>
        <v/>
      </c>
      <c r="AJ457" s="3">
        <f>IF(AI457&lt;=490,0,IF(AI457&lt;=600,(AI457-490)*0.05,IF(AI457&lt;=730,5.5+(AI457-600)*0.10,IF(AI457&lt;=3896.67,18.5+(AI457-730)*0.175,IF(AI457&lt;=19896.67,572.67+(AI457-3896.67)*0.25,IF(AI457&lt;=50416.67,4572.67+(AI457-19896.67)*0.30,13728.67+(AI457-50416.67)*0.35))))))</f>
        <v/>
      </c>
      <c r="AK457" s="3" t="n"/>
      <c r="AL457" s="3" t="n"/>
      <c r="AM457" s="3" t="n"/>
      <c r="AN457" s="3" t="n"/>
      <c r="AO457" s="3" t="n"/>
      <c r="AP457" s="3">
        <f>SUM(AF457,AJ457,AK457,AL457,AM457,AN457,AO457,AG457,AH457)</f>
        <v/>
      </c>
      <c r="AQ457" s="3">
        <f>AE457-AP457</f>
        <v/>
      </c>
      <c r="AR457" s="3" t="n"/>
      <c r="AS457" s="3" t="n"/>
      <c r="AT457" s="3">
        <f>AR457-AS457</f>
        <v/>
      </c>
    </row>
    <row r="458">
      <c r="A458" s="2" t="n"/>
      <c r="B458" s="3" t="n"/>
      <c r="C458" s="4" t="n"/>
      <c r="D458" s="5" t="n"/>
      <c r="E458" s="3" t="n"/>
      <c r="F458" s="3">
        <f>IF(C458=0,0,IF(E458="",B458*D458/100,E458))</f>
        <v/>
      </c>
      <c r="G458" s="4" t="n"/>
      <c r="H458" s="5" t="n"/>
      <c r="I458" s="3" t="n"/>
      <c r="J458" s="3">
        <f>IF(G458=0,0,IF(I458="",B458*H458/100,I458))</f>
        <v/>
      </c>
      <c r="K458" s="4" t="n"/>
      <c r="L458" s="5" t="n"/>
      <c r="M458" s="3" t="n"/>
      <c r="N458" s="3">
        <f>IF(K458=0,0,IF(M458="",B458*L458/100,M458))</f>
        <v/>
      </c>
      <c r="O458" s="4" t="n"/>
      <c r="P458" s="5" t="n"/>
      <c r="Q458" s="3" t="n"/>
      <c r="R458" s="3">
        <f>IF(O458=0,0,IF(Q458="",B458*P458/100,Q458))</f>
        <v/>
      </c>
      <c r="S458" s="4" t="n"/>
      <c r="T458" s="5" t="n"/>
      <c r="U458" s="3" t="n"/>
      <c r="V458" s="3">
        <f>IF(S458=0,0,IF(U458="",B458*T458/100,U458))</f>
        <v/>
      </c>
      <c r="W458" s="4" t="n"/>
      <c r="X458" s="5" t="n"/>
      <c r="Y458" s="3" t="n"/>
      <c r="Z458" s="3">
        <f>IF(W458=0,0,IF(Y458="",B458*X458/100,Y458))</f>
        <v/>
      </c>
      <c r="AA458" s="3" t="n"/>
      <c r="AB458" s="3" t="n"/>
      <c r="AC458" s="3">
        <f>B458*0.035</f>
        <v/>
      </c>
      <c r="AD458" s="3">
        <f>B458*0.065</f>
        <v/>
      </c>
      <c r="AE458" s="3">
        <f>SUM(B458,F458,J458,N458,R458,V458,Z458,AA458,AB458,AC458,AD458)</f>
        <v/>
      </c>
      <c r="AF458" s="3">
        <f>B458*0.055</f>
        <v/>
      </c>
      <c r="AG458" s="3">
        <f>B458*0.035</f>
        <v/>
      </c>
      <c r="AH458" s="3">
        <f>B458*0.165</f>
        <v/>
      </c>
      <c r="AI458" s="3">
        <f>MAX(0,AE458-AF458-AH458)</f>
        <v/>
      </c>
      <c r="AJ458" s="3">
        <f>IF(AI458&lt;=490,0,IF(AI458&lt;=600,(AI458-490)*0.05,IF(AI458&lt;=730,5.5+(AI458-600)*0.10,IF(AI458&lt;=3896.67,18.5+(AI458-730)*0.175,IF(AI458&lt;=19896.67,572.67+(AI458-3896.67)*0.25,IF(AI458&lt;=50416.67,4572.67+(AI458-19896.67)*0.30,13728.67+(AI458-50416.67)*0.35))))))</f>
        <v/>
      </c>
      <c r="AK458" s="3" t="n"/>
      <c r="AL458" s="3" t="n"/>
      <c r="AM458" s="3" t="n"/>
      <c r="AN458" s="3" t="n"/>
      <c r="AO458" s="3" t="n"/>
      <c r="AP458" s="3">
        <f>SUM(AF458,AJ458,AK458,AL458,AM458,AN458,AO458,AG458,AH458)</f>
        <v/>
      </c>
      <c r="AQ458" s="3">
        <f>AE458-AP458</f>
        <v/>
      </c>
      <c r="AR458" s="3" t="n"/>
      <c r="AS458" s="3" t="n"/>
      <c r="AT458" s="3">
        <f>AR458-AS458</f>
        <v/>
      </c>
    </row>
    <row r="459">
      <c r="A459" s="2" t="n"/>
      <c r="B459" s="3" t="n"/>
      <c r="C459" s="4" t="n"/>
      <c r="D459" s="5" t="n"/>
      <c r="E459" s="3" t="n"/>
      <c r="F459" s="3">
        <f>IF(C459=0,0,IF(E459="",B459*D459/100,E459))</f>
        <v/>
      </c>
      <c r="G459" s="4" t="n"/>
      <c r="H459" s="5" t="n"/>
      <c r="I459" s="3" t="n"/>
      <c r="J459" s="3">
        <f>IF(G459=0,0,IF(I459="",B459*H459/100,I459))</f>
        <v/>
      </c>
      <c r="K459" s="4" t="n"/>
      <c r="L459" s="5" t="n"/>
      <c r="M459" s="3" t="n"/>
      <c r="N459" s="3">
        <f>IF(K459=0,0,IF(M459="",B459*L459/100,M459))</f>
        <v/>
      </c>
      <c r="O459" s="4" t="n"/>
      <c r="P459" s="5" t="n"/>
      <c r="Q459" s="3" t="n"/>
      <c r="R459" s="3">
        <f>IF(O459=0,0,IF(Q459="",B459*P459/100,Q459))</f>
        <v/>
      </c>
      <c r="S459" s="4" t="n"/>
      <c r="T459" s="5" t="n"/>
      <c r="U459" s="3" t="n"/>
      <c r="V459" s="3">
        <f>IF(S459=0,0,IF(U459="",B459*T459/100,U459))</f>
        <v/>
      </c>
      <c r="W459" s="4" t="n"/>
      <c r="X459" s="5" t="n"/>
      <c r="Y459" s="3" t="n"/>
      <c r="Z459" s="3">
        <f>IF(W459=0,0,IF(Y459="",B459*X459/100,Y459))</f>
        <v/>
      </c>
      <c r="AA459" s="3" t="n"/>
      <c r="AB459" s="3" t="n"/>
      <c r="AC459" s="3">
        <f>B459*0.035</f>
        <v/>
      </c>
      <c r="AD459" s="3">
        <f>B459*0.065</f>
        <v/>
      </c>
      <c r="AE459" s="3">
        <f>SUM(B459,F459,J459,N459,R459,V459,Z459,AA459,AB459,AC459,AD459)</f>
        <v/>
      </c>
      <c r="AF459" s="3">
        <f>B459*0.055</f>
        <v/>
      </c>
      <c r="AG459" s="3">
        <f>B459*0.035</f>
        <v/>
      </c>
      <c r="AH459" s="3">
        <f>B459*0.165</f>
        <v/>
      </c>
      <c r="AI459" s="3">
        <f>MAX(0,AE459-AF459-AH459)</f>
        <v/>
      </c>
      <c r="AJ459" s="3">
        <f>IF(AI459&lt;=490,0,IF(AI459&lt;=600,(AI459-490)*0.05,IF(AI459&lt;=730,5.5+(AI459-600)*0.10,IF(AI459&lt;=3896.67,18.5+(AI459-730)*0.175,IF(AI459&lt;=19896.67,572.67+(AI459-3896.67)*0.25,IF(AI459&lt;=50416.67,4572.67+(AI459-19896.67)*0.30,13728.67+(AI459-50416.67)*0.35))))))</f>
        <v/>
      </c>
      <c r="AK459" s="3" t="n"/>
      <c r="AL459" s="3" t="n"/>
      <c r="AM459" s="3" t="n"/>
      <c r="AN459" s="3" t="n"/>
      <c r="AO459" s="3" t="n"/>
      <c r="AP459" s="3">
        <f>SUM(AF459,AJ459,AK459,AL459,AM459,AN459,AO459,AG459,AH459)</f>
        <v/>
      </c>
      <c r="AQ459" s="3">
        <f>AE459-AP459</f>
        <v/>
      </c>
      <c r="AR459" s="3" t="n"/>
      <c r="AS459" s="3" t="n"/>
      <c r="AT459" s="3">
        <f>AR459-AS459</f>
        <v/>
      </c>
    </row>
    <row r="460">
      <c r="A460" s="2" t="n"/>
      <c r="B460" s="3" t="n"/>
      <c r="C460" s="4" t="n"/>
      <c r="D460" s="5" t="n"/>
      <c r="E460" s="3" t="n"/>
      <c r="F460" s="3">
        <f>IF(C460=0,0,IF(E460="",B460*D460/100,E460))</f>
        <v/>
      </c>
      <c r="G460" s="4" t="n"/>
      <c r="H460" s="5" t="n"/>
      <c r="I460" s="3" t="n"/>
      <c r="J460" s="3">
        <f>IF(G460=0,0,IF(I460="",B460*H460/100,I460))</f>
        <v/>
      </c>
      <c r="K460" s="4" t="n"/>
      <c r="L460" s="5" t="n"/>
      <c r="M460" s="3" t="n"/>
      <c r="N460" s="3">
        <f>IF(K460=0,0,IF(M460="",B460*L460/100,M460))</f>
        <v/>
      </c>
      <c r="O460" s="4" t="n"/>
      <c r="P460" s="5" t="n"/>
      <c r="Q460" s="3" t="n"/>
      <c r="R460" s="3">
        <f>IF(O460=0,0,IF(Q460="",B460*P460/100,Q460))</f>
        <v/>
      </c>
      <c r="S460" s="4" t="n"/>
      <c r="T460" s="5" t="n"/>
      <c r="U460" s="3" t="n"/>
      <c r="V460" s="3">
        <f>IF(S460=0,0,IF(U460="",B460*T460/100,U460))</f>
        <v/>
      </c>
      <c r="W460" s="4" t="n"/>
      <c r="X460" s="5" t="n"/>
      <c r="Y460" s="3" t="n"/>
      <c r="Z460" s="3">
        <f>IF(W460=0,0,IF(Y460="",B460*X460/100,Y460))</f>
        <v/>
      </c>
      <c r="AA460" s="3" t="n"/>
      <c r="AB460" s="3" t="n"/>
      <c r="AC460" s="3">
        <f>B460*0.035</f>
        <v/>
      </c>
      <c r="AD460" s="3">
        <f>B460*0.065</f>
        <v/>
      </c>
      <c r="AE460" s="3">
        <f>SUM(B460,F460,J460,N460,R460,V460,Z460,AA460,AB460,AC460,AD460)</f>
        <v/>
      </c>
      <c r="AF460" s="3">
        <f>B460*0.055</f>
        <v/>
      </c>
      <c r="AG460" s="3">
        <f>B460*0.035</f>
        <v/>
      </c>
      <c r="AH460" s="3">
        <f>B460*0.165</f>
        <v/>
      </c>
      <c r="AI460" s="3">
        <f>MAX(0,AE460-AF460-AH460)</f>
        <v/>
      </c>
      <c r="AJ460" s="3">
        <f>IF(AI460&lt;=490,0,IF(AI460&lt;=600,(AI460-490)*0.05,IF(AI460&lt;=730,5.5+(AI460-600)*0.10,IF(AI460&lt;=3896.67,18.5+(AI460-730)*0.175,IF(AI460&lt;=19896.67,572.67+(AI460-3896.67)*0.25,IF(AI460&lt;=50416.67,4572.67+(AI460-19896.67)*0.30,13728.67+(AI460-50416.67)*0.35))))))</f>
        <v/>
      </c>
      <c r="AK460" s="3" t="n"/>
      <c r="AL460" s="3" t="n"/>
      <c r="AM460" s="3" t="n"/>
      <c r="AN460" s="3" t="n"/>
      <c r="AO460" s="3" t="n"/>
      <c r="AP460" s="3">
        <f>SUM(AF460,AJ460,AK460,AL460,AM460,AN460,AO460,AG460,AH460)</f>
        <v/>
      </c>
      <c r="AQ460" s="3">
        <f>AE460-AP460</f>
        <v/>
      </c>
      <c r="AR460" s="3" t="n"/>
      <c r="AS460" s="3" t="n"/>
      <c r="AT460" s="3">
        <f>AR460-AS460</f>
        <v/>
      </c>
    </row>
    <row r="461">
      <c r="A461" s="2" t="n"/>
      <c r="B461" s="3" t="n"/>
      <c r="C461" s="4" t="n"/>
      <c r="D461" s="5" t="n"/>
      <c r="E461" s="3" t="n"/>
      <c r="F461" s="3">
        <f>IF(C461=0,0,IF(E461="",B461*D461/100,E461))</f>
        <v/>
      </c>
      <c r="G461" s="4" t="n"/>
      <c r="H461" s="5" t="n"/>
      <c r="I461" s="3" t="n"/>
      <c r="J461" s="3">
        <f>IF(G461=0,0,IF(I461="",B461*H461/100,I461))</f>
        <v/>
      </c>
      <c r="K461" s="4" t="n"/>
      <c r="L461" s="5" t="n"/>
      <c r="M461" s="3" t="n"/>
      <c r="N461" s="3">
        <f>IF(K461=0,0,IF(M461="",B461*L461/100,M461))</f>
        <v/>
      </c>
      <c r="O461" s="4" t="n"/>
      <c r="P461" s="5" t="n"/>
      <c r="Q461" s="3" t="n"/>
      <c r="R461" s="3">
        <f>IF(O461=0,0,IF(Q461="",B461*P461/100,Q461))</f>
        <v/>
      </c>
      <c r="S461" s="4" t="n"/>
      <c r="T461" s="5" t="n"/>
      <c r="U461" s="3" t="n"/>
      <c r="V461" s="3">
        <f>IF(S461=0,0,IF(U461="",B461*T461/100,U461))</f>
        <v/>
      </c>
      <c r="W461" s="4" t="n"/>
      <c r="X461" s="5" t="n"/>
      <c r="Y461" s="3" t="n"/>
      <c r="Z461" s="3">
        <f>IF(W461=0,0,IF(Y461="",B461*X461/100,Y461))</f>
        <v/>
      </c>
      <c r="AA461" s="3" t="n"/>
      <c r="AB461" s="3" t="n"/>
      <c r="AC461" s="3">
        <f>B461*0.035</f>
        <v/>
      </c>
      <c r="AD461" s="3">
        <f>B461*0.065</f>
        <v/>
      </c>
      <c r="AE461" s="3">
        <f>SUM(B461,F461,J461,N461,R461,V461,Z461,AA461,AB461,AC461,AD461)</f>
        <v/>
      </c>
      <c r="AF461" s="3">
        <f>B461*0.055</f>
        <v/>
      </c>
      <c r="AG461" s="3">
        <f>B461*0.035</f>
        <v/>
      </c>
      <c r="AH461" s="3">
        <f>B461*0.165</f>
        <v/>
      </c>
      <c r="AI461" s="3">
        <f>MAX(0,AE461-AF461-AH461)</f>
        <v/>
      </c>
      <c r="AJ461" s="3">
        <f>IF(AI461&lt;=490,0,IF(AI461&lt;=600,(AI461-490)*0.05,IF(AI461&lt;=730,5.5+(AI461-600)*0.10,IF(AI461&lt;=3896.67,18.5+(AI461-730)*0.175,IF(AI461&lt;=19896.67,572.67+(AI461-3896.67)*0.25,IF(AI461&lt;=50416.67,4572.67+(AI461-19896.67)*0.30,13728.67+(AI461-50416.67)*0.35))))))</f>
        <v/>
      </c>
      <c r="AK461" s="3" t="n"/>
      <c r="AL461" s="3" t="n"/>
      <c r="AM461" s="3" t="n"/>
      <c r="AN461" s="3" t="n"/>
      <c r="AO461" s="3" t="n"/>
      <c r="AP461" s="3">
        <f>SUM(AF461,AJ461,AK461,AL461,AM461,AN461,AO461,AG461,AH461)</f>
        <v/>
      </c>
      <c r="AQ461" s="3">
        <f>AE461-AP461</f>
        <v/>
      </c>
      <c r="AR461" s="3" t="n"/>
      <c r="AS461" s="3" t="n"/>
      <c r="AT461" s="3">
        <f>AR461-AS461</f>
        <v/>
      </c>
    </row>
    <row r="462">
      <c r="A462" s="2" t="n"/>
      <c r="B462" s="3" t="n"/>
      <c r="C462" s="4" t="n"/>
      <c r="D462" s="5" t="n"/>
      <c r="E462" s="3" t="n"/>
      <c r="F462" s="3">
        <f>IF(C462=0,0,IF(E462="",B462*D462/100,E462))</f>
        <v/>
      </c>
      <c r="G462" s="4" t="n"/>
      <c r="H462" s="5" t="n"/>
      <c r="I462" s="3" t="n"/>
      <c r="J462" s="3">
        <f>IF(G462=0,0,IF(I462="",B462*H462/100,I462))</f>
        <v/>
      </c>
      <c r="K462" s="4" t="n"/>
      <c r="L462" s="5" t="n"/>
      <c r="M462" s="3" t="n"/>
      <c r="N462" s="3">
        <f>IF(K462=0,0,IF(M462="",B462*L462/100,M462))</f>
        <v/>
      </c>
      <c r="O462" s="4" t="n"/>
      <c r="P462" s="5" t="n"/>
      <c r="Q462" s="3" t="n"/>
      <c r="R462" s="3">
        <f>IF(O462=0,0,IF(Q462="",B462*P462/100,Q462))</f>
        <v/>
      </c>
      <c r="S462" s="4" t="n"/>
      <c r="T462" s="5" t="n"/>
      <c r="U462" s="3" t="n"/>
      <c r="V462" s="3">
        <f>IF(S462=0,0,IF(U462="",B462*T462/100,U462))</f>
        <v/>
      </c>
      <c r="W462" s="4" t="n"/>
      <c r="X462" s="5" t="n"/>
      <c r="Y462" s="3" t="n"/>
      <c r="Z462" s="3">
        <f>IF(W462=0,0,IF(Y462="",B462*X462/100,Y462))</f>
        <v/>
      </c>
      <c r="AA462" s="3" t="n"/>
      <c r="AB462" s="3" t="n"/>
      <c r="AC462" s="3">
        <f>B462*0.035</f>
        <v/>
      </c>
      <c r="AD462" s="3">
        <f>B462*0.065</f>
        <v/>
      </c>
      <c r="AE462" s="3">
        <f>SUM(B462,F462,J462,N462,R462,V462,Z462,AA462,AB462,AC462,AD462)</f>
        <v/>
      </c>
      <c r="AF462" s="3">
        <f>B462*0.055</f>
        <v/>
      </c>
      <c r="AG462" s="3">
        <f>B462*0.035</f>
        <v/>
      </c>
      <c r="AH462" s="3">
        <f>B462*0.165</f>
        <v/>
      </c>
      <c r="AI462" s="3">
        <f>MAX(0,AE462-AF462-AH462)</f>
        <v/>
      </c>
      <c r="AJ462" s="3">
        <f>IF(AI462&lt;=490,0,IF(AI462&lt;=600,(AI462-490)*0.05,IF(AI462&lt;=730,5.5+(AI462-600)*0.10,IF(AI462&lt;=3896.67,18.5+(AI462-730)*0.175,IF(AI462&lt;=19896.67,572.67+(AI462-3896.67)*0.25,IF(AI462&lt;=50416.67,4572.67+(AI462-19896.67)*0.30,13728.67+(AI462-50416.67)*0.35))))))</f>
        <v/>
      </c>
      <c r="AK462" s="3" t="n"/>
      <c r="AL462" s="3" t="n"/>
      <c r="AM462" s="3" t="n"/>
      <c r="AN462" s="3" t="n"/>
      <c r="AO462" s="3" t="n"/>
      <c r="AP462" s="3">
        <f>SUM(AF462,AJ462,AK462,AL462,AM462,AN462,AO462,AG462,AH462)</f>
        <v/>
      </c>
      <c r="AQ462" s="3">
        <f>AE462-AP462</f>
        <v/>
      </c>
      <c r="AR462" s="3" t="n"/>
      <c r="AS462" s="3" t="n"/>
      <c r="AT462" s="3">
        <f>AR462-AS462</f>
        <v/>
      </c>
    </row>
    <row r="463">
      <c r="A463" s="2" t="n"/>
      <c r="B463" s="3" t="n"/>
      <c r="C463" s="4" t="n"/>
      <c r="D463" s="5" t="n"/>
      <c r="E463" s="3" t="n"/>
      <c r="F463" s="3">
        <f>IF(C463=0,0,IF(E463="",B463*D463/100,E463))</f>
        <v/>
      </c>
      <c r="G463" s="4" t="n"/>
      <c r="H463" s="5" t="n"/>
      <c r="I463" s="3" t="n"/>
      <c r="J463" s="3">
        <f>IF(G463=0,0,IF(I463="",B463*H463/100,I463))</f>
        <v/>
      </c>
      <c r="K463" s="4" t="n"/>
      <c r="L463" s="5" t="n"/>
      <c r="M463" s="3" t="n"/>
      <c r="N463" s="3">
        <f>IF(K463=0,0,IF(M463="",B463*L463/100,M463))</f>
        <v/>
      </c>
      <c r="O463" s="4" t="n"/>
      <c r="P463" s="5" t="n"/>
      <c r="Q463" s="3" t="n"/>
      <c r="R463" s="3">
        <f>IF(O463=0,0,IF(Q463="",B463*P463/100,Q463))</f>
        <v/>
      </c>
      <c r="S463" s="4" t="n"/>
      <c r="T463" s="5" t="n"/>
      <c r="U463" s="3" t="n"/>
      <c r="V463" s="3">
        <f>IF(S463=0,0,IF(U463="",B463*T463/100,U463))</f>
        <v/>
      </c>
      <c r="W463" s="4" t="n"/>
      <c r="X463" s="5" t="n"/>
      <c r="Y463" s="3" t="n"/>
      <c r="Z463" s="3">
        <f>IF(W463=0,0,IF(Y463="",B463*X463/100,Y463))</f>
        <v/>
      </c>
      <c r="AA463" s="3" t="n"/>
      <c r="AB463" s="3" t="n"/>
      <c r="AC463" s="3">
        <f>B463*0.035</f>
        <v/>
      </c>
      <c r="AD463" s="3">
        <f>B463*0.065</f>
        <v/>
      </c>
      <c r="AE463" s="3">
        <f>SUM(B463,F463,J463,N463,R463,V463,Z463,AA463,AB463,AC463,AD463)</f>
        <v/>
      </c>
      <c r="AF463" s="3">
        <f>B463*0.055</f>
        <v/>
      </c>
      <c r="AG463" s="3">
        <f>B463*0.035</f>
        <v/>
      </c>
      <c r="AH463" s="3">
        <f>B463*0.165</f>
        <v/>
      </c>
      <c r="AI463" s="3">
        <f>MAX(0,AE463-AF463-AH463)</f>
        <v/>
      </c>
      <c r="AJ463" s="3">
        <f>IF(AI463&lt;=490,0,IF(AI463&lt;=600,(AI463-490)*0.05,IF(AI463&lt;=730,5.5+(AI463-600)*0.10,IF(AI463&lt;=3896.67,18.5+(AI463-730)*0.175,IF(AI463&lt;=19896.67,572.67+(AI463-3896.67)*0.25,IF(AI463&lt;=50416.67,4572.67+(AI463-19896.67)*0.30,13728.67+(AI463-50416.67)*0.35))))))</f>
        <v/>
      </c>
      <c r="AK463" s="3" t="n"/>
      <c r="AL463" s="3" t="n"/>
      <c r="AM463" s="3" t="n"/>
      <c r="AN463" s="3" t="n"/>
      <c r="AO463" s="3" t="n"/>
      <c r="AP463" s="3">
        <f>SUM(AF463,AJ463,AK463,AL463,AM463,AN463,AO463,AG463,AH463)</f>
        <v/>
      </c>
      <c r="AQ463" s="3">
        <f>AE463-AP463</f>
        <v/>
      </c>
      <c r="AR463" s="3" t="n"/>
      <c r="AS463" s="3" t="n"/>
      <c r="AT463" s="3">
        <f>AR463-AS463</f>
        <v/>
      </c>
    </row>
    <row r="464">
      <c r="A464" s="2" t="n"/>
      <c r="B464" s="3" t="n"/>
      <c r="C464" s="4" t="n"/>
      <c r="D464" s="5" t="n"/>
      <c r="E464" s="3" t="n"/>
      <c r="F464" s="3">
        <f>IF(C464=0,0,IF(E464="",B464*D464/100,E464))</f>
        <v/>
      </c>
      <c r="G464" s="4" t="n"/>
      <c r="H464" s="5" t="n"/>
      <c r="I464" s="3" t="n"/>
      <c r="J464" s="3">
        <f>IF(G464=0,0,IF(I464="",B464*H464/100,I464))</f>
        <v/>
      </c>
      <c r="K464" s="4" t="n"/>
      <c r="L464" s="5" t="n"/>
      <c r="M464" s="3" t="n"/>
      <c r="N464" s="3">
        <f>IF(K464=0,0,IF(M464="",B464*L464/100,M464))</f>
        <v/>
      </c>
      <c r="O464" s="4" t="n"/>
      <c r="P464" s="5" t="n"/>
      <c r="Q464" s="3" t="n"/>
      <c r="R464" s="3">
        <f>IF(O464=0,0,IF(Q464="",B464*P464/100,Q464))</f>
        <v/>
      </c>
      <c r="S464" s="4" t="n"/>
      <c r="T464" s="5" t="n"/>
      <c r="U464" s="3" t="n"/>
      <c r="V464" s="3">
        <f>IF(S464=0,0,IF(U464="",B464*T464/100,U464))</f>
        <v/>
      </c>
      <c r="W464" s="4" t="n"/>
      <c r="X464" s="5" t="n"/>
      <c r="Y464" s="3" t="n"/>
      <c r="Z464" s="3">
        <f>IF(W464=0,0,IF(Y464="",B464*X464/100,Y464))</f>
        <v/>
      </c>
      <c r="AA464" s="3" t="n"/>
      <c r="AB464" s="3" t="n"/>
      <c r="AC464" s="3">
        <f>B464*0.035</f>
        <v/>
      </c>
      <c r="AD464" s="3">
        <f>B464*0.065</f>
        <v/>
      </c>
      <c r="AE464" s="3">
        <f>SUM(B464,F464,J464,N464,R464,V464,Z464,AA464,AB464,AC464,AD464)</f>
        <v/>
      </c>
      <c r="AF464" s="3">
        <f>B464*0.055</f>
        <v/>
      </c>
      <c r="AG464" s="3">
        <f>B464*0.035</f>
        <v/>
      </c>
      <c r="AH464" s="3">
        <f>B464*0.165</f>
        <v/>
      </c>
      <c r="AI464" s="3">
        <f>MAX(0,AE464-AF464-AH464)</f>
        <v/>
      </c>
      <c r="AJ464" s="3">
        <f>IF(AI464&lt;=490,0,IF(AI464&lt;=600,(AI464-490)*0.05,IF(AI464&lt;=730,5.5+(AI464-600)*0.10,IF(AI464&lt;=3896.67,18.5+(AI464-730)*0.175,IF(AI464&lt;=19896.67,572.67+(AI464-3896.67)*0.25,IF(AI464&lt;=50416.67,4572.67+(AI464-19896.67)*0.30,13728.67+(AI464-50416.67)*0.35))))))</f>
        <v/>
      </c>
      <c r="AK464" s="3" t="n"/>
      <c r="AL464" s="3" t="n"/>
      <c r="AM464" s="3" t="n"/>
      <c r="AN464" s="3" t="n"/>
      <c r="AO464" s="3" t="n"/>
      <c r="AP464" s="3">
        <f>SUM(AF464,AJ464,AK464,AL464,AM464,AN464,AO464,AG464,AH464)</f>
        <v/>
      </c>
      <c r="AQ464" s="3">
        <f>AE464-AP464</f>
        <v/>
      </c>
      <c r="AR464" s="3" t="n"/>
      <c r="AS464" s="3" t="n"/>
      <c r="AT464" s="3">
        <f>AR464-AS464</f>
        <v/>
      </c>
    </row>
    <row r="465">
      <c r="A465" s="2" t="n"/>
      <c r="B465" s="3" t="n"/>
      <c r="C465" s="4" t="n"/>
      <c r="D465" s="5" t="n"/>
      <c r="E465" s="3" t="n"/>
      <c r="F465" s="3">
        <f>IF(C465=0,0,IF(E465="",B465*D465/100,E465))</f>
        <v/>
      </c>
      <c r="G465" s="4" t="n"/>
      <c r="H465" s="5" t="n"/>
      <c r="I465" s="3" t="n"/>
      <c r="J465" s="3">
        <f>IF(G465=0,0,IF(I465="",B465*H465/100,I465))</f>
        <v/>
      </c>
      <c r="K465" s="4" t="n"/>
      <c r="L465" s="5" t="n"/>
      <c r="M465" s="3" t="n"/>
      <c r="N465" s="3">
        <f>IF(K465=0,0,IF(M465="",B465*L465/100,M465))</f>
        <v/>
      </c>
      <c r="O465" s="4" t="n"/>
      <c r="P465" s="5" t="n"/>
      <c r="Q465" s="3" t="n"/>
      <c r="R465" s="3">
        <f>IF(O465=0,0,IF(Q465="",B465*P465/100,Q465))</f>
        <v/>
      </c>
      <c r="S465" s="4" t="n"/>
      <c r="T465" s="5" t="n"/>
      <c r="U465" s="3" t="n"/>
      <c r="V465" s="3">
        <f>IF(S465=0,0,IF(U465="",B465*T465/100,U465))</f>
        <v/>
      </c>
      <c r="W465" s="4" t="n"/>
      <c r="X465" s="5" t="n"/>
      <c r="Y465" s="3" t="n"/>
      <c r="Z465" s="3">
        <f>IF(W465=0,0,IF(Y465="",B465*X465/100,Y465))</f>
        <v/>
      </c>
      <c r="AA465" s="3" t="n"/>
      <c r="AB465" s="3" t="n"/>
      <c r="AC465" s="3">
        <f>B465*0.035</f>
        <v/>
      </c>
      <c r="AD465" s="3">
        <f>B465*0.065</f>
        <v/>
      </c>
      <c r="AE465" s="3">
        <f>SUM(B465,F465,J465,N465,R465,V465,Z465,AA465,AB465,AC465,AD465)</f>
        <v/>
      </c>
      <c r="AF465" s="3">
        <f>B465*0.055</f>
        <v/>
      </c>
      <c r="AG465" s="3">
        <f>B465*0.035</f>
        <v/>
      </c>
      <c r="AH465" s="3">
        <f>B465*0.165</f>
        <v/>
      </c>
      <c r="AI465" s="3">
        <f>MAX(0,AE465-AF465-AH465)</f>
        <v/>
      </c>
      <c r="AJ465" s="3">
        <f>IF(AI465&lt;=490,0,IF(AI465&lt;=600,(AI465-490)*0.05,IF(AI465&lt;=730,5.5+(AI465-600)*0.10,IF(AI465&lt;=3896.67,18.5+(AI465-730)*0.175,IF(AI465&lt;=19896.67,572.67+(AI465-3896.67)*0.25,IF(AI465&lt;=50416.67,4572.67+(AI465-19896.67)*0.30,13728.67+(AI465-50416.67)*0.35))))))</f>
        <v/>
      </c>
      <c r="AK465" s="3" t="n"/>
      <c r="AL465" s="3" t="n"/>
      <c r="AM465" s="3" t="n"/>
      <c r="AN465" s="3" t="n"/>
      <c r="AO465" s="3" t="n"/>
      <c r="AP465" s="3">
        <f>SUM(AF465,AJ465,AK465,AL465,AM465,AN465,AO465,AG465,AH465)</f>
        <v/>
      </c>
      <c r="AQ465" s="3">
        <f>AE465-AP465</f>
        <v/>
      </c>
      <c r="AR465" s="3" t="n"/>
      <c r="AS465" s="3" t="n"/>
      <c r="AT465" s="3">
        <f>AR465-AS465</f>
        <v/>
      </c>
    </row>
    <row r="466">
      <c r="A466" s="2" t="n"/>
      <c r="B466" s="3" t="n"/>
      <c r="C466" s="4" t="n"/>
      <c r="D466" s="5" t="n"/>
      <c r="E466" s="3" t="n"/>
      <c r="F466" s="3">
        <f>IF(C466=0,0,IF(E466="",B466*D466/100,E466))</f>
        <v/>
      </c>
      <c r="G466" s="4" t="n"/>
      <c r="H466" s="5" t="n"/>
      <c r="I466" s="3" t="n"/>
      <c r="J466" s="3">
        <f>IF(G466=0,0,IF(I466="",B466*H466/100,I466))</f>
        <v/>
      </c>
      <c r="K466" s="4" t="n"/>
      <c r="L466" s="5" t="n"/>
      <c r="M466" s="3" t="n"/>
      <c r="N466" s="3">
        <f>IF(K466=0,0,IF(M466="",B466*L466/100,M466))</f>
        <v/>
      </c>
      <c r="O466" s="4" t="n"/>
      <c r="P466" s="5" t="n"/>
      <c r="Q466" s="3" t="n"/>
      <c r="R466" s="3">
        <f>IF(O466=0,0,IF(Q466="",B466*P466/100,Q466))</f>
        <v/>
      </c>
      <c r="S466" s="4" t="n"/>
      <c r="T466" s="5" t="n"/>
      <c r="U466" s="3" t="n"/>
      <c r="V466" s="3">
        <f>IF(S466=0,0,IF(U466="",B466*T466/100,U466))</f>
        <v/>
      </c>
      <c r="W466" s="4" t="n"/>
      <c r="X466" s="5" t="n"/>
      <c r="Y466" s="3" t="n"/>
      <c r="Z466" s="3">
        <f>IF(W466=0,0,IF(Y466="",B466*X466/100,Y466))</f>
        <v/>
      </c>
      <c r="AA466" s="3" t="n"/>
      <c r="AB466" s="3" t="n"/>
      <c r="AC466" s="3">
        <f>B466*0.035</f>
        <v/>
      </c>
      <c r="AD466" s="3">
        <f>B466*0.065</f>
        <v/>
      </c>
      <c r="AE466" s="3">
        <f>SUM(B466,F466,J466,N466,R466,V466,Z466,AA466,AB466,AC466,AD466)</f>
        <v/>
      </c>
      <c r="AF466" s="3">
        <f>B466*0.055</f>
        <v/>
      </c>
      <c r="AG466" s="3">
        <f>B466*0.035</f>
        <v/>
      </c>
      <c r="AH466" s="3">
        <f>B466*0.165</f>
        <v/>
      </c>
      <c r="AI466" s="3">
        <f>MAX(0,AE466-AF466-AH466)</f>
        <v/>
      </c>
      <c r="AJ466" s="3">
        <f>IF(AI466&lt;=490,0,IF(AI466&lt;=600,(AI466-490)*0.05,IF(AI466&lt;=730,5.5+(AI466-600)*0.10,IF(AI466&lt;=3896.67,18.5+(AI466-730)*0.175,IF(AI466&lt;=19896.67,572.67+(AI466-3896.67)*0.25,IF(AI466&lt;=50416.67,4572.67+(AI466-19896.67)*0.30,13728.67+(AI466-50416.67)*0.35))))))</f>
        <v/>
      </c>
      <c r="AK466" s="3" t="n"/>
      <c r="AL466" s="3" t="n"/>
      <c r="AM466" s="3" t="n"/>
      <c r="AN466" s="3" t="n"/>
      <c r="AO466" s="3" t="n"/>
      <c r="AP466" s="3">
        <f>SUM(AF466,AJ466,AK466,AL466,AM466,AN466,AO466,AG466,AH466)</f>
        <v/>
      </c>
      <c r="AQ466" s="3">
        <f>AE466-AP466</f>
        <v/>
      </c>
      <c r="AR466" s="3" t="n"/>
      <c r="AS466" s="3" t="n"/>
      <c r="AT466" s="3">
        <f>AR466-AS466</f>
        <v/>
      </c>
    </row>
    <row r="467">
      <c r="A467" s="2" t="n"/>
      <c r="B467" s="3" t="n"/>
      <c r="C467" s="4" t="n"/>
      <c r="D467" s="5" t="n"/>
      <c r="E467" s="3" t="n"/>
      <c r="F467" s="3">
        <f>IF(C467=0,0,IF(E467="",B467*D467/100,E467))</f>
        <v/>
      </c>
      <c r="G467" s="4" t="n"/>
      <c r="H467" s="5" t="n"/>
      <c r="I467" s="3" t="n"/>
      <c r="J467" s="3">
        <f>IF(G467=0,0,IF(I467="",B467*H467/100,I467))</f>
        <v/>
      </c>
      <c r="K467" s="4" t="n"/>
      <c r="L467" s="5" t="n"/>
      <c r="M467" s="3" t="n"/>
      <c r="N467" s="3">
        <f>IF(K467=0,0,IF(M467="",B467*L467/100,M467))</f>
        <v/>
      </c>
      <c r="O467" s="4" t="n"/>
      <c r="P467" s="5" t="n"/>
      <c r="Q467" s="3" t="n"/>
      <c r="R467" s="3">
        <f>IF(O467=0,0,IF(Q467="",B467*P467/100,Q467))</f>
        <v/>
      </c>
      <c r="S467" s="4" t="n"/>
      <c r="T467" s="5" t="n"/>
      <c r="U467" s="3" t="n"/>
      <c r="V467" s="3">
        <f>IF(S467=0,0,IF(U467="",B467*T467/100,U467))</f>
        <v/>
      </c>
      <c r="W467" s="4" t="n"/>
      <c r="X467" s="5" t="n"/>
      <c r="Y467" s="3" t="n"/>
      <c r="Z467" s="3">
        <f>IF(W467=0,0,IF(Y467="",B467*X467/100,Y467))</f>
        <v/>
      </c>
      <c r="AA467" s="3" t="n"/>
      <c r="AB467" s="3" t="n"/>
      <c r="AC467" s="3">
        <f>B467*0.035</f>
        <v/>
      </c>
      <c r="AD467" s="3">
        <f>B467*0.065</f>
        <v/>
      </c>
      <c r="AE467" s="3">
        <f>SUM(B467,F467,J467,N467,R467,V467,Z467,AA467,AB467,AC467,AD467)</f>
        <v/>
      </c>
      <c r="AF467" s="3">
        <f>B467*0.055</f>
        <v/>
      </c>
      <c r="AG467" s="3">
        <f>B467*0.035</f>
        <v/>
      </c>
      <c r="AH467" s="3">
        <f>B467*0.165</f>
        <v/>
      </c>
      <c r="AI467" s="3">
        <f>MAX(0,AE467-AF467-AH467)</f>
        <v/>
      </c>
      <c r="AJ467" s="3">
        <f>IF(AI467&lt;=490,0,IF(AI467&lt;=600,(AI467-490)*0.05,IF(AI467&lt;=730,5.5+(AI467-600)*0.10,IF(AI467&lt;=3896.67,18.5+(AI467-730)*0.175,IF(AI467&lt;=19896.67,572.67+(AI467-3896.67)*0.25,IF(AI467&lt;=50416.67,4572.67+(AI467-19896.67)*0.30,13728.67+(AI467-50416.67)*0.35))))))</f>
        <v/>
      </c>
      <c r="AK467" s="3" t="n"/>
      <c r="AL467" s="3" t="n"/>
      <c r="AM467" s="3" t="n"/>
      <c r="AN467" s="3" t="n"/>
      <c r="AO467" s="3" t="n"/>
      <c r="AP467" s="3">
        <f>SUM(AF467,AJ467,AK467,AL467,AM467,AN467,AO467,AG467,AH467)</f>
        <v/>
      </c>
      <c r="AQ467" s="3">
        <f>AE467-AP467</f>
        <v/>
      </c>
      <c r="AR467" s="3" t="n"/>
      <c r="AS467" s="3" t="n"/>
      <c r="AT467" s="3">
        <f>AR467-AS467</f>
        <v/>
      </c>
    </row>
    <row r="468">
      <c r="A468" s="2" t="n"/>
      <c r="B468" s="3" t="n"/>
      <c r="C468" s="4" t="n"/>
      <c r="D468" s="5" t="n"/>
      <c r="E468" s="3" t="n"/>
      <c r="F468" s="3">
        <f>IF(C468=0,0,IF(E468="",B468*D468/100,E468))</f>
        <v/>
      </c>
      <c r="G468" s="4" t="n"/>
      <c r="H468" s="5" t="n"/>
      <c r="I468" s="3" t="n"/>
      <c r="J468" s="3">
        <f>IF(G468=0,0,IF(I468="",B468*H468/100,I468))</f>
        <v/>
      </c>
      <c r="K468" s="4" t="n"/>
      <c r="L468" s="5" t="n"/>
      <c r="M468" s="3" t="n"/>
      <c r="N468" s="3">
        <f>IF(K468=0,0,IF(M468="",B468*L468/100,M468))</f>
        <v/>
      </c>
      <c r="O468" s="4" t="n"/>
      <c r="P468" s="5" t="n"/>
      <c r="Q468" s="3" t="n"/>
      <c r="R468" s="3">
        <f>IF(O468=0,0,IF(Q468="",B468*P468/100,Q468))</f>
        <v/>
      </c>
      <c r="S468" s="4" t="n"/>
      <c r="T468" s="5" t="n"/>
      <c r="U468" s="3" t="n"/>
      <c r="V468" s="3">
        <f>IF(S468=0,0,IF(U468="",B468*T468/100,U468))</f>
        <v/>
      </c>
      <c r="W468" s="4" t="n"/>
      <c r="X468" s="5" t="n"/>
      <c r="Y468" s="3" t="n"/>
      <c r="Z468" s="3">
        <f>IF(W468=0,0,IF(Y468="",B468*X468/100,Y468))</f>
        <v/>
      </c>
      <c r="AA468" s="3" t="n"/>
      <c r="AB468" s="3" t="n"/>
      <c r="AC468" s="3">
        <f>B468*0.035</f>
        <v/>
      </c>
      <c r="AD468" s="3">
        <f>B468*0.065</f>
        <v/>
      </c>
      <c r="AE468" s="3">
        <f>SUM(B468,F468,J468,N468,R468,V468,Z468,AA468,AB468,AC468,AD468)</f>
        <v/>
      </c>
      <c r="AF468" s="3">
        <f>B468*0.055</f>
        <v/>
      </c>
      <c r="AG468" s="3">
        <f>B468*0.035</f>
        <v/>
      </c>
      <c r="AH468" s="3">
        <f>B468*0.165</f>
        <v/>
      </c>
      <c r="AI468" s="3">
        <f>MAX(0,AE468-AF468-AH468)</f>
        <v/>
      </c>
      <c r="AJ468" s="3">
        <f>IF(AI468&lt;=490,0,IF(AI468&lt;=600,(AI468-490)*0.05,IF(AI468&lt;=730,5.5+(AI468-600)*0.10,IF(AI468&lt;=3896.67,18.5+(AI468-730)*0.175,IF(AI468&lt;=19896.67,572.67+(AI468-3896.67)*0.25,IF(AI468&lt;=50416.67,4572.67+(AI468-19896.67)*0.30,13728.67+(AI468-50416.67)*0.35))))))</f>
        <v/>
      </c>
      <c r="AK468" s="3" t="n"/>
      <c r="AL468" s="3" t="n"/>
      <c r="AM468" s="3" t="n"/>
      <c r="AN468" s="3" t="n"/>
      <c r="AO468" s="3" t="n"/>
      <c r="AP468" s="3">
        <f>SUM(AF468,AJ468,AK468,AL468,AM468,AN468,AO468,AG468,AH468)</f>
        <v/>
      </c>
      <c r="AQ468" s="3">
        <f>AE468-AP468</f>
        <v/>
      </c>
      <c r="AR468" s="3" t="n"/>
      <c r="AS468" s="3" t="n"/>
      <c r="AT468" s="3">
        <f>AR468-AS468</f>
        <v/>
      </c>
    </row>
    <row r="469">
      <c r="A469" s="2" t="n"/>
      <c r="B469" s="3" t="n"/>
      <c r="C469" s="4" t="n"/>
      <c r="D469" s="5" t="n"/>
      <c r="E469" s="3" t="n"/>
      <c r="F469" s="3">
        <f>IF(C469=0,0,IF(E469="",B469*D469/100,E469))</f>
        <v/>
      </c>
      <c r="G469" s="4" t="n"/>
      <c r="H469" s="5" t="n"/>
      <c r="I469" s="3" t="n"/>
      <c r="J469" s="3">
        <f>IF(G469=0,0,IF(I469="",B469*H469/100,I469))</f>
        <v/>
      </c>
      <c r="K469" s="4" t="n"/>
      <c r="L469" s="5" t="n"/>
      <c r="M469" s="3" t="n"/>
      <c r="N469" s="3">
        <f>IF(K469=0,0,IF(M469="",B469*L469/100,M469))</f>
        <v/>
      </c>
      <c r="O469" s="4" t="n"/>
      <c r="P469" s="5" t="n"/>
      <c r="Q469" s="3" t="n"/>
      <c r="R469" s="3">
        <f>IF(O469=0,0,IF(Q469="",B469*P469/100,Q469))</f>
        <v/>
      </c>
      <c r="S469" s="4" t="n"/>
      <c r="T469" s="5" t="n"/>
      <c r="U469" s="3" t="n"/>
      <c r="V469" s="3">
        <f>IF(S469=0,0,IF(U469="",B469*T469/100,U469))</f>
        <v/>
      </c>
      <c r="W469" s="4" t="n"/>
      <c r="X469" s="5" t="n"/>
      <c r="Y469" s="3" t="n"/>
      <c r="Z469" s="3">
        <f>IF(W469=0,0,IF(Y469="",B469*X469/100,Y469))</f>
        <v/>
      </c>
      <c r="AA469" s="3" t="n"/>
      <c r="AB469" s="3" t="n"/>
      <c r="AC469" s="3">
        <f>B469*0.035</f>
        <v/>
      </c>
      <c r="AD469" s="3">
        <f>B469*0.065</f>
        <v/>
      </c>
      <c r="AE469" s="3">
        <f>SUM(B469,F469,J469,N469,R469,V469,Z469,AA469,AB469,AC469,AD469)</f>
        <v/>
      </c>
      <c r="AF469" s="3">
        <f>B469*0.055</f>
        <v/>
      </c>
      <c r="AG469" s="3">
        <f>B469*0.035</f>
        <v/>
      </c>
      <c r="AH469" s="3">
        <f>B469*0.165</f>
        <v/>
      </c>
      <c r="AI469" s="3">
        <f>MAX(0,AE469-AF469-AH469)</f>
        <v/>
      </c>
      <c r="AJ469" s="3">
        <f>IF(AI469&lt;=490,0,IF(AI469&lt;=600,(AI469-490)*0.05,IF(AI469&lt;=730,5.5+(AI469-600)*0.10,IF(AI469&lt;=3896.67,18.5+(AI469-730)*0.175,IF(AI469&lt;=19896.67,572.67+(AI469-3896.67)*0.25,IF(AI469&lt;=50416.67,4572.67+(AI469-19896.67)*0.30,13728.67+(AI469-50416.67)*0.35))))))</f>
        <v/>
      </c>
      <c r="AK469" s="3" t="n"/>
      <c r="AL469" s="3" t="n"/>
      <c r="AM469" s="3" t="n"/>
      <c r="AN469" s="3" t="n"/>
      <c r="AO469" s="3" t="n"/>
      <c r="AP469" s="3">
        <f>SUM(AF469,AJ469,AK469,AL469,AM469,AN469,AO469,AG469,AH469)</f>
        <v/>
      </c>
      <c r="AQ469" s="3">
        <f>AE469-AP469</f>
        <v/>
      </c>
      <c r="AR469" s="3" t="n"/>
      <c r="AS469" s="3" t="n"/>
      <c r="AT469" s="3">
        <f>AR469-AS469</f>
        <v/>
      </c>
    </row>
    <row r="470">
      <c r="A470" s="2" t="n"/>
      <c r="B470" s="3" t="n"/>
      <c r="C470" s="4" t="n"/>
      <c r="D470" s="5" t="n"/>
      <c r="E470" s="3" t="n"/>
      <c r="F470" s="3">
        <f>IF(C470=0,0,IF(E470="",B470*D470/100,E470))</f>
        <v/>
      </c>
      <c r="G470" s="4" t="n"/>
      <c r="H470" s="5" t="n"/>
      <c r="I470" s="3" t="n"/>
      <c r="J470" s="3">
        <f>IF(G470=0,0,IF(I470="",B470*H470/100,I470))</f>
        <v/>
      </c>
      <c r="K470" s="4" t="n"/>
      <c r="L470" s="5" t="n"/>
      <c r="M470" s="3" t="n"/>
      <c r="N470" s="3">
        <f>IF(K470=0,0,IF(M470="",B470*L470/100,M470))</f>
        <v/>
      </c>
      <c r="O470" s="4" t="n"/>
      <c r="P470" s="5" t="n"/>
      <c r="Q470" s="3" t="n"/>
      <c r="R470" s="3">
        <f>IF(O470=0,0,IF(Q470="",B470*P470/100,Q470))</f>
        <v/>
      </c>
      <c r="S470" s="4" t="n"/>
      <c r="T470" s="5" t="n"/>
      <c r="U470" s="3" t="n"/>
      <c r="V470" s="3">
        <f>IF(S470=0,0,IF(U470="",B470*T470/100,U470))</f>
        <v/>
      </c>
      <c r="W470" s="4" t="n"/>
      <c r="X470" s="5" t="n"/>
      <c r="Y470" s="3" t="n"/>
      <c r="Z470" s="3">
        <f>IF(W470=0,0,IF(Y470="",B470*X470/100,Y470))</f>
        <v/>
      </c>
      <c r="AA470" s="3" t="n"/>
      <c r="AB470" s="3" t="n"/>
      <c r="AC470" s="3">
        <f>B470*0.035</f>
        <v/>
      </c>
      <c r="AD470" s="3">
        <f>B470*0.065</f>
        <v/>
      </c>
      <c r="AE470" s="3">
        <f>SUM(B470,F470,J470,N470,R470,V470,Z470,AA470,AB470,AC470,AD470)</f>
        <v/>
      </c>
      <c r="AF470" s="3">
        <f>B470*0.055</f>
        <v/>
      </c>
      <c r="AG470" s="3">
        <f>B470*0.035</f>
        <v/>
      </c>
      <c r="AH470" s="3">
        <f>B470*0.165</f>
        <v/>
      </c>
      <c r="AI470" s="3">
        <f>MAX(0,AE470-AF470-AH470)</f>
        <v/>
      </c>
      <c r="AJ470" s="3">
        <f>IF(AI470&lt;=490,0,IF(AI470&lt;=600,(AI470-490)*0.05,IF(AI470&lt;=730,5.5+(AI470-600)*0.10,IF(AI470&lt;=3896.67,18.5+(AI470-730)*0.175,IF(AI470&lt;=19896.67,572.67+(AI470-3896.67)*0.25,IF(AI470&lt;=50416.67,4572.67+(AI470-19896.67)*0.30,13728.67+(AI470-50416.67)*0.35))))))</f>
        <v/>
      </c>
      <c r="AK470" s="3" t="n"/>
      <c r="AL470" s="3" t="n"/>
      <c r="AM470" s="3" t="n"/>
      <c r="AN470" s="3" t="n"/>
      <c r="AO470" s="3" t="n"/>
      <c r="AP470" s="3">
        <f>SUM(AF470,AJ470,AK470,AL470,AM470,AN470,AO470,AG470,AH470)</f>
        <v/>
      </c>
      <c r="AQ470" s="3">
        <f>AE470-AP470</f>
        <v/>
      </c>
      <c r="AR470" s="3" t="n"/>
      <c r="AS470" s="3" t="n"/>
      <c r="AT470" s="3">
        <f>AR470-AS470</f>
        <v/>
      </c>
    </row>
    <row r="471">
      <c r="A471" s="2" t="n"/>
      <c r="B471" s="3" t="n"/>
      <c r="C471" s="4" t="n"/>
      <c r="D471" s="5" t="n"/>
      <c r="E471" s="3" t="n"/>
      <c r="F471" s="3">
        <f>IF(C471=0,0,IF(E471="",B471*D471/100,E471))</f>
        <v/>
      </c>
      <c r="G471" s="4" t="n"/>
      <c r="H471" s="5" t="n"/>
      <c r="I471" s="3" t="n"/>
      <c r="J471" s="3">
        <f>IF(G471=0,0,IF(I471="",B471*H471/100,I471))</f>
        <v/>
      </c>
      <c r="K471" s="4" t="n"/>
      <c r="L471" s="5" t="n"/>
      <c r="M471" s="3" t="n"/>
      <c r="N471" s="3">
        <f>IF(K471=0,0,IF(M471="",B471*L471/100,M471))</f>
        <v/>
      </c>
      <c r="O471" s="4" t="n"/>
      <c r="P471" s="5" t="n"/>
      <c r="Q471" s="3" t="n"/>
      <c r="R471" s="3">
        <f>IF(O471=0,0,IF(Q471="",B471*P471/100,Q471))</f>
        <v/>
      </c>
      <c r="S471" s="4" t="n"/>
      <c r="T471" s="5" t="n"/>
      <c r="U471" s="3" t="n"/>
      <c r="V471" s="3">
        <f>IF(S471=0,0,IF(U471="",B471*T471/100,U471))</f>
        <v/>
      </c>
      <c r="W471" s="4" t="n"/>
      <c r="X471" s="5" t="n"/>
      <c r="Y471" s="3" t="n"/>
      <c r="Z471" s="3">
        <f>IF(W471=0,0,IF(Y471="",B471*X471/100,Y471))</f>
        <v/>
      </c>
      <c r="AA471" s="3" t="n"/>
      <c r="AB471" s="3" t="n"/>
      <c r="AC471" s="3">
        <f>B471*0.035</f>
        <v/>
      </c>
      <c r="AD471" s="3">
        <f>B471*0.065</f>
        <v/>
      </c>
      <c r="AE471" s="3">
        <f>SUM(B471,F471,J471,N471,R471,V471,Z471,AA471,AB471,AC471,AD471)</f>
        <v/>
      </c>
      <c r="AF471" s="3">
        <f>B471*0.055</f>
        <v/>
      </c>
      <c r="AG471" s="3">
        <f>B471*0.035</f>
        <v/>
      </c>
      <c r="AH471" s="3">
        <f>B471*0.165</f>
        <v/>
      </c>
      <c r="AI471" s="3">
        <f>MAX(0,AE471-AF471-AH471)</f>
        <v/>
      </c>
      <c r="AJ471" s="3">
        <f>IF(AI471&lt;=490,0,IF(AI471&lt;=600,(AI471-490)*0.05,IF(AI471&lt;=730,5.5+(AI471-600)*0.10,IF(AI471&lt;=3896.67,18.5+(AI471-730)*0.175,IF(AI471&lt;=19896.67,572.67+(AI471-3896.67)*0.25,IF(AI471&lt;=50416.67,4572.67+(AI471-19896.67)*0.30,13728.67+(AI471-50416.67)*0.35))))))</f>
        <v/>
      </c>
      <c r="AK471" s="3" t="n"/>
      <c r="AL471" s="3" t="n"/>
      <c r="AM471" s="3" t="n"/>
      <c r="AN471" s="3" t="n"/>
      <c r="AO471" s="3" t="n"/>
      <c r="AP471" s="3">
        <f>SUM(AF471,AJ471,AK471,AL471,AM471,AN471,AO471,AG471,AH471)</f>
        <v/>
      </c>
      <c r="AQ471" s="3">
        <f>AE471-AP471</f>
        <v/>
      </c>
      <c r="AR471" s="3" t="n"/>
      <c r="AS471" s="3" t="n"/>
      <c r="AT471" s="3">
        <f>AR471-AS471</f>
        <v/>
      </c>
    </row>
    <row r="472">
      <c r="A472" s="2" t="n"/>
      <c r="B472" s="3" t="n"/>
      <c r="C472" s="4" t="n"/>
      <c r="D472" s="5" t="n"/>
      <c r="E472" s="3" t="n"/>
      <c r="F472" s="3">
        <f>IF(C472=0,0,IF(E472="",B472*D472/100,E472))</f>
        <v/>
      </c>
      <c r="G472" s="4" t="n"/>
      <c r="H472" s="5" t="n"/>
      <c r="I472" s="3" t="n"/>
      <c r="J472" s="3">
        <f>IF(G472=0,0,IF(I472="",B472*H472/100,I472))</f>
        <v/>
      </c>
      <c r="K472" s="4" t="n"/>
      <c r="L472" s="5" t="n"/>
      <c r="M472" s="3" t="n"/>
      <c r="N472" s="3">
        <f>IF(K472=0,0,IF(M472="",B472*L472/100,M472))</f>
        <v/>
      </c>
      <c r="O472" s="4" t="n"/>
      <c r="P472" s="5" t="n"/>
      <c r="Q472" s="3" t="n"/>
      <c r="R472" s="3">
        <f>IF(O472=0,0,IF(Q472="",B472*P472/100,Q472))</f>
        <v/>
      </c>
      <c r="S472" s="4" t="n"/>
      <c r="T472" s="5" t="n"/>
      <c r="U472" s="3" t="n"/>
      <c r="V472" s="3">
        <f>IF(S472=0,0,IF(U472="",B472*T472/100,U472))</f>
        <v/>
      </c>
      <c r="W472" s="4" t="n"/>
      <c r="X472" s="5" t="n"/>
      <c r="Y472" s="3" t="n"/>
      <c r="Z472" s="3">
        <f>IF(W472=0,0,IF(Y472="",B472*X472/100,Y472))</f>
        <v/>
      </c>
      <c r="AA472" s="3" t="n"/>
      <c r="AB472" s="3" t="n"/>
      <c r="AC472" s="3">
        <f>B472*0.035</f>
        <v/>
      </c>
      <c r="AD472" s="3">
        <f>B472*0.065</f>
        <v/>
      </c>
      <c r="AE472" s="3">
        <f>SUM(B472,F472,J472,N472,R472,V472,Z472,AA472,AB472,AC472,AD472)</f>
        <v/>
      </c>
      <c r="AF472" s="3">
        <f>B472*0.055</f>
        <v/>
      </c>
      <c r="AG472" s="3">
        <f>B472*0.035</f>
        <v/>
      </c>
      <c r="AH472" s="3">
        <f>B472*0.165</f>
        <v/>
      </c>
      <c r="AI472" s="3">
        <f>MAX(0,AE472-AF472-AH472)</f>
        <v/>
      </c>
      <c r="AJ472" s="3">
        <f>IF(AI472&lt;=490,0,IF(AI472&lt;=600,(AI472-490)*0.05,IF(AI472&lt;=730,5.5+(AI472-600)*0.10,IF(AI472&lt;=3896.67,18.5+(AI472-730)*0.175,IF(AI472&lt;=19896.67,572.67+(AI472-3896.67)*0.25,IF(AI472&lt;=50416.67,4572.67+(AI472-19896.67)*0.30,13728.67+(AI472-50416.67)*0.35))))))</f>
        <v/>
      </c>
      <c r="AK472" s="3" t="n"/>
      <c r="AL472" s="3" t="n"/>
      <c r="AM472" s="3" t="n"/>
      <c r="AN472" s="3" t="n"/>
      <c r="AO472" s="3" t="n"/>
      <c r="AP472" s="3">
        <f>SUM(AF472,AJ472,AK472,AL472,AM472,AN472,AO472,AG472,AH472)</f>
        <v/>
      </c>
      <c r="AQ472" s="3">
        <f>AE472-AP472</f>
        <v/>
      </c>
      <c r="AR472" s="3" t="n"/>
      <c r="AS472" s="3" t="n"/>
      <c r="AT472" s="3">
        <f>AR472-AS472</f>
        <v/>
      </c>
    </row>
    <row r="473">
      <c r="A473" s="2" t="n"/>
      <c r="B473" s="3" t="n"/>
      <c r="C473" s="4" t="n"/>
      <c r="D473" s="5" t="n"/>
      <c r="E473" s="3" t="n"/>
      <c r="F473" s="3">
        <f>IF(C473=0,0,IF(E473="",B473*D473/100,E473))</f>
        <v/>
      </c>
      <c r="G473" s="4" t="n"/>
      <c r="H473" s="5" t="n"/>
      <c r="I473" s="3" t="n"/>
      <c r="J473" s="3">
        <f>IF(G473=0,0,IF(I473="",B473*H473/100,I473))</f>
        <v/>
      </c>
      <c r="K473" s="4" t="n"/>
      <c r="L473" s="5" t="n"/>
      <c r="M473" s="3" t="n"/>
      <c r="N473" s="3">
        <f>IF(K473=0,0,IF(M473="",B473*L473/100,M473))</f>
        <v/>
      </c>
      <c r="O473" s="4" t="n"/>
      <c r="P473" s="5" t="n"/>
      <c r="Q473" s="3" t="n"/>
      <c r="R473" s="3">
        <f>IF(O473=0,0,IF(Q473="",B473*P473/100,Q473))</f>
        <v/>
      </c>
      <c r="S473" s="4" t="n"/>
      <c r="T473" s="5" t="n"/>
      <c r="U473" s="3" t="n"/>
      <c r="V473" s="3">
        <f>IF(S473=0,0,IF(U473="",B473*T473/100,U473))</f>
        <v/>
      </c>
      <c r="W473" s="4" t="n"/>
      <c r="X473" s="5" t="n"/>
      <c r="Y473" s="3" t="n"/>
      <c r="Z473" s="3">
        <f>IF(W473=0,0,IF(Y473="",B473*X473/100,Y473))</f>
        <v/>
      </c>
      <c r="AA473" s="3" t="n"/>
      <c r="AB473" s="3" t="n"/>
      <c r="AC473" s="3">
        <f>B473*0.035</f>
        <v/>
      </c>
      <c r="AD473" s="3">
        <f>B473*0.065</f>
        <v/>
      </c>
      <c r="AE473" s="3">
        <f>SUM(B473,F473,J473,N473,R473,V473,Z473,AA473,AB473,AC473,AD473)</f>
        <v/>
      </c>
      <c r="AF473" s="3">
        <f>B473*0.055</f>
        <v/>
      </c>
      <c r="AG473" s="3">
        <f>B473*0.035</f>
        <v/>
      </c>
      <c r="AH473" s="3">
        <f>B473*0.165</f>
        <v/>
      </c>
      <c r="AI473" s="3">
        <f>MAX(0,AE473-AF473-AH473)</f>
        <v/>
      </c>
      <c r="AJ473" s="3">
        <f>IF(AI473&lt;=490,0,IF(AI473&lt;=600,(AI473-490)*0.05,IF(AI473&lt;=730,5.5+(AI473-600)*0.10,IF(AI473&lt;=3896.67,18.5+(AI473-730)*0.175,IF(AI473&lt;=19896.67,572.67+(AI473-3896.67)*0.25,IF(AI473&lt;=50416.67,4572.67+(AI473-19896.67)*0.30,13728.67+(AI473-50416.67)*0.35))))))</f>
        <v/>
      </c>
      <c r="AK473" s="3" t="n"/>
      <c r="AL473" s="3" t="n"/>
      <c r="AM473" s="3" t="n"/>
      <c r="AN473" s="3" t="n"/>
      <c r="AO473" s="3" t="n"/>
      <c r="AP473" s="3">
        <f>SUM(AF473,AJ473,AK473,AL473,AM473,AN473,AO473,AG473,AH473)</f>
        <v/>
      </c>
      <c r="AQ473" s="3">
        <f>AE473-AP473</f>
        <v/>
      </c>
      <c r="AR473" s="3" t="n"/>
      <c r="AS473" s="3" t="n"/>
      <c r="AT473" s="3">
        <f>AR473-AS473</f>
        <v/>
      </c>
    </row>
    <row r="474">
      <c r="A474" s="2" t="n"/>
      <c r="B474" s="3" t="n"/>
      <c r="C474" s="4" t="n"/>
      <c r="D474" s="5" t="n"/>
      <c r="E474" s="3" t="n"/>
      <c r="F474" s="3">
        <f>IF(C474=0,0,IF(E474="",B474*D474/100,E474))</f>
        <v/>
      </c>
      <c r="G474" s="4" t="n"/>
      <c r="H474" s="5" t="n"/>
      <c r="I474" s="3" t="n"/>
      <c r="J474" s="3">
        <f>IF(G474=0,0,IF(I474="",B474*H474/100,I474))</f>
        <v/>
      </c>
      <c r="K474" s="4" t="n"/>
      <c r="L474" s="5" t="n"/>
      <c r="M474" s="3" t="n"/>
      <c r="N474" s="3">
        <f>IF(K474=0,0,IF(M474="",B474*L474/100,M474))</f>
        <v/>
      </c>
      <c r="O474" s="4" t="n"/>
      <c r="P474" s="5" t="n"/>
      <c r="Q474" s="3" t="n"/>
      <c r="R474" s="3">
        <f>IF(O474=0,0,IF(Q474="",B474*P474/100,Q474))</f>
        <v/>
      </c>
      <c r="S474" s="4" t="n"/>
      <c r="T474" s="5" t="n"/>
      <c r="U474" s="3" t="n"/>
      <c r="V474" s="3">
        <f>IF(S474=0,0,IF(U474="",B474*T474/100,U474))</f>
        <v/>
      </c>
      <c r="W474" s="4" t="n"/>
      <c r="X474" s="5" t="n"/>
      <c r="Y474" s="3" t="n"/>
      <c r="Z474" s="3">
        <f>IF(W474=0,0,IF(Y474="",B474*X474/100,Y474))</f>
        <v/>
      </c>
      <c r="AA474" s="3" t="n"/>
      <c r="AB474" s="3" t="n"/>
      <c r="AC474" s="3">
        <f>B474*0.035</f>
        <v/>
      </c>
      <c r="AD474" s="3">
        <f>B474*0.065</f>
        <v/>
      </c>
      <c r="AE474" s="3">
        <f>SUM(B474,F474,J474,N474,R474,V474,Z474,AA474,AB474,AC474,AD474)</f>
        <v/>
      </c>
      <c r="AF474" s="3">
        <f>B474*0.055</f>
        <v/>
      </c>
      <c r="AG474" s="3">
        <f>B474*0.035</f>
        <v/>
      </c>
      <c r="AH474" s="3">
        <f>B474*0.165</f>
        <v/>
      </c>
      <c r="AI474" s="3">
        <f>MAX(0,AE474-AF474-AH474)</f>
        <v/>
      </c>
      <c r="AJ474" s="3">
        <f>IF(AI474&lt;=490,0,IF(AI474&lt;=600,(AI474-490)*0.05,IF(AI474&lt;=730,5.5+(AI474-600)*0.10,IF(AI474&lt;=3896.67,18.5+(AI474-730)*0.175,IF(AI474&lt;=19896.67,572.67+(AI474-3896.67)*0.25,IF(AI474&lt;=50416.67,4572.67+(AI474-19896.67)*0.30,13728.67+(AI474-50416.67)*0.35))))))</f>
        <v/>
      </c>
      <c r="AK474" s="3" t="n"/>
      <c r="AL474" s="3" t="n"/>
      <c r="AM474" s="3" t="n"/>
      <c r="AN474" s="3" t="n"/>
      <c r="AO474" s="3" t="n"/>
      <c r="AP474" s="3">
        <f>SUM(AF474,AJ474,AK474,AL474,AM474,AN474,AO474,AG474,AH474)</f>
        <v/>
      </c>
      <c r="AQ474" s="3">
        <f>AE474-AP474</f>
        <v/>
      </c>
      <c r="AR474" s="3" t="n"/>
      <c r="AS474" s="3" t="n"/>
      <c r="AT474" s="3">
        <f>AR474-AS474</f>
        <v/>
      </c>
    </row>
    <row r="475">
      <c r="A475" s="2" t="n"/>
      <c r="B475" s="3" t="n"/>
      <c r="C475" s="4" t="n"/>
      <c r="D475" s="5" t="n"/>
      <c r="E475" s="3" t="n"/>
      <c r="F475" s="3">
        <f>IF(C475=0,0,IF(E475="",B475*D475/100,E475))</f>
        <v/>
      </c>
      <c r="G475" s="4" t="n"/>
      <c r="H475" s="5" t="n"/>
      <c r="I475" s="3" t="n"/>
      <c r="J475" s="3">
        <f>IF(G475=0,0,IF(I475="",B475*H475/100,I475))</f>
        <v/>
      </c>
      <c r="K475" s="4" t="n"/>
      <c r="L475" s="5" t="n"/>
      <c r="M475" s="3" t="n"/>
      <c r="N475" s="3">
        <f>IF(K475=0,0,IF(M475="",B475*L475/100,M475))</f>
        <v/>
      </c>
      <c r="O475" s="4" t="n"/>
      <c r="P475" s="5" t="n"/>
      <c r="Q475" s="3" t="n"/>
      <c r="R475" s="3">
        <f>IF(O475=0,0,IF(Q475="",B475*P475/100,Q475))</f>
        <v/>
      </c>
      <c r="S475" s="4" t="n"/>
      <c r="T475" s="5" t="n"/>
      <c r="U475" s="3" t="n"/>
      <c r="V475" s="3">
        <f>IF(S475=0,0,IF(U475="",B475*T475/100,U475))</f>
        <v/>
      </c>
      <c r="W475" s="4" t="n"/>
      <c r="X475" s="5" t="n"/>
      <c r="Y475" s="3" t="n"/>
      <c r="Z475" s="3">
        <f>IF(W475=0,0,IF(Y475="",B475*X475/100,Y475))</f>
        <v/>
      </c>
      <c r="AA475" s="3" t="n"/>
      <c r="AB475" s="3" t="n"/>
      <c r="AC475" s="3">
        <f>B475*0.035</f>
        <v/>
      </c>
      <c r="AD475" s="3">
        <f>B475*0.065</f>
        <v/>
      </c>
      <c r="AE475" s="3">
        <f>SUM(B475,F475,J475,N475,R475,V475,Z475,AA475,AB475,AC475,AD475)</f>
        <v/>
      </c>
      <c r="AF475" s="3">
        <f>B475*0.055</f>
        <v/>
      </c>
      <c r="AG475" s="3">
        <f>B475*0.035</f>
        <v/>
      </c>
      <c r="AH475" s="3">
        <f>B475*0.165</f>
        <v/>
      </c>
      <c r="AI475" s="3">
        <f>MAX(0,AE475-AF475-AH475)</f>
        <v/>
      </c>
      <c r="AJ475" s="3">
        <f>IF(AI475&lt;=490,0,IF(AI475&lt;=600,(AI475-490)*0.05,IF(AI475&lt;=730,5.5+(AI475-600)*0.10,IF(AI475&lt;=3896.67,18.5+(AI475-730)*0.175,IF(AI475&lt;=19896.67,572.67+(AI475-3896.67)*0.25,IF(AI475&lt;=50416.67,4572.67+(AI475-19896.67)*0.30,13728.67+(AI475-50416.67)*0.35))))))</f>
        <v/>
      </c>
      <c r="AK475" s="3" t="n"/>
      <c r="AL475" s="3" t="n"/>
      <c r="AM475" s="3" t="n"/>
      <c r="AN475" s="3" t="n"/>
      <c r="AO475" s="3" t="n"/>
      <c r="AP475" s="3">
        <f>SUM(AF475,AJ475,AK475,AL475,AM475,AN475,AO475,AG475,AH475)</f>
        <v/>
      </c>
      <c r="AQ475" s="3">
        <f>AE475-AP475</f>
        <v/>
      </c>
      <c r="AR475" s="3" t="n"/>
      <c r="AS475" s="3" t="n"/>
      <c r="AT475" s="3">
        <f>AR475-AS475</f>
        <v/>
      </c>
    </row>
    <row r="476">
      <c r="A476" s="2" t="n"/>
      <c r="B476" s="3" t="n"/>
      <c r="C476" s="4" t="n"/>
      <c r="D476" s="5" t="n"/>
      <c r="E476" s="3" t="n"/>
      <c r="F476" s="3">
        <f>IF(C476=0,0,IF(E476="",B476*D476/100,E476))</f>
        <v/>
      </c>
      <c r="G476" s="4" t="n"/>
      <c r="H476" s="5" t="n"/>
      <c r="I476" s="3" t="n"/>
      <c r="J476" s="3">
        <f>IF(G476=0,0,IF(I476="",B476*H476/100,I476))</f>
        <v/>
      </c>
      <c r="K476" s="4" t="n"/>
      <c r="L476" s="5" t="n"/>
      <c r="M476" s="3" t="n"/>
      <c r="N476" s="3">
        <f>IF(K476=0,0,IF(M476="",B476*L476/100,M476))</f>
        <v/>
      </c>
      <c r="O476" s="4" t="n"/>
      <c r="P476" s="5" t="n"/>
      <c r="Q476" s="3" t="n"/>
      <c r="R476" s="3">
        <f>IF(O476=0,0,IF(Q476="",B476*P476/100,Q476))</f>
        <v/>
      </c>
      <c r="S476" s="4" t="n"/>
      <c r="T476" s="5" t="n"/>
      <c r="U476" s="3" t="n"/>
      <c r="V476" s="3">
        <f>IF(S476=0,0,IF(U476="",B476*T476/100,U476))</f>
        <v/>
      </c>
      <c r="W476" s="4" t="n"/>
      <c r="X476" s="5" t="n"/>
      <c r="Y476" s="3" t="n"/>
      <c r="Z476" s="3">
        <f>IF(W476=0,0,IF(Y476="",B476*X476/100,Y476))</f>
        <v/>
      </c>
      <c r="AA476" s="3" t="n"/>
      <c r="AB476" s="3" t="n"/>
      <c r="AC476" s="3">
        <f>B476*0.035</f>
        <v/>
      </c>
      <c r="AD476" s="3">
        <f>B476*0.065</f>
        <v/>
      </c>
      <c r="AE476" s="3">
        <f>SUM(B476,F476,J476,N476,R476,V476,Z476,AA476,AB476,AC476,AD476)</f>
        <v/>
      </c>
      <c r="AF476" s="3">
        <f>B476*0.055</f>
        <v/>
      </c>
      <c r="AG476" s="3">
        <f>B476*0.035</f>
        <v/>
      </c>
      <c r="AH476" s="3">
        <f>B476*0.165</f>
        <v/>
      </c>
      <c r="AI476" s="3">
        <f>MAX(0,AE476-AF476-AH476)</f>
        <v/>
      </c>
      <c r="AJ476" s="3">
        <f>IF(AI476&lt;=490,0,IF(AI476&lt;=600,(AI476-490)*0.05,IF(AI476&lt;=730,5.5+(AI476-600)*0.10,IF(AI476&lt;=3896.67,18.5+(AI476-730)*0.175,IF(AI476&lt;=19896.67,572.67+(AI476-3896.67)*0.25,IF(AI476&lt;=50416.67,4572.67+(AI476-19896.67)*0.30,13728.67+(AI476-50416.67)*0.35))))))</f>
        <v/>
      </c>
      <c r="AK476" s="3" t="n"/>
      <c r="AL476" s="3" t="n"/>
      <c r="AM476" s="3" t="n"/>
      <c r="AN476" s="3" t="n"/>
      <c r="AO476" s="3" t="n"/>
      <c r="AP476" s="3">
        <f>SUM(AF476,AJ476,AK476,AL476,AM476,AN476,AO476,AG476,AH476)</f>
        <v/>
      </c>
      <c r="AQ476" s="3">
        <f>AE476-AP476</f>
        <v/>
      </c>
      <c r="AR476" s="3" t="n"/>
      <c r="AS476" s="3" t="n"/>
      <c r="AT476" s="3">
        <f>AR476-AS476</f>
        <v/>
      </c>
    </row>
    <row r="477">
      <c r="A477" s="2" t="n"/>
      <c r="B477" s="3" t="n"/>
      <c r="C477" s="4" t="n"/>
      <c r="D477" s="5" t="n"/>
      <c r="E477" s="3" t="n"/>
      <c r="F477" s="3">
        <f>IF(C477=0,0,IF(E477="",B477*D477/100,E477))</f>
        <v/>
      </c>
      <c r="G477" s="4" t="n"/>
      <c r="H477" s="5" t="n"/>
      <c r="I477" s="3" t="n"/>
      <c r="J477" s="3">
        <f>IF(G477=0,0,IF(I477="",B477*H477/100,I477))</f>
        <v/>
      </c>
      <c r="K477" s="4" t="n"/>
      <c r="L477" s="5" t="n"/>
      <c r="M477" s="3" t="n"/>
      <c r="N477" s="3">
        <f>IF(K477=0,0,IF(M477="",B477*L477/100,M477))</f>
        <v/>
      </c>
      <c r="O477" s="4" t="n"/>
      <c r="P477" s="5" t="n"/>
      <c r="Q477" s="3" t="n"/>
      <c r="R477" s="3">
        <f>IF(O477=0,0,IF(Q477="",B477*P477/100,Q477))</f>
        <v/>
      </c>
      <c r="S477" s="4" t="n"/>
      <c r="T477" s="5" t="n"/>
      <c r="U477" s="3" t="n"/>
      <c r="V477" s="3">
        <f>IF(S477=0,0,IF(U477="",B477*T477/100,U477))</f>
        <v/>
      </c>
      <c r="W477" s="4" t="n"/>
      <c r="X477" s="5" t="n"/>
      <c r="Y477" s="3" t="n"/>
      <c r="Z477" s="3">
        <f>IF(W477=0,0,IF(Y477="",B477*X477/100,Y477))</f>
        <v/>
      </c>
      <c r="AA477" s="3" t="n"/>
      <c r="AB477" s="3" t="n"/>
      <c r="AC477" s="3">
        <f>B477*0.035</f>
        <v/>
      </c>
      <c r="AD477" s="3">
        <f>B477*0.065</f>
        <v/>
      </c>
      <c r="AE477" s="3">
        <f>SUM(B477,F477,J477,N477,R477,V477,Z477,AA477,AB477,AC477,AD477)</f>
        <v/>
      </c>
      <c r="AF477" s="3">
        <f>B477*0.055</f>
        <v/>
      </c>
      <c r="AG477" s="3">
        <f>B477*0.035</f>
        <v/>
      </c>
      <c r="AH477" s="3">
        <f>B477*0.165</f>
        <v/>
      </c>
      <c r="AI477" s="3">
        <f>MAX(0,AE477-AF477-AH477)</f>
        <v/>
      </c>
      <c r="AJ477" s="3">
        <f>IF(AI477&lt;=490,0,IF(AI477&lt;=600,(AI477-490)*0.05,IF(AI477&lt;=730,5.5+(AI477-600)*0.10,IF(AI477&lt;=3896.67,18.5+(AI477-730)*0.175,IF(AI477&lt;=19896.67,572.67+(AI477-3896.67)*0.25,IF(AI477&lt;=50416.67,4572.67+(AI477-19896.67)*0.30,13728.67+(AI477-50416.67)*0.35))))))</f>
        <v/>
      </c>
      <c r="AK477" s="3" t="n"/>
      <c r="AL477" s="3" t="n"/>
      <c r="AM477" s="3" t="n"/>
      <c r="AN477" s="3" t="n"/>
      <c r="AO477" s="3" t="n"/>
      <c r="AP477" s="3">
        <f>SUM(AF477,AJ477,AK477,AL477,AM477,AN477,AO477,AG477,AH477)</f>
        <v/>
      </c>
      <c r="AQ477" s="3">
        <f>AE477-AP477</f>
        <v/>
      </c>
      <c r="AR477" s="3" t="n"/>
      <c r="AS477" s="3" t="n"/>
      <c r="AT477" s="3">
        <f>AR477-AS477</f>
        <v/>
      </c>
    </row>
    <row r="478">
      <c r="A478" s="2" t="n"/>
      <c r="B478" s="3" t="n"/>
      <c r="C478" s="4" t="n"/>
      <c r="D478" s="5" t="n"/>
      <c r="E478" s="3" t="n"/>
      <c r="F478" s="3">
        <f>IF(C478=0,0,IF(E478="",B478*D478/100,E478))</f>
        <v/>
      </c>
      <c r="G478" s="4" t="n"/>
      <c r="H478" s="5" t="n"/>
      <c r="I478" s="3" t="n"/>
      <c r="J478" s="3">
        <f>IF(G478=0,0,IF(I478="",B478*H478/100,I478))</f>
        <v/>
      </c>
      <c r="K478" s="4" t="n"/>
      <c r="L478" s="5" t="n"/>
      <c r="M478" s="3" t="n"/>
      <c r="N478" s="3">
        <f>IF(K478=0,0,IF(M478="",B478*L478/100,M478))</f>
        <v/>
      </c>
      <c r="O478" s="4" t="n"/>
      <c r="P478" s="5" t="n"/>
      <c r="Q478" s="3" t="n"/>
      <c r="R478" s="3">
        <f>IF(O478=0,0,IF(Q478="",B478*P478/100,Q478))</f>
        <v/>
      </c>
      <c r="S478" s="4" t="n"/>
      <c r="T478" s="5" t="n"/>
      <c r="U478" s="3" t="n"/>
      <c r="V478" s="3">
        <f>IF(S478=0,0,IF(U478="",B478*T478/100,U478))</f>
        <v/>
      </c>
      <c r="W478" s="4" t="n"/>
      <c r="X478" s="5" t="n"/>
      <c r="Y478" s="3" t="n"/>
      <c r="Z478" s="3">
        <f>IF(W478=0,0,IF(Y478="",B478*X478/100,Y478))</f>
        <v/>
      </c>
      <c r="AA478" s="3" t="n"/>
      <c r="AB478" s="3" t="n"/>
      <c r="AC478" s="3">
        <f>B478*0.035</f>
        <v/>
      </c>
      <c r="AD478" s="3">
        <f>B478*0.065</f>
        <v/>
      </c>
      <c r="AE478" s="3">
        <f>SUM(B478,F478,J478,N478,R478,V478,Z478,AA478,AB478,AC478,AD478)</f>
        <v/>
      </c>
      <c r="AF478" s="3">
        <f>B478*0.055</f>
        <v/>
      </c>
      <c r="AG478" s="3">
        <f>B478*0.035</f>
        <v/>
      </c>
      <c r="AH478" s="3">
        <f>B478*0.165</f>
        <v/>
      </c>
      <c r="AI478" s="3">
        <f>MAX(0,AE478-AF478-AH478)</f>
        <v/>
      </c>
      <c r="AJ478" s="3">
        <f>IF(AI478&lt;=490,0,IF(AI478&lt;=600,(AI478-490)*0.05,IF(AI478&lt;=730,5.5+(AI478-600)*0.10,IF(AI478&lt;=3896.67,18.5+(AI478-730)*0.175,IF(AI478&lt;=19896.67,572.67+(AI478-3896.67)*0.25,IF(AI478&lt;=50416.67,4572.67+(AI478-19896.67)*0.30,13728.67+(AI478-50416.67)*0.35))))))</f>
        <v/>
      </c>
      <c r="AK478" s="3" t="n"/>
      <c r="AL478" s="3" t="n"/>
      <c r="AM478" s="3" t="n"/>
      <c r="AN478" s="3" t="n"/>
      <c r="AO478" s="3" t="n"/>
      <c r="AP478" s="3">
        <f>SUM(AF478,AJ478,AK478,AL478,AM478,AN478,AO478,AG478,AH478)</f>
        <v/>
      </c>
      <c r="AQ478" s="3">
        <f>AE478-AP478</f>
        <v/>
      </c>
      <c r="AR478" s="3" t="n"/>
      <c r="AS478" s="3" t="n"/>
      <c r="AT478" s="3">
        <f>AR478-AS478</f>
        <v/>
      </c>
    </row>
    <row r="479">
      <c r="A479" s="2" t="n"/>
      <c r="B479" s="3" t="n"/>
      <c r="C479" s="4" t="n"/>
      <c r="D479" s="5" t="n"/>
      <c r="E479" s="3" t="n"/>
      <c r="F479" s="3">
        <f>IF(C479=0,0,IF(E479="",B479*D479/100,E479))</f>
        <v/>
      </c>
      <c r="G479" s="4" t="n"/>
      <c r="H479" s="5" t="n"/>
      <c r="I479" s="3" t="n"/>
      <c r="J479" s="3">
        <f>IF(G479=0,0,IF(I479="",B479*H479/100,I479))</f>
        <v/>
      </c>
      <c r="K479" s="4" t="n"/>
      <c r="L479" s="5" t="n"/>
      <c r="M479" s="3" t="n"/>
      <c r="N479" s="3">
        <f>IF(K479=0,0,IF(M479="",B479*L479/100,M479))</f>
        <v/>
      </c>
      <c r="O479" s="4" t="n"/>
      <c r="P479" s="5" t="n"/>
      <c r="Q479" s="3" t="n"/>
      <c r="R479" s="3">
        <f>IF(O479=0,0,IF(Q479="",B479*P479/100,Q479))</f>
        <v/>
      </c>
      <c r="S479" s="4" t="n"/>
      <c r="T479" s="5" t="n"/>
      <c r="U479" s="3" t="n"/>
      <c r="V479" s="3">
        <f>IF(S479=0,0,IF(U479="",B479*T479/100,U479))</f>
        <v/>
      </c>
      <c r="W479" s="4" t="n"/>
      <c r="X479" s="5" t="n"/>
      <c r="Y479" s="3" t="n"/>
      <c r="Z479" s="3">
        <f>IF(W479=0,0,IF(Y479="",B479*X479/100,Y479))</f>
        <v/>
      </c>
      <c r="AA479" s="3" t="n"/>
      <c r="AB479" s="3" t="n"/>
      <c r="AC479" s="3">
        <f>B479*0.035</f>
        <v/>
      </c>
      <c r="AD479" s="3">
        <f>B479*0.065</f>
        <v/>
      </c>
      <c r="AE479" s="3">
        <f>SUM(B479,F479,J479,N479,R479,V479,Z479,AA479,AB479,AC479,AD479)</f>
        <v/>
      </c>
      <c r="AF479" s="3">
        <f>B479*0.055</f>
        <v/>
      </c>
      <c r="AG479" s="3">
        <f>B479*0.035</f>
        <v/>
      </c>
      <c r="AH479" s="3">
        <f>B479*0.165</f>
        <v/>
      </c>
      <c r="AI479" s="3">
        <f>MAX(0,AE479-AF479-AH479)</f>
        <v/>
      </c>
      <c r="AJ479" s="3">
        <f>IF(AI479&lt;=490,0,IF(AI479&lt;=600,(AI479-490)*0.05,IF(AI479&lt;=730,5.5+(AI479-600)*0.10,IF(AI479&lt;=3896.67,18.5+(AI479-730)*0.175,IF(AI479&lt;=19896.67,572.67+(AI479-3896.67)*0.25,IF(AI479&lt;=50416.67,4572.67+(AI479-19896.67)*0.30,13728.67+(AI479-50416.67)*0.35))))))</f>
        <v/>
      </c>
      <c r="AK479" s="3" t="n"/>
      <c r="AL479" s="3" t="n"/>
      <c r="AM479" s="3" t="n"/>
      <c r="AN479" s="3" t="n"/>
      <c r="AO479" s="3" t="n"/>
      <c r="AP479" s="3">
        <f>SUM(AF479,AJ479,AK479,AL479,AM479,AN479,AO479,AG479,AH479)</f>
        <v/>
      </c>
      <c r="AQ479" s="3">
        <f>AE479-AP479</f>
        <v/>
      </c>
      <c r="AR479" s="3" t="n"/>
      <c r="AS479" s="3" t="n"/>
      <c r="AT479" s="3">
        <f>AR479-AS479</f>
        <v/>
      </c>
    </row>
    <row r="480">
      <c r="A480" s="2" t="n"/>
      <c r="B480" s="3" t="n"/>
      <c r="C480" s="4" t="n"/>
      <c r="D480" s="5" t="n"/>
      <c r="E480" s="3" t="n"/>
      <c r="F480" s="3">
        <f>IF(C480=0,0,IF(E480="",B480*D480/100,E480))</f>
        <v/>
      </c>
      <c r="G480" s="4" t="n"/>
      <c r="H480" s="5" t="n"/>
      <c r="I480" s="3" t="n"/>
      <c r="J480" s="3">
        <f>IF(G480=0,0,IF(I480="",B480*H480/100,I480))</f>
        <v/>
      </c>
      <c r="K480" s="4" t="n"/>
      <c r="L480" s="5" t="n"/>
      <c r="M480" s="3" t="n"/>
      <c r="N480" s="3">
        <f>IF(K480=0,0,IF(M480="",B480*L480/100,M480))</f>
        <v/>
      </c>
      <c r="O480" s="4" t="n"/>
      <c r="P480" s="5" t="n"/>
      <c r="Q480" s="3" t="n"/>
      <c r="R480" s="3">
        <f>IF(O480=0,0,IF(Q480="",B480*P480/100,Q480))</f>
        <v/>
      </c>
      <c r="S480" s="4" t="n"/>
      <c r="T480" s="5" t="n"/>
      <c r="U480" s="3" t="n"/>
      <c r="V480" s="3">
        <f>IF(S480=0,0,IF(U480="",B480*T480/100,U480))</f>
        <v/>
      </c>
      <c r="W480" s="4" t="n"/>
      <c r="X480" s="5" t="n"/>
      <c r="Y480" s="3" t="n"/>
      <c r="Z480" s="3">
        <f>IF(W480=0,0,IF(Y480="",B480*X480/100,Y480))</f>
        <v/>
      </c>
      <c r="AA480" s="3" t="n"/>
      <c r="AB480" s="3" t="n"/>
      <c r="AC480" s="3">
        <f>B480*0.035</f>
        <v/>
      </c>
      <c r="AD480" s="3">
        <f>B480*0.065</f>
        <v/>
      </c>
      <c r="AE480" s="3">
        <f>SUM(B480,F480,J480,N480,R480,V480,Z480,AA480,AB480,AC480,AD480)</f>
        <v/>
      </c>
      <c r="AF480" s="3">
        <f>B480*0.055</f>
        <v/>
      </c>
      <c r="AG480" s="3">
        <f>B480*0.035</f>
        <v/>
      </c>
      <c r="AH480" s="3">
        <f>B480*0.165</f>
        <v/>
      </c>
      <c r="AI480" s="3">
        <f>MAX(0,AE480-AF480-AH480)</f>
        <v/>
      </c>
      <c r="AJ480" s="3">
        <f>IF(AI480&lt;=490,0,IF(AI480&lt;=600,(AI480-490)*0.05,IF(AI480&lt;=730,5.5+(AI480-600)*0.10,IF(AI480&lt;=3896.67,18.5+(AI480-730)*0.175,IF(AI480&lt;=19896.67,572.67+(AI480-3896.67)*0.25,IF(AI480&lt;=50416.67,4572.67+(AI480-19896.67)*0.30,13728.67+(AI480-50416.67)*0.35))))))</f>
        <v/>
      </c>
      <c r="AK480" s="3" t="n"/>
      <c r="AL480" s="3" t="n"/>
      <c r="AM480" s="3" t="n"/>
      <c r="AN480" s="3" t="n"/>
      <c r="AO480" s="3" t="n"/>
      <c r="AP480" s="3">
        <f>SUM(AF480,AJ480,AK480,AL480,AM480,AN480,AO480,AG480,AH480)</f>
        <v/>
      </c>
      <c r="AQ480" s="3">
        <f>AE480-AP480</f>
        <v/>
      </c>
      <c r="AR480" s="3" t="n"/>
      <c r="AS480" s="3" t="n"/>
      <c r="AT480" s="3">
        <f>AR480-AS480</f>
        <v/>
      </c>
    </row>
    <row r="481">
      <c r="A481" s="2" t="n"/>
      <c r="B481" s="3" t="n"/>
      <c r="C481" s="4" t="n"/>
      <c r="D481" s="5" t="n"/>
      <c r="E481" s="3" t="n"/>
      <c r="F481" s="3">
        <f>IF(C481=0,0,IF(E481="",B481*D481/100,E481))</f>
        <v/>
      </c>
      <c r="G481" s="4" t="n"/>
      <c r="H481" s="5" t="n"/>
      <c r="I481" s="3" t="n"/>
      <c r="J481" s="3">
        <f>IF(G481=0,0,IF(I481="",B481*H481/100,I481))</f>
        <v/>
      </c>
      <c r="K481" s="4" t="n"/>
      <c r="L481" s="5" t="n"/>
      <c r="M481" s="3" t="n"/>
      <c r="N481" s="3">
        <f>IF(K481=0,0,IF(M481="",B481*L481/100,M481))</f>
        <v/>
      </c>
      <c r="O481" s="4" t="n"/>
      <c r="P481" s="5" t="n"/>
      <c r="Q481" s="3" t="n"/>
      <c r="R481" s="3">
        <f>IF(O481=0,0,IF(Q481="",B481*P481/100,Q481))</f>
        <v/>
      </c>
      <c r="S481" s="4" t="n"/>
      <c r="T481" s="5" t="n"/>
      <c r="U481" s="3" t="n"/>
      <c r="V481" s="3">
        <f>IF(S481=0,0,IF(U481="",B481*T481/100,U481))</f>
        <v/>
      </c>
      <c r="W481" s="4" t="n"/>
      <c r="X481" s="5" t="n"/>
      <c r="Y481" s="3" t="n"/>
      <c r="Z481" s="3">
        <f>IF(W481=0,0,IF(Y481="",B481*X481/100,Y481))</f>
        <v/>
      </c>
      <c r="AA481" s="3" t="n"/>
      <c r="AB481" s="3" t="n"/>
      <c r="AC481" s="3">
        <f>B481*0.035</f>
        <v/>
      </c>
      <c r="AD481" s="3">
        <f>B481*0.065</f>
        <v/>
      </c>
      <c r="AE481" s="3">
        <f>SUM(B481,F481,J481,N481,R481,V481,Z481,AA481,AB481,AC481,AD481)</f>
        <v/>
      </c>
      <c r="AF481" s="3">
        <f>B481*0.055</f>
        <v/>
      </c>
      <c r="AG481" s="3">
        <f>B481*0.035</f>
        <v/>
      </c>
      <c r="AH481" s="3">
        <f>B481*0.165</f>
        <v/>
      </c>
      <c r="AI481" s="3">
        <f>MAX(0,AE481-AF481-AH481)</f>
        <v/>
      </c>
      <c r="AJ481" s="3">
        <f>IF(AI481&lt;=490,0,IF(AI481&lt;=600,(AI481-490)*0.05,IF(AI481&lt;=730,5.5+(AI481-600)*0.10,IF(AI481&lt;=3896.67,18.5+(AI481-730)*0.175,IF(AI481&lt;=19896.67,572.67+(AI481-3896.67)*0.25,IF(AI481&lt;=50416.67,4572.67+(AI481-19896.67)*0.30,13728.67+(AI481-50416.67)*0.35))))))</f>
        <v/>
      </c>
      <c r="AK481" s="3" t="n"/>
      <c r="AL481" s="3" t="n"/>
      <c r="AM481" s="3" t="n"/>
      <c r="AN481" s="3" t="n"/>
      <c r="AO481" s="3" t="n"/>
      <c r="AP481" s="3">
        <f>SUM(AF481,AJ481,AK481,AL481,AM481,AN481,AO481,AG481,AH481)</f>
        <v/>
      </c>
      <c r="AQ481" s="3">
        <f>AE481-AP481</f>
        <v/>
      </c>
      <c r="AR481" s="3" t="n"/>
      <c r="AS481" s="3" t="n"/>
      <c r="AT481" s="3">
        <f>AR481-AS481</f>
        <v/>
      </c>
    </row>
    <row r="482">
      <c r="A482" s="2" t="n"/>
      <c r="B482" s="3" t="n"/>
      <c r="C482" s="4" t="n"/>
      <c r="D482" s="5" t="n"/>
      <c r="E482" s="3" t="n"/>
      <c r="F482" s="3">
        <f>IF(C482=0,0,IF(E482="",B482*D482/100,E482))</f>
        <v/>
      </c>
      <c r="G482" s="4" t="n"/>
      <c r="H482" s="5" t="n"/>
      <c r="I482" s="3" t="n"/>
      <c r="J482" s="3">
        <f>IF(G482=0,0,IF(I482="",B482*H482/100,I482))</f>
        <v/>
      </c>
      <c r="K482" s="4" t="n"/>
      <c r="L482" s="5" t="n"/>
      <c r="M482" s="3" t="n"/>
      <c r="N482" s="3">
        <f>IF(K482=0,0,IF(M482="",B482*L482/100,M482))</f>
        <v/>
      </c>
      <c r="O482" s="4" t="n"/>
      <c r="P482" s="5" t="n"/>
      <c r="Q482" s="3" t="n"/>
      <c r="R482" s="3">
        <f>IF(O482=0,0,IF(Q482="",B482*P482/100,Q482))</f>
        <v/>
      </c>
      <c r="S482" s="4" t="n"/>
      <c r="T482" s="5" t="n"/>
      <c r="U482" s="3" t="n"/>
      <c r="V482" s="3">
        <f>IF(S482=0,0,IF(U482="",B482*T482/100,U482))</f>
        <v/>
      </c>
      <c r="W482" s="4" t="n"/>
      <c r="X482" s="5" t="n"/>
      <c r="Y482" s="3" t="n"/>
      <c r="Z482" s="3">
        <f>IF(W482=0,0,IF(Y482="",B482*X482/100,Y482))</f>
        <v/>
      </c>
      <c r="AA482" s="3" t="n"/>
      <c r="AB482" s="3" t="n"/>
      <c r="AC482" s="3">
        <f>B482*0.035</f>
        <v/>
      </c>
      <c r="AD482" s="3">
        <f>B482*0.065</f>
        <v/>
      </c>
      <c r="AE482" s="3">
        <f>SUM(B482,F482,J482,N482,R482,V482,Z482,AA482,AB482,AC482,AD482)</f>
        <v/>
      </c>
      <c r="AF482" s="3">
        <f>B482*0.055</f>
        <v/>
      </c>
      <c r="AG482" s="3">
        <f>B482*0.035</f>
        <v/>
      </c>
      <c r="AH482" s="3">
        <f>B482*0.165</f>
        <v/>
      </c>
      <c r="AI482" s="3">
        <f>MAX(0,AE482-AF482-AH482)</f>
        <v/>
      </c>
      <c r="AJ482" s="3">
        <f>IF(AI482&lt;=490,0,IF(AI482&lt;=600,(AI482-490)*0.05,IF(AI482&lt;=730,5.5+(AI482-600)*0.10,IF(AI482&lt;=3896.67,18.5+(AI482-730)*0.175,IF(AI482&lt;=19896.67,572.67+(AI482-3896.67)*0.25,IF(AI482&lt;=50416.67,4572.67+(AI482-19896.67)*0.30,13728.67+(AI482-50416.67)*0.35))))))</f>
        <v/>
      </c>
      <c r="AK482" s="3" t="n"/>
      <c r="AL482" s="3" t="n"/>
      <c r="AM482" s="3" t="n"/>
      <c r="AN482" s="3" t="n"/>
      <c r="AO482" s="3" t="n"/>
      <c r="AP482" s="3">
        <f>SUM(AF482,AJ482,AK482,AL482,AM482,AN482,AO482,AG482,AH482)</f>
        <v/>
      </c>
      <c r="AQ482" s="3">
        <f>AE482-AP482</f>
        <v/>
      </c>
      <c r="AR482" s="3" t="n"/>
      <c r="AS482" s="3" t="n"/>
      <c r="AT482" s="3">
        <f>AR482-AS482</f>
        <v/>
      </c>
    </row>
    <row r="483">
      <c r="A483" s="2" t="n"/>
      <c r="B483" s="3" t="n"/>
      <c r="C483" s="4" t="n"/>
      <c r="D483" s="5" t="n"/>
      <c r="E483" s="3" t="n"/>
      <c r="F483" s="3">
        <f>IF(C483=0,0,IF(E483="",B483*D483/100,E483))</f>
        <v/>
      </c>
      <c r="G483" s="4" t="n"/>
      <c r="H483" s="5" t="n"/>
      <c r="I483" s="3" t="n"/>
      <c r="J483" s="3">
        <f>IF(G483=0,0,IF(I483="",B483*H483/100,I483))</f>
        <v/>
      </c>
      <c r="K483" s="4" t="n"/>
      <c r="L483" s="5" t="n"/>
      <c r="M483" s="3" t="n"/>
      <c r="N483" s="3">
        <f>IF(K483=0,0,IF(M483="",B483*L483/100,M483))</f>
        <v/>
      </c>
      <c r="O483" s="4" t="n"/>
      <c r="P483" s="5" t="n"/>
      <c r="Q483" s="3" t="n"/>
      <c r="R483" s="3">
        <f>IF(O483=0,0,IF(Q483="",B483*P483/100,Q483))</f>
        <v/>
      </c>
      <c r="S483" s="4" t="n"/>
      <c r="T483" s="5" t="n"/>
      <c r="U483" s="3" t="n"/>
      <c r="V483" s="3">
        <f>IF(S483=0,0,IF(U483="",B483*T483/100,U483))</f>
        <v/>
      </c>
      <c r="W483" s="4" t="n"/>
      <c r="X483" s="5" t="n"/>
      <c r="Y483" s="3" t="n"/>
      <c r="Z483" s="3">
        <f>IF(W483=0,0,IF(Y483="",B483*X483/100,Y483))</f>
        <v/>
      </c>
      <c r="AA483" s="3" t="n"/>
      <c r="AB483" s="3" t="n"/>
      <c r="AC483" s="3">
        <f>B483*0.035</f>
        <v/>
      </c>
      <c r="AD483" s="3">
        <f>B483*0.065</f>
        <v/>
      </c>
      <c r="AE483" s="3">
        <f>SUM(B483,F483,J483,N483,R483,V483,Z483,AA483,AB483,AC483,AD483)</f>
        <v/>
      </c>
      <c r="AF483" s="3">
        <f>B483*0.055</f>
        <v/>
      </c>
      <c r="AG483" s="3">
        <f>B483*0.035</f>
        <v/>
      </c>
      <c r="AH483" s="3">
        <f>B483*0.165</f>
        <v/>
      </c>
      <c r="AI483" s="3">
        <f>MAX(0,AE483-AF483-AH483)</f>
        <v/>
      </c>
      <c r="AJ483" s="3">
        <f>IF(AI483&lt;=490,0,IF(AI483&lt;=600,(AI483-490)*0.05,IF(AI483&lt;=730,5.5+(AI483-600)*0.10,IF(AI483&lt;=3896.67,18.5+(AI483-730)*0.175,IF(AI483&lt;=19896.67,572.67+(AI483-3896.67)*0.25,IF(AI483&lt;=50416.67,4572.67+(AI483-19896.67)*0.30,13728.67+(AI483-50416.67)*0.35))))))</f>
        <v/>
      </c>
      <c r="AK483" s="3" t="n"/>
      <c r="AL483" s="3" t="n"/>
      <c r="AM483" s="3" t="n"/>
      <c r="AN483" s="3" t="n"/>
      <c r="AO483" s="3" t="n"/>
      <c r="AP483" s="3">
        <f>SUM(AF483,AJ483,AK483,AL483,AM483,AN483,AO483,AG483,AH483)</f>
        <v/>
      </c>
      <c r="AQ483" s="3">
        <f>AE483-AP483</f>
        <v/>
      </c>
      <c r="AR483" s="3" t="n"/>
      <c r="AS483" s="3" t="n"/>
      <c r="AT483" s="3">
        <f>AR483-AS483</f>
        <v/>
      </c>
    </row>
    <row r="484">
      <c r="A484" s="2" t="n"/>
      <c r="B484" s="3" t="n"/>
      <c r="C484" s="4" t="n"/>
      <c r="D484" s="5" t="n"/>
      <c r="E484" s="3" t="n"/>
      <c r="F484" s="3">
        <f>IF(C484=0,0,IF(E484="",B484*D484/100,E484))</f>
        <v/>
      </c>
      <c r="G484" s="4" t="n"/>
      <c r="H484" s="5" t="n"/>
      <c r="I484" s="3" t="n"/>
      <c r="J484" s="3">
        <f>IF(G484=0,0,IF(I484="",B484*H484/100,I484))</f>
        <v/>
      </c>
      <c r="K484" s="4" t="n"/>
      <c r="L484" s="5" t="n"/>
      <c r="M484" s="3" t="n"/>
      <c r="N484" s="3">
        <f>IF(K484=0,0,IF(M484="",B484*L484/100,M484))</f>
        <v/>
      </c>
      <c r="O484" s="4" t="n"/>
      <c r="P484" s="5" t="n"/>
      <c r="Q484" s="3" t="n"/>
      <c r="R484" s="3">
        <f>IF(O484=0,0,IF(Q484="",B484*P484/100,Q484))</f>
        <v/>
      </c>
      <c r="S484" s="4" t="n"/>
      <c r="T484" s="5" t="n"/>
      <c r="U484" s="3" t="n"/>
      <c r="V484" s="3">
        <f>IF(S484=0,0,IF(U484="",B484*T484/100,U484))</f>
        <v/>
      </c>
      <c r="W484" s="4" t="n"/>
      <c r="X484" s="5" t="n"/>
      <c r="Y484" s="3" t="n"/>
      <c r="Z484" s="3">
        <f>IF(W484=0,0,IF(Y484="",B484*X484/100,Y484))</f>
        <v/>
      </c>
      <c r="AA484" s="3" t="n"/>
      <c r="AB484" s="3" t="n"/>
      <c r="AC484" s="3">
        <f>B484*0.035</f>
        <v/>
      </c>
      <c r="AD484" s="3">
        <f>B484*0.065</f>
        <v/>
      </c>
      <c r="AE484" s="3">
        <f>SUM(B484,F484,J484,N484,R484,V484,Z484,AA484,AB484,AC484,AD484)</f>
        <v/>
      </c>
      <c r="AF484" s="3">
        <f>B484*0.055</f>
        <v/>
      </c>
      <c r="AG484" s="3">
        <f>B484*0.035</f>
        <v/>
      </c>
      <c r="AH484" s="3">
        <f>B484*0.165</f>
        <v/>
      </c>
      <c r="AI484" s="3">
        <f>MAX(0,AE484-AF484-AH484)</f>
        <v/>
      </c>
      <c r="AJ484" s="3">
        <f>IF(AI484&lt;=490,0,IF(AI484&lt;=600,(AI484-490)*0.05,IF(AI484&lt;=730,5.5+(AI484-600)*0.10,IF(AI484&lt;=3896.67,18.5+(AI484-730)*0.175,IF(AI484&lt;=19896.67,572.67+(AI484-3896.67)*0.25,IF(AI484&lt;=50416.67,4572.67+(AI484-19896.67)*0.30,13728.67+(AI484-50416.67)*0.35))))))</f>
        <v/>
      </c>
      <c r="AK484" s="3" t="n"/>
      <c r="AL484" s="3" t="n"/>
      <c r="AM484" s="3" t="n"/>
      <c r="AN484" s="3" t="n"/>
      <c r="AO484" s="3" t="n"/>
      <c r="AP484" s="3">
        <f>SUM(AF484,AJ484,AK484,AL484,AM484,AN484,AO484,AG484,AH484)</f>
        <v/>
      </c>
      <c r="AQ484" s="3">
        <f>AE484-AP484</f>
        <v/>
      </c>
      <c r="AR484" s="3" t="n"/>
      <c r="AS484" s="3" t="n"/>
      <c r="AT484" s="3">
        <f>AR484-AS484</f>
        <v/>
      </c>
    </row>
    <row r="485">
      <c r="A485" s="2" t="n"/>
      <c r="B485" s="3" t="n"/>
      <c r="C485" s="4" t="n"/>
      <c r="D485" s="5" t="n"/>
      <c r="E485" s="3" t="n"/>
      <c r="F485" s="3">
        <f>IF(C485=0,0,IF(E485="",B485*D485/100,E485))</f>
        <v/>
      </c>
      <c r="G485" s="4" t="n"/>
      <c r="H485" s="5" t="n"/>
      <c r="I485" s="3" t="n"/>
      <c r="J485" s="3">
        <f>IF(G485=0,0,IF(I485="",B485*H485/100,I485))</f>
        <v/>
      </c>
      <c r="K485" s="4" t="n"/>
      <c r="L485" s="5" t="n"/>
      <c r="M485" s="3" t="n"/>
      <c r="N485" s="3">
        <f>IF(K485=0,0,IF(M485="",B485*L485/100,M485))</f>
        <v/>
      </c>
      <c r="O485" s="4" t="n"/>
      <c r="P485" s="5" t="n"/>
      <c r="Q485" s="3" t="n"/>
      <c r="R485" s="3">
        <f>IF(O485=0,0,IF(Q485="",B485*P485/100,Q485))</f>
        <v/>
      </c>
      <c r="S485" s="4" t="n"/>
      <c r="T485" s="5" t="n"/>
      <c r="U485" s="3" t="n"/>
      <c r="V485" s="3">
        <f>IF(S485=0,0,IF(U485="",B485*T485/100,U485))</f>
        <v/>
      </c>
      <c r="W485" s="4" t="n"/>
      <c r="X485" s="5" t="n"/>
      <c r="Y485" s="3" t="n"/>
      <c r="Z485" s="3">
        <f>IF(W485=0,0,IF(Y485="",B485*X485/100,Y485))</f>
        <v/>
      </c>
      <c r="AA485" s="3" t="n"/>
      <c r="AB485" s="3" t="n"/>
      <c r="AC485" s="3">
        <f>B485*0.035</f>
        <v/>
      </c>
      <c r="AD485" s="3">
        <f>B485*0.065</f>
        <v/>
      </c>
      <c r="AE485" s="3">
        <f>SUM(B485,F485,J485,N485,R485,V485,Z485,AA485,AB485,AC485,AD485)</f>
        <v/>
      </c>
      <c r="AF485" s="3">
        <f>B485*0.055</f>
        <v/>
      </c>
      <c r="AG485" s="3">
        <f>B485*0.035</f>
        <v/>
      </c>
      <c r="AH485" s="3">
        <f>B485*0.165</f>
        <v/>
      </c>
      <c r="AI485" s="3">
        <f>MAX(0,AE485-AF485-AH485)</f>
        <v/>
      </c>
      <c r="AJ485" s="3">
        <f>IF(AI485&lt;=490,0,IF(AI485&lt;=600,(AI485-490)*0.05,IF(AI485&lt;=730,5.5+(AI485-600)*0.10,IF(AI485&lt;=3896.67,18.5+(AI485-730)*0.175,IF(AI485&lt;=19896.67,572.67+(AI485-3896.67)*0.25,IF(AI485&lt;=50416.67,4572.67+(AI485-19896.67)*0.30,13728.67+(AI485-50416.67)*0.35))))))</f>
        <v/>
      </c>
      <c r="AK485" s="3" t="n"/>
      <c r="AL485" s="3" t="n"/>
      <c r="AM485" s="3" t="n"/>
      <c r="AN485" s="3" t="n"/>
      <c r="AO485" s="3" t="n"/>
      <c r="AP485" s="3">
        <f>SUM(AF485,AJ485,AK485,AL485,AM485,AN485,AO485,AG485,AH485)</f>
        <v/>
      </c>
      <c r="AQ485" s="3">
        <f>AE485-AP485</f>
        <v/>
      </c>
      <c r="AR485" s="3" t="n"/>
      <c r="AS485" s="3" t="n"/>
      <c r="AT485" s="3">
        <f>AR485-AS485</f>
        <v/>
      </c>
    </row>
    <row r="486">
      <c r="A486" s="2" t="n"/>
      <c r="B486" s="3" t="n"/>
      <c r="C486" s="4" t="n"/>
      <c r="D486" s="5" t="n"/>
      <c r="E486" s="3" t="n"/>
      <c r="F486" s="3">
        <f>IF(C486=0,0,IF(E486="",B486*D486/100,E486))</f>
        <v/>
      </c>
      <c r="G486" s="4" t="n"/>
      <c r="H486" s="5" t="n"/>
      <c r="I486" s="3" t="n"/>
      <c r="J486" s="3">
        <f>IF(G486=0,0,IF(I486="",B486*H486/100,I486))</f>
        <v/>
      </c>
      <c r="K486" s="4" t="n"/>
      <c r="L486" s="5" t="n"/>
      <c r="M486" s="3" t="n"/>
      <c r="N486" s="3">
        <f>IF(K486=0,0,IF(M486="",B486*L486/100,M486))</f>
        <v/>
      </c>
      <c r="O486" s="4" t="n"/>
      <c r="P486" s="5" t="n"/>
      <c r="Q486" s="3" t="n"/>
      <c r="R486" s="3">
        <f>IF(O486=0,0,IF(Q486="",B486*P486/100,Q486))</f>
        <v/>
      </c>
      <c r="S486" s="4" t="n"/>
      <c r="T486" s="5" t="n"/>
      <c r="U486" s="3" t="n"/>
      <c r="V486" s="3">
        <f>IF(S486=0,0,IF(U486="",B486*T486/100,U486))</f>
        <v/>
      </c>
      <c r="W486" s="4" t="n"/>
      <c r="X486" s="5" t="n"/>
      <c r="Y486" s="3" t="n"/>
      <c r="Z486" s="3">
        <f>IF(W486=0,0,IF(Y486="",B486*X486/100,Y486))</f>
        <v/>
      </c>
      <c r="AA486" s="3" t="n"/>
      <c r="AB486" s="3" t="n"/>
      <c r="AC486" s="3">
        <f>B486*0.035</f>
        <v/>
      </c>
      <c r="AD486" s="3">
        <f>B486*0.065</f>
        <v/>
      </c>
      <c r="AE486" s="3">
        <f>SUM(B486,F486,J486,N486,R486,V486,Z486,AA486,AB486,AC486,AD486)</f>
        <v/>
      </c>
      <c r="AF486" s="3">
        <f>B486*0.055</f>
        <v/>
      </c>
      <c r="AG486" s="3">
        <f>B486*0.035</f>
        <v/>
      </c>
      <c r="AH486" s="3">
        <f>B486*0.165</f>
        <v/>
      </c>
      <c r="AI486" s="3">
        <f>MAX(0,AE486-AF486-AH486)</f>
        <v/>
      </c>
      <c r="AJ486" s="3">
        <f>IF(AI486&lt;=490,0,IF(AI486&lt;=600,(AI486-490)*0.05,IF(AI486&lt;=730,5.5+(AI486-600)*0.10,IF(AI486&lt;=3896.67,18.5+(AI486-730)*0.175,IF(AI486&lt;=19896.67,572.67+(AI486-3896.67)*0.25,IF(AI486&lt;=50416.67,4572.67+(AI486-19896.67)*0.30,13728.67+(AI486-50416.67)*0.35))))))</f>
        <v/>
      </c>
      <c r="AK486" s="3" t="n"/>
      <c r="AL486" s="3" t="n"/>
      <c r="AM486" s="3" t="n"/>
      <c r="AN486" s="3" t="n"/>
      <c r="AO486" s="3" t="n"/>
      <c r="AP486" s="3">
        <f>SUM(AF486,AJ486,AK486,AL486,AM486,AN486,AO486,AG486,AH486)</f>
        <v/>
      </c>
      <c r="AQ486" s="3">
        <f>AE486-AP486</f>
        <v/>
      </c>
      <c r="AR486" s="3" t="n"/>
      <c r="AS486" s="3" t="n"/>
      <c r="AT486" s="3">
        <f>AR486-AS486</f>
        <v/>
      </c>
    </row>
    <row r="487">
      <c r="A487" s="2" t="n"/>
      <c r="B487" s="3" t="n"/>
      <c r="C487" s="4" t="n"/>
      <c r="D487" s="5" t="n"/>
      <c r="E487" s="3" t="n"/>
      <c r="F487" s="3">
        <f>IF(C487=0,0,IF(E487="",B487*D487/100,E487))</f>
        <v/>
      </c>
      <c r="G487" s="4" t="n"/>
      <c r="H487" s="5" t="n"/>
      <c r="I487" s="3" t="n"/>
      <c r="J487" s="3">
        <f>IF(G487=0,0,IF(I487="",B487*H487/100,I487))</f>
        <v/>
      </c>
      <c r="K487" s="4" t="n"/>
      <c r="L487" s="5" t="n"/>
      <c r="M487" s="3" t="n"/>
      <c r="N487" s="3">
        <f>IF(K487=0,0,IF(M487="",B487*L487/100,M487))</f>
        <v/>
      </c>
      <c r="O487" s="4" t="n"/>
      <c r="P487" s="5" t="n"/>
      <c r="Q487" s="3" t="n"/>
      <c r="R487" s="3">
        <f>IF(O487=0,0,IF(Q487="",B487*P487/100,Q487))</f>
        <v/>
      </c>
      <c r="S487" s="4" t="n"/>
      <c r="T487" s="5" t="n"/>
      <c r="U487" s="3" t="n"/>
      <c r="V487" s="3">
        <f>IF(S487=0,0,IF(U487="",B487*T487/100,U487))</f>
        <v/>
      </c>
      <c r="W487" s="4" t="n"/>
      <c r="X487" s="5" t="n"/>
      <c r="Y487" s="3" t="n"/>
      <c r="Z487" s="3">
        <f>IF(W487=0,0,IF(Y487="",B487*X487/100,Y487))</f>
        <v/>
      </c>
      <c r="AA487" s="3" t="n"/>
      <c r="AB487" s="3" t="n"/>
      <c r="AC487" s="3">
        <f>B487*0.035</f>
        <v/>
      </c>
      <c r="AD487" s="3">
        <f>B487*0.065</f>
        <v/>
      </c>
      <c r="AE487" s="3">
        <f>SUM(B487,F487,J487,N487,R487,V487,Z487,AA487,AB487,AC487,AD487)</f>
        <v/>
      </c>
      <c r="AF487" s="3">
        <f>B487*0.055</f>
        <v/>
      </c>
      <c r="AG487" s="3">
        <f>B487*0.035</f>
        <v/>
      </c>
      <c r="AH487" s="3">
        <f>B487*0.165</f>
        <v/>
      </c>
      <c r="AI487" s="3">
        <f>MAX(0,AE487-AF487-AH487)</f>
        <v/>
      </c>
      <c r="AJ487" s="3">
        <f>IF(AI487&lt;=490,0,IF(AI487&lt;=600,(AI487-490)*0.05,IF(AI487&lt;=730,5.5+(AI487-600)*0.10,IF(AI487&lt;=3896.67,18.5+(AI487-730)*0.175,IF(AI487&lt;=19896.67,572.67+(AI487-3896.67)*0.25,IF(AI487&lt;=50416.67,4572.67+(AI487-19896.67)*0.30,13728.67+(AI487-50416.67)*0.35))))))</f>
        <v/>
      </c>
      <c r="AK487" s="3" t="n"/>
      <c r="AL487" s="3" t="n"/>
      <c r="AM487" s="3" t="n"/>
      <c r="AN487" s="3" t="n"/>
      <c r="AO487" s="3" t="n"/>
      <c r="AP487" s="3">
        <f>SUM(AF487,AJ487,AK487,AL487,AM487,AN487,AO487,AG487,AH487)</f>
        <v/>
      </c>
      <c r="AQ487" s="3">
        <f>AE487-AP487</f>
        <v/>
      </c>
      <c r="AR487" s="3" t="n"/>
      <c r="AS487" s="3" t="n"/>
      <c r="AT487" s="3">
        <f>AR487-AS487</f>
        <v/>
      </c>
    </row>
    <row r="488">
      <c r="A488" s="2" t="n"/>
      <c r="B488" s="3" t="n"/>
      <c r="C488" s="4" t="n"/>
      <c r="D488" s="5" t="n"/>
      <c r="E488" s="3" t="n"/>
      <c r="F488" s="3">
        <f>IF(C488=0,0,IF(E488="",B488*D488/100,E488))</f>
        <v/>
      </c>
      <c r="G488" s="4" t="n"/>
      <c r="H488" s="5" t="n"/>
      <c r="I488" s="3" t="n"/>
      <c r="J488" s="3">
        <f>IF(G488=0,0,IF(I488="",B488*H488/100,I488))</f>
        <v/>
      </c>
      <c r="K488" s="4" t="n"/>
      <c r="L488" s="5" t="n"/>
      <c r="M488" s="3" t="n"/>
      <c r="N488" s="3">
        <f>IF(K488=0,0,IF(M488="",B488*L488/100,M488))</f>
        <v/>
      </c>
      <c r="O488" s="4" t="n"/>
      <c r="P488" s="5" t="n"/>
      <c r="Q488" s="3" t="n"/>
      <c r="R488" s="3">
        <f>IF(O488=0,0,IF(Q488="",B488*P488/100,Q488))</f>
        <v/>
      </c>
      <c r="S488" s="4" t="n"/>
      <c r="T488" s="5" t="n"/>
      <c r="U488" s="3" t="n"/>
      <c r="V488" s="3">
        <f>IF(S488=0,0,IF(U488="",B488*T488/100,U488))</f>
        <v/>
      </c>
      <c r="W488" s="4" t="n"/>
      <c r="X488" s="5" t="n"/>
      <c r="Y488" s="3" t="n"/>
      <c r="Z488" s="3">
        <f>IF(W488=0,0,IF(Y488="",B488*X488/100,Y488))</f>
        <v/>
      </c>
      <c r="AA488" s="3" t="n"/>
      <c r="AB488" s="3" t="n"/>
      <c r="AC488" s="3">
        <f>B488*0.035</f>
        <v/>
      </c>
      <c r="AD488" s="3">
        <f>B488*0.065</f>
        <v/>
      </c>
      <c r="AE488" s="3">
        <f>SUM(B488,F488,J488,N488,R488,V488,Z488,AA488,AB488,AC488,AD488)</f>
        <v/>
      </c>
      <c r="AF488" s="3">
        <f>B488*0.055</f>
        <v/>
      </c>
      <c r="AG488" s="3">
        <f>B488*0.035</f>
        <v/>
      </c>
      <c r="AH488" s="3">
        <f>B488*0.165</f>
        <v/>
      </c>
      <c r="AI488" s="3">
        <f>MAX(0,AE488-AF488-AH488)</f>
        <v/>
      </c>
      <c r="AJ488" s="3">
        <f>IF(AI488&lt;=490,0,IF(AI488&lt;=600,(AI488-490)*0.05,IF(AI488&lt;=730,5.5+(AI488-600)*0.10,IF(AI488&lt;=3896.67,18.5+(AI488-730)*0.175,IF(AI488&lt;=19896.67,572.67+(AI488-3896.67)*0.25,IF(AI488&lt;=50416.67,4572.67+(AI488-19896.67)*0.30,13728.67+(AI488-50416.67)*0.35))))))</f>
        <v/>
      </c>
      <c r="AK488" s="3" t="n"/>
      <c r="AL488" s="3" t="n"/>
      <c r="AM488" s="3" t="n"/>
      <c r="AN488" s="3" t="n"/>
      <c r="AO488" s="3" t="n"/>
      <c r="AP488" s="3">
        <f>SUM(AF488,AJ488,AK488,AL488,AM488,AN488,AO488,AG488,AH488)</f>
        <v/>
      </c>
      <c r="AQ488" s="3">
        <f>AE488-AP488</f>
        <v/>
      </c>
      <c r="AR488" s="3" t="n"/>
      <c r="AS488" s="3" t="n"/>
      <c r="AT488" s="3">
        <f>AR488-AS488</f>
        <v/>
      </c>
    </row>
    <row r="489">
      <c r="A489" s="2" t="n"/>
      <c r="B489" s="3" t="n"/>
      <c r="C489" s="4" t="n"/>
      <c r="D489" s="5" t="n"/>
      <c r="E489" s="3" t="n"/>
      <c r="F489" s="3">
        <f>IF(C489=0,0,IF(E489="",B489*D489/100,E489))</f>
        <v/>
      </c>
      <c r="G489" s="4" t="n"/>
      <c r="H489" s="5" t="n"/>
      <c r="I489" s="3" t="n"/>
      <c r="J489" s="3">
        <f>IF(G489=0,0,IF(I489="",B489*H489/100,I489))</f>
        <v/>
      </c>
      <c r="K489" s="4" t="n"/>
      <c r="L489" s="5" t="n"/>
      <c r="M489" s="3" t="n"/>
      <c r="N489" s="3">
        <f>IF(K489=0,0,IF(M489="",B489*L489/100,M489))</f>
        <v/>
      </c>
      <c r="O489" s="4" t="n"/>
      <c r="P489" s="5" t="n"/>
      <c r="Q489" s="3" t="n"/>
      <c r="R489" s="3">
        <f>IF(O489=0,0,IF(Q489="",B489*P489/100,Q489))</f>
        <v/>
      </c>
      <c r="S489" s="4" t="n"/>
      <c r="T489" s="5" t="n"/>
      <c r="U489" s="3" t="n"/>
      <c r="V489" s="3">
        <f>IF(S489=0,0,IF(U489="",B489*T489/100,U489))</f>
        <v/>
      </c>
      <c r="W489" s="4" t="n"/>
      <c r="X489" s="5" t="n"/>
      <c r="Y489" s="3" t="n"/>
      <c r="Z489" s="3">
        <f>IF(W489=0,0,IF(Y489="",B489*X489/100,Y489))</f>
        <v/>
      </c>
      <c r="AA489" s="3" t="n"/>
      <c r="AB489" s="3" t="n"/>
      <c r="AC489" s="3">
        <f>B489*0.035</f>
        <v/>
      </c>
      <c r="AD489" s="3">
        <f>B489*0.065</f>
        <v/>
      </c>
      <c r="AE489" s="3">
        <f>SUM(B489,F489,J489,N489,R489,V489,Z489,AA489,AB489,AC489,AD489)</f>
        <v/>
      </c>
      <c r="AF489" s="3">
        <f>B489*0.055</f>
        <v/>
      </c>
      <c r="AG489" s="3">
        <f>B489*0.035</f>
        <v/>
      </c>
      <c r="AH489" s="3">
        <f>B489*0.165</f>
        <v/>
      </c>
      <c r="AI489" s="3">
        <f>MAX(0,AE489-AF489-AH489)</f>
        <v/>
      </c>
      <c r="AJ489" s="3">
        <f>IF(AI489&lt;=490,0,IF(AI489&lt;=600,(AI489-490)*0.05,IF(AI489&lt;=730,5.5+(AI489-600)*0.10,IF(AI489&lt;=3896.67,18.5+(AI489-730)*0.175,IF(AI489&lt;=19896.67,572.67+(AI489-3896.67)*0.25,IF(AI489&lt;=50416.67,4572.67+(AI489-19896.67)*0.30,13728.67+(AI489-50416.67)*0.35))))))</f>
        <v/>
      </c>
      <c r="AK489" s="3" t="n"/>
      <c r="AL489" s="3" t="n"/>
      <c r="AM489" s="3" t="n"/>
      <c r="AN489" s="3" t="n"/>
      <c r="AO489" s="3" t="n"/>
      <c r="AP489" s="3">
        <f>SUM(AF489,AJ489,AK489,AL489,AM489,AN489,AO489,AG489,AH489)</f>
        <v/>
      </c>
      <c r="AQ489" s="3">
        <f>AE489-AP489</f>
        <v/>
      </c>
      <c r="AR489" s="3" t="n"/>
      <c r="AS489" s="3" t="n"/>
      <c r="AT489" s="3">
        <f>AR489-AS489</f>
        <v/>
      </c>
    </row>
    <row r="490">
      <c r="A490" s="2" t="n"/>
      <c r="B490" s="3" t="n"/>
      <c r="C490" s="4" t="n"/>
      <c r="D490" s="5" t="n"/>
      <c r="E490" s="3" t="n"/>
      <c r="F490" s="3">
        <f>IF(C490=0,0,IF(E490="",B490*D490/100,E490))</f>
        <v/>
      </c>
      <c r="G490" s="4" t="n"/>
      <c r="H490" s="5" t="n"/>
      <c r="I490" s="3" t="n"/>
      <c r="J490" s="3">
        <f>IF(G490=0,0,IF(I490="",B490*H490/100,I490))</f>
        <v/>
      </c>
      <c r="K490" s="4" t="n"/>
      <c r="L490" s="5" t="n"/>
      <c r="M490" s="3" t="n"/>
      <c r="N490" s="3">
        <f>IF(K490=0,0,IF(M490="",B490*L490/100,M490))</f>
        <v/>
      </c>
      <c r="O490" s="4" t="n"/>
      <c r="P490" s="5" t="n"/>
      <c r="Q490" s="3" t="n"/>
      <c r="R490" s="3">
        <f>IF(O490=0,0,IF(Q490="",B490*P490/100,Q490))</f>
        <v/>
      </c>
      <c r="S490" s="4" t="n"/>
      <c r="T490" s="5" t="n"/>
      <c r="U490" s="3" t="n"/>
      <c r="V490" s="3">
        <f>IF(S490=0,0,IF(U490="",B490*T490/100,U490))</f>
        <v/>
      </c>
      <c r="W490" s="4" t="n"/>
      <c r="X490" s="5" t="n"/>
      <c r="Y490" s="3" t="n"/>
      <c r="Z490" s="3">
        <f>IF(W490=0,0,IF(Y490="",B490*X490/100,Y490))</f>
        <v/>
      </c>
      <c r="AA490" s="3" t="n"/>
      <c r="AB490" s="3" t="n"/>
      <c r="AC490" s="3">
        <f>B490*0.035</f>
        <v/>
      </c>
      <c r="AD490" s="3">
        <f>B490*0.065</f>
        <v/>
      </c>
      <c r="AE490" s="3">
        <f>SUM(B490,F490,J490,N490,R490,V490,Z490,AA490,AB490,AC490,AD490)</f>
        <v/>
      </c>
      <c r="AF490" s="3">
        <f>B490*0.055</f>
        <v/>
      </c>
      <c r="AG490" s="3">
        <f>B490*0.035</f>
        <v/>
      </c>
      <c r="AH490" s="3">
        <f>B490*0.165</f>
        <v/>
      </c>
      <c r="AI490" s="3">
        <f>MAX(0,AE490-AF490-AH490)</f>
        <v/>
      </c>
      <c r="AJ490" s="3">
        <f>IF(AI490&lt;=490,0,IF(AI490&lt;=600,(AI490-490)*0.05,IF(AI490&lt;=730,5.5+(AI490-600)*0.10,IF(AI490&lt;=3896.67,18.5+(AI490-730)*0.175,IF(AI490&lt;=19896.67,572.67+(AI490-3896.67)*0.25,IF(AI490&lt;=50416.67,4572.67+(AI490-19896.67)*0.30,13728.67+(AI490-50416.67)*0.35))))))</f>
        <v/>
      </c>
      <c r="AK490" s="3" t="n"/>
      <c r="AL490" s="3" t="n"/>
      <c r="AM490" s="3" t="n"/>
      <c r="AN490" s="3" t="n"/>
      <c r="AO490" s="3" t="n"/>
      <c r="AP490" s="3">
        <f>SUM(AF490,AJ490,AK490,AL490,AM490,AN490,AO490,AG490,AH490)</f>
        <v/>
      </c>
      <c r="AQ490" s="3">
        <f>AE490-AP490</f>
        <v/>
      </c>
      <c r="AR490" s="3" t="n"/>
      <c r="AS490" s="3" t="n"/>
      <c r="AT490" s="3">
        <f>AR490-AS490</f>
        <v/>
      </c>
    </row>
    <row r="491">
      <c r="A491" s="2" t="n"/>
      <c r="B491" s="3" t="n"/>
      <c r="C491" s="4" t="n"/>
      <c r="D491" s="5" t="n"/>
      <c r="E491" s="3" t="n"/>
      <c r="F491" s="3">
        <f>IF(C491=0,0,IF(E491="",B491*D491/100,E491))</f>
        <v/>
      </c>
      <c r="G491" s="4" t="n"/>
      <c r="H491" s="5" t="n"/>
      <c r="I491" s="3" t="n"/>
      <c r="J491" s="3">
        <f>IF(G491=0,0,IF(I491="",B491*H491/100,I491))</f>
        <v/>
      </c>
      <c r="K491" s="4" t="n"/>
      <c r="L491" s="5" t="n"/>
      <c r="M491" s="3" t="n"/>
      <c r="N491" s="3">
        <f>IF(K491=0,0,IF(M491="",B491*L491/100,M491))</f>
        <v/>
      </c>
      <c r="O491" s="4" t="n"/>
      <c r="P491" s="5" t="n"/>
      <c r="Q491" s="3" t="n"/>
      <c r="R491" s="3">
        <f>IF(O491=0,0,IF(Q491="",B491*P491/100,Q491))</f>
        <v/>
      </c>
      <c r="S491" s="4" t="n"/>
      <c r="T491" s="5" t="n"/>
      <c r="U491" s="3" t="n"/>
      <c r="V491" s="3">
        <f>IF(S491=0,0,IF(U491="",B491*T491/100,U491))</f>
        <v/>
      </c>
      <c r="W491" s="4" t="n"/>
      <c r="X491" s="5" t="n"/>
      <c r="Y491" s="3" t="n"/>
      <c r="Z491" s="3">
        <f>IF(W491=0,0,IF(Y491="",B491*X491/100,Y491))</f>
        <v/>
      </c>
      <c r="AA491" s="3" t="n"/>
      <c r="AB491" s="3" t="n"/>
      <c r="AC491" s="3">
        <f>B491*0.035</f>
        <v/>
      </c>
      <c r="AD491" s="3">
        <f>B491*0.065</f>
        <v/>
      </c>
      <c r="AE491" s="3">
        <f>SUM(B491,F491,J491,N491,R491,V491,Z491,AA491,AB491,AC491,AD491)</f>
        <v/>
      </c>
      <c r="AF491" s="3">
        <f>B491*0.055</f>
        <v/>
      </c>
      <c r="AG491" s="3">
        <f>B491*0.035</f>
        <v/>
      </c>
      <c r="AH491" s="3">
        <f>B491*0.165</f>
        <v/>
      </c>
      <c r="AI491" s="3">
        <f>MAX(0,AE491-AF491-AH491)</f>
        <v/>
      </c>
      <c r="AJ491" s="3">
        <f>IF(AI491&lt;=490,0,IF(AI491&lt;=600,(AI491-490)*0.05,IF(AI491&lt;=730,5.5+(AI491-600)*0.10,IF(AI491&lt;=3896.67,18.5+(AI491-730)*0.175,IF(AI491&lt;=19896.67,572.67+(AI491-3896.67)*0.25,IF(AI491&lt;=50416.67,4572.67+(AI491-19896.67)*0.30,13728.67+(AI491-50416.67)*0.35))))))</f>
        <v/>
      </c>
      <c r="AK491" s="3" t="n"/>
      <c r="AL491" s="3" t="n"/>
      <c r="AM491" s="3" t="n"/>
      <c r="AN491" s="3" t="n"/>
      <c r="AO491" s="3" t="n"/>
      <c r="AP491" s="3">
        <f>SUM(AF491,AJ491,AK491,AL491,AM491,AN491,AO491,AG491,AH491)</f>
        <v/>
      </c>
      <c r="AQ491" s="3">
        <f>AE491-AP491</f>
        <v/>
      </c>
      <c r="AR491" s="3" t="n"/>
      <c r="AS491" s="3" t="n"/>
      <c r="AT491" s="3">
        <f>AR491-AS491</f>
        <v/>
      </c>
    </row>
    <row r="492">
      <c r="A492" s="2" t="n"/>
      <c r="B492" s="3" t="n"/>
      <c r="C492" s="4" t="n"/>
      <c r="D492" s="5" t="n"/>
      <c r="E492" s="3" t="n"/>
      <c r="F492" s="3">
        <f>IF(C492=0,0,IF(E492="",B492*D492/100,E492))</f>
        <v/>
      </c>
      <c r="G492" s="4" t="n"/>
      <c r="H492" s="5" t="n"/>
      <c r="I492" s="3" t="n"/>
      <c r="J492" s="3">
        <f>IF(G492=0,0,IF(I492="",B492*H492/100,I492))</f>
        <v/>
      </c>
      <c r="K492" s="4" t="n"/>
      <c r="L492" s="5" t="n"/>
      <c r="M492" s="3" t="n"/>
      <c r="N492" s="3">
        <f>IF(K492=0,0,IF(M492="",B492*L492/100,M492))</f>
        <v/>
      </c>
      <c r="O492" s="4" t="n"/>
      <c r="P492" s="5" t="n"/>
      <c r="Q492" s="3" t="n"/>
      <c r="R492" s="3">
        <f>IF(O492=0,0,IF(Q492="",B492*P492/100,Q492))</f>
        <v/>
      </c>
      <c r="S492" s="4" t="n"/>
      <c r="T492" s="5" t="n"/>
      <c r="U492" s="3" t="n"/>
      <c r="V492" s="3">
        <f>IF(S492=0,0,IF(U492="",B492*T492/100,U492))</f>
        <v/>
      </c>
      <c r="W492" s="4" t="n"/>
      <c r="X492" s="5" t="n"/>
      <c r="Y492" s="3" t="n"/>
      <c r="Z492" s="3">
        <f>IF(W492=0,0,IF(Y492="",B492*X492/100,Y492))</f>
        <v/>
      </c>
      <c r="AA492" s="3" t="n"/>
      <c r="AB492" s="3" t="n"/>
      <c r="AC492" s="3">
        <f>B492*0.035</f>
        <v/>
      </c>
      <c r="AD492" s="3">
        <f>B492*0.065</f>
        <v/>
      </c>
      <c r="AE492" s="3">
        <f>SUM(B492,F492,J492,N492,R492,V492,Z492,AA492,AB492,AC492,AD492)</f>
        <v/>
      </c>
      <c r="AF492" s="3">
        <f>B492*0.055</f>
        <v/>
      </c>
      <c r="AG492" s="3">
        <f>B492*0.035</f>
        <v/>
      </c>
      <c r="AH492" s="3">
        <f>B492*0.165</f>
        <v/>
      </c>
      <c r="AI492" s="3">
        <f>MAX(0,AE492-AF492-AH492)</f>
        <v/>
      </c>
      <c r="AJ492" s="3">
        <f>IF(AI492&lt;=490,0,IF(AI492&lt;=600,(AI492-490)*0.05,IF(AI492&lt;=730,5.5+(AI492-600)*0.10,IF(AI492&lt;=3896.67,18.5+(AI492-730)*0.175,IF(AI492&lt;=19896.67,572.67+(AI492-3896.67)*0.25,IF(AI492&lt;=50416.67,4572.67+(AI492-19896.67)*0.30,13728.67+(AI492-50416.67)*0.35))))))</f>
        <v/>
      </c>
      <c r="AK492" s="3" t="n"/>
      <c r="AL492" s="3" t="n"/>
      <c r="AM492" s="3" t="n"/>
      <c r="AN492" s="3" t="n"/>
      <c r="AO492" s="3" t="n"/>
      <c r="AP492" s="3">
        <f>SUM(AF492,AJ492,AK492,AL492,AM492,AN492,AO492,AG492,AH492)</f>
        <v/>
      </c>
      <c r="AQ492" s="3">
        <f>AE492-AP492</f>
        <v/>
      </c>
      <c r="AR492" s="3" t="n"/>
      <c r="AS492" s="3" t="n"/>
      <c r="AT492" s="3">
        <f>AR492-AS492</f>
        <v/>
      </c>
    </row>
    <row r="493">
      <c r="A493" s="2" t="n"/>
      <c r="B493" s="3" t="n"/>
      <c r="C493" s="4" t="n"/>
      <c r="D493" s="5" t="n"/>
      <c r="E493" s="3" t="n"/>
      <c r="F493" s="3">
        <f>IF(C493=0,0,IF(E493="",B493*D493/100,E493))</f>
        <v/>
      </c>
      <c r="G493" s="4" t="n"/>
      <c r="H493" s="5" t="n"/>
      <c r="I493" s="3" t="n"/>
      <c r="J493" s="3">
        <f>IF(G493=0,0,IF(I493="",B493*H493/100,I493))</f>
        <v/>
      </c>
      <c r="K493" s="4" t="n"/>
      <c r="L493" s="5" t="n"/>
      <c r="M493" s="3" t="n"/>
      <c r="N493" s="3">
        <f>IF(K493=0,0,IF(M493="",B493*L493/100,M493))</f>
        <v/>
      </c>
      <c r="O493" s="4" t="n"/>
      <c r="P493" s="5" t="n"/>
      <c r="Q493" s="3" t="n"/>
      <c r="R493" s="3">
        <f>IF(O493=0,0,IF(Q493="",B493*P493/100,Q493))</f>
        <v/>
      </c>
      <c r="S493" s="4" t="n"/>
      <c r="T493" s="5" t="n"/>
      <c r="U493" s="3" t="n"/>
      <c r="V493" s="3">
        <f>IF(S493=0,0,IF(U493="",B493*T493/100,U493))</f>
        <v/>
      </c>
      <c r="W493" s="4" t="n"/>
      <c r="X493" s="5" t="n"/>
      <c r="Y493" s="3" t="n"/>
      <c r="Z493" s="3">
        <f>IF(W493=0,0,IF(Y493="",B493*X493/100,Y493))</f>
        <v/>
      </c>
      <c r="AA493" s="3" t="n"/>
      <c r="AB493" s="3" t="n"/>
      <c r="AC493" s="3">
        <f>B493*0.035</f>
        <v/>
      </c>
      <c r="AD493" s="3">
        <f>B493*0.065</f>
        <v/>
      </c>
      <c r="AE493" s="3">
        <f>SUM(B493,F493,J493,N493,R493,V493,Z493,AA493,AB493,AC493,AD493)</f>
        <v/>
      </c>
      <c r="AF493" s="3">
        <f>B493*0.055</f>
        <v/>
      </c>
      <c r="AG493" s="3">
        <f>B493*0.035</f>
        <v/>
      </c>
      <c r="AH493" s="3">
        <f>B493*0.165</f>
        <v/>
      </c>
      <c r="AI493" s="3">
        <f>MAX(0,AE493-AF493-AH493)</f>
        <v/>
      </c>
      <c r="AJ493" s="3">
        <f>IF(AI493&lt;=490,0,IF(AI493&lt;=600,(AI493-490)*0.05,IF(AI493&lt;=730,5.5+(AI493-600)*0.10,IF(AI493&lt;=3896.67,18.5+(AI493-730)*0.175,IF(AI493&lt;=19896.67,572.67+(AI493-3896.67)*0.25,IF(AI493&lt;=50416.67,4572.67+(AI493-19896.67)*0.30,13728.67+(AI493-50416.67)*0.35))))))</f>
        <v/>
      </c>
      <c r="AK493" s="3" t="n"/>
      <c r="AL493" s="3" t="n"/>
      <c r="AM493" s="3" t="n"/>
      <c r="AN493" s="3" t="n"/>
      <c r="AO493" s="3" t="n"/>
      <c r="AP493" s="3">
        <f>SUM(AF493,AJ493,AK493,AL493,AM493,AN493,AO493,AG493,AH493)</f>
        <v/>
      </c>
      <c r="AQ493" s="3">
        <f>AE493-AP493</f>
        <v/>
      </c>
      <c r="AR493" s="3" t="n"/>
      <c r="AS493" s="3" t="n"/>
      <c r="AT493" s="3">
        <f>AR493-AS493</f>
        <v/>
      </c>
    </row>
    <row r="494">
      <c r="A494" s="2" t="n"/>
      <c r="B494" s="3" t="n"/>
      <c r="C494" s="4" t="n"/>
      <c r="D494" s="5" t="n"/>
      <c r="E494" s="3" t="n"/>
      <c r="F494" s="3">
        <f>IF(C494=0,0,IF(E494="",B494*D494/100,E494))</f>
        <v/>
      </c>
      <c r="G494" s="4" t="n"/>
      <c r="H494" s="5" t="n"/>
      <c r="I494" s="3" t="n"/>
      <c r="J494" s="3">
        <f>IF(G494=0,0,IF(I494="",B494*H494/100,I494))</f>
        <v/>
      </c>
      <c r="K494" s="4" t="n"/>
      <c r="L494" s="5" t="n"/>
      <c r="M494" s="3" t="n"/>
      <c r="N494" s="3">
        <f>IF(K494=0,0,IF(M494="",B494*L494/100,M494))</f>
        <v/>
      </c>
      <c r="O494" s="4" t="n"/>
      <c r="P494" s="5" t="n"/>
      <c r="Q494" s="3" t="n"/>
      <c r="R494" s="3">
        <f>IF(O494=0,0,IF(Q494="",B494*P494/100,Q494))</f>
        <v/>
      </c>
      <c r="S494" s="4" t="n"/>
      <c r="T494" s="5" t="n"/>
      <c r="U494" s="3" t="n"/>
      <c r="V494" s="3">
        <f>IF(S494=0,0,IF(U494="",B494*T494/100,U494))</f>
        <v/>
      </c>
      <c r="W494" s="4" t="n"/>
      <c r="X494" s="5" t="n"/>
      <c r="Y494" s="3" t="n"/>
      <c r="Z494" s="3">
        <f>IF(W494=0,0,IF(Y494="",B494*X494/100,Y494))</f>
        <v/>
      </c>
      <c r="AA494" s="3" t="n"/>
      <c r="AB494" s="3" t="n"/>
      <c r="AC494" s="3">
        <f>B494*0.035</f>
        <v/>
      </c>
      <c r="AD494" s="3">
        <f>B494*0.065</f>
        <v/>
      </c>
      <c r="AE494" s="3">
        <f>SUM(B494,F494,J494,N494,R494,V494,Z494,AA494,AB494,AC494,AD494)</f>
        <v/>
      </c>
      <c r="AF494" s="3">
        <f>B494*0.055</f>
        <v/>
      </c>
      <c r="AG494" s="3">
        <f>B494*0.035</f>
        <v/>
      </c>
      <c r="AH494" s="3">
        <f>B494*0.165</f>
        <v/>
      </c>
      <c r="AI494" s="3">
        <f>MAX(0,AE494-AF494-AH494)</f>
        <v/>
      </c>
      <c r="AJ494" s="3">
        <f>IF(AI494&lt;=490,0,IF(AI494&lt;=600,(AI494-490)*0.05,IF(AI494&lt;=730,5.5+(AI494-600)*0.10,IF(AI494&lt;=3896.67,18.5+(AI494-730)*0.175,IF(AI494&lt;=19896.67,572.67+(AI494-3896.67)*0.25,IF(AI494&lt;=50416.67,4572.67+(AI494-19896.67)*0.30,13728.67+(AI494-50416.67)*0.35))))))</f>
        <v/>
      </c>
      <c r="AK494" s="3" t="n"/>
      <c r="AL494" s="3" t="n"/>
      <c r="AM494" s="3" t="n"/>
      <c r="AN494" s="3" t="n"/>
      <c r="AO494" s="3" t="n"/>
      <c r="AP494" s="3">
        <f>SUM(AF494,AJ494,AK494,AL494,AM494,AN494,AO494,AG494,AH494)</f>
        <v/>
      </c>
      <c r="AQ494" s="3">
        <f>AE494-AP494</f>
        <v/>
      </c>
      <c r="AR494" s="3" t="n"/>
      <c r="AS494" s="3" t="n"/>
      <c r="AT494" s="3">
        <f>AR494-AS494</f>
        <v/>
      </c>
    </row>
    <row r="495">
      <c r="A495" s="2" t="n"/>
      <c r="B495" s="3" t="n"/>
      <c r="C495" s="4" t="n"/>
      <c r="D495" s="5" t="n"/>
      <c r="E495" s="3" t="n"/>
      <c r="F495" s="3">
        <f>IF(C495=0,0,IF(E495="",B495*D495/100,E495))</f>
        <v/>
      </c>
      <c r="G495" s="4" t="n"/>
      <c r="H495" s="5" t="n"/>
      <c r="I495" s="3" t="n"/>
      <c r="J495" s="3">
        <f>IF(G495=0,0,IF(I495="",B495*H495/100,I495))</f>
        <v/>
      </c>
      <c r="K495" s="4" t="n"/>
      <c r="L495" s="5" t="n"/>
      <c r="M495" s="3" t="n"/>
      <c r="N495" s="3">
        <f>IF(K495=0,0,IF(M495="",B495*L495/100,M495))</f>
        <v/>
      </c>
      <c r="O495" s="4" t="n"/>
      <c r="P495" s="5" t="n"/>
      <c r="Q495" s="3" t="n"/>
      <c r="R495" s="3">
        <f>IF(O495=0,0,IF(Q495="",B495*P495/100,Q495))</f>
        <v/>
      </c>
      <c r="S495" s="4" t="n"/>
      <c r="T495" s="5" t="n"/>
      <c r="U495" s="3" t="n"/>
      <c r="V495" s="3">
        <f>IF(S495=0,0,IF(U495="",B495*T495/100,U495))</f>
        <v/>
      </c>
      <c r="W495" s="4" t="n"/>
      <c r="X495" s="5" t="n"/>
      <c r="Y495" s="3" t="n"/>
      <c r="Z495" s="3">
        <f>IF(W495=0,0,IF(Y495="",B495*X495/100,Y495))</f>
        <v/>
      </c>
      <c r="AA495" s="3" t="n"/>
      <c r="AB495" s="3" t="n"/>
      <c r="AC495" s="3">
        <f>B495*0.035</f>
        <v/>
      </c>
      <c r="AD495" s="3">
        <f>B495*0.065</f>
        <v/>
      </c>
      <c r="AE495" s="3">
        <f>SUM(B495,F495,J495,N495,R495,V495,Z495,AA495,AB495,AC495,AD495)</f>
        <v/>
      </c>
      <c r="AF495" s="3">
        <f>B495*0.055</f>
        <v/>
      </c>
      <c r="AG495" s="3">
        <f>B495*0.035</f>
        <v/>
      </c>
      <c r="AH495" s="3">
        <f>B495*0.165</f>
        <v/>
      </c>
      <c r="AI495" s="3">
        <f>MAX(0,AE495-AF495-AH495)</f>
        <v/>
      </c>
      <c r="AJ495" s="3">
        <f>IF(AI495&lt;=490,0,IF(AI495&lt;=600,(AI495-490)*0.05,IF(AI495&lt;=730,5.5+(AI495-600)*0.10,IF(AI495&lt;=3896.67,18.5+(AI495-730)*0.175,IF(AI495&lt;=19896.67,572.67+(AI495-3896.67)*0.25,IF(AI495&lt;=50416.67,4572.67+(AI495-19896.67)*0.30,13728.67+(AI495-50416.67)*0.35))))))</f>
        <v/>
      </c>
      <c r="AK495" s="3" t="n"/>
      <c r="AL495" s="3" t="n"/>
      <c r="AM495" s="3" t="n"/>
      <c r="AN495" s="3" t="n"/>
      <c r="AO495" s="3" t="n"/>
      <c r="AP495" s="3">
        <f>SUM(AF495,AJ495,AK495,AL495,AM495,AN495,AO495,AG495,AH495)</f>
        <v/>
      </c>
      <c r="AQ495" s="3">
        <f>AE495-AP495</f>
        <v/>
      </c>
      <c r="AR495" s="3" t="n"/>
      <c r="AS495" s="3" t="n"/>
      <c r="AT495" s="3">
        <f>AR495-AS495</f>
        <v/>
      </c>
    </row>
    <row r="496">
      <c r="A496" s="2" t="n"/>
      <c r="B496" s="3" t="n"/>
      <c r="C496" s="4" t="n"/>
      <c r="D496" s="5" t="n"/>
      <c r="E496" s="3" t="n"/>
      <c r="F496" s="3">
        <f>IF(C496=0,0,IF(E496="",B496*D496/100,E496))</f>
        <v/>
      </c>
      <c r="G496" s="4" t="n"/>
      <c r="H496" s="5" t="n"/>
      <c r="I496" s="3" t="n"/>
      <c r="J496" s="3">
        <f>IF(G496=0,0,IF(I496="",B496*H496/100,I496))</f>
        <v/>
      </c>
      <c r="K496" s="4" t="n"/>
      <c r="L496" s="5" t="n"/>
      <c r="M496" s="3" t="n"/>
      <c r="N496" s="3">
        <f>IF(K496=0,0,IF(M496="",B496*L496/100,M496))</f>
        <v/>
      </c>
      <c r="O496" s="4" t="n"/>
      <c r="P496" s="5" t="n"/>
      <c r="Q496" s="3" t="n"/>
      <c r="R496" s="3">
        <f>IF(O496=0,0,IF(Q496="",B496*P496/100,Q496))</f>
        <v/>
      </c>
      <c r="S496" s="4" t="n"/>
      <c r="T496" s="5" t="n"/>
      <c r="U496" s="3" t="n"/>
      <c r="V496" s="3">
        <f>IF(S496=0,0,IF(U496="",B496*T496/100,U496))</f>
        <v/>
      </c>
      <c r="W496" s="4" t="n"/>
      <c r="X496" s="5" t="n"/>
      <c r="Y496" s="3" t="n"/>
      <c r="Z496" s="3">
        <f>IF(W496=0,0,IF(Y496="",B496*X496/100,Y496))</f>
        <v/>
      </c>
      <c r="AA496" s="3" t="n"/>
      <c r="AB496" s="3" t="n"/>
      <c r="AC496" s="3">
        <f>B496*0.035</f>
        <v/>
      </c>
      <c r="AD496" s="3">
        <f>B496*0.065</f>
        <v/>
      </c>
      <c r="AE496" s="3">
        <f>SUM(B496,F496,J496,N496,R496,V496,Z496,AA496,AB496,AC496,AD496)</f>
        <v/>
      </c>
      <c r="AF496" s="3">
        <f>B496*0.055</f>
        <v/>
      </c>
      <c r="AG496" s="3">
        <f>B496*0.035</f>
        <v/>
      </c>
      <c r="AH496" s="3">
        <f>B496*0.165</f>
        <v/>
      </c>
      <c r="AI496" s="3">
        <f>MAX(0,AE496-AF496-AH496)</f>
        <v/>
      </c>
      <c r="AJ496" s="3">
        <f>IF(AI496&lt;=490,0,IF(AI496&lt;=600,(AI496-490)*0.05,IF(AI496&lt;=730,5.5+(AI496-600)*0.10,IF(AI496&lt;=3896.67,18.5+(AI496-730)*0.175,IF(AI496&lt;=19896.67,572.67+(AI496-3896.67)*0.25,IF(AI496&lt;=50416.67,4572.67+(AI496-19896.67)*0.30,13728.67+(AI496-50416.67)*0.35))))))</f>
        <v/>
      </c>
      <c r="AK496" s="3" t="n"/>
      <c r="AL496" s="3" t="n"/>
      <c r="AM496" s="3" t="n"/>
      <c r="AN496" s="3" t="n"/>
      <c r="AO496" s="3" t="n"/>
      <c r="AP496" s="3">
        <f>SUM(AF496,AJ496,AK496,AL496,AM496,AN496,AO496,AG496,AH496)</f>
        <v/>
      </c>
      <c r="AQ496" s="3">
        <f>AE496-AP496</f>
        <v/>
      </c>
      <c r="AR496" s="3" t="n"/>
      <c r="AS496" s="3" t="n"/>
      <c r="AT496" s="3">
        <f>AR496-AS496</f>
        <v/>
      </c>
    </row>
    <row r="497">
      <c r="A497" s="2" t="n"/>
      <c r="B497" s="3" t="n"/>
      <c r="C497" s="4" t="n"/>
      <c r="D497" s="5" t="n"/>
      <c r="E497" s="3" t="n"/>
      <c r="F497" s="3">
        <f>IF(C497=0,0,IF(E497="",B497*D497/100,E497))</f>
        <v/>
      </c>
      <c r="G497" s="4" t="n"/>
      <c r="H497" s="5" t="n"/>
      <c r="I497" s="3" t="n"/>
      <c r="J497" s="3">
        <f>IF(G497=0,0,IF(I497="",B497*H497/100,I497))</f>
        <v/>
      </c>
      <c r="K497" s="4" t="n"/>
      <c r="L497" s="5" t="n"/>
      <c r="M497" s="3" t="n"/>
      <c r="N497" s="3">
        <f>IF(K497=0,0,IF(M497="",B497*L497/100,M497))</f>
        <v/>
      </c>
      <c r="O497" s="4" t="n"/>
      <c r="P497" s="5" t="n"/>
      <c r="Q497" s="3" t="n"/>
      <c r="R497" s="3">
        <f>IF(O497=0,0,IF(Q497="",B497*P497/100,Q497))</f>
        <v/>
      </c>
      <c r="S497" s="4" t="n"/>
      <c r="T497" s="5" t="n"/>
      <c r="U497" s="3" t="n"/>
      <c r="V497" s="3">
        <f>IF(S497=0,0,IF(U497="",B497*T497/100,U497))</f>
        <v/>
      </c>
      <c r="W497" s="4" t="n"/>
      <c r="X497" s="5" t="n"/>
      <c r="Y497" s="3" t="n"/>
      <c r="Z497" s="3">
        <f>IF(W497=0,0,IF(Y497="",B497*X497/100,Y497))</f>
        <v/>
      </c>
      <c r="AA497" s="3" t="n"/>
      <c r="AB497" s="3" t="n"/>
      <c r="AC497" s="3">
        <f>B497*0.035</f>
        <v/>
      </c>
      <c r="AD497" s="3">
        <f>B497*0.065</f>
        <v/>
      </c>
      <c r="AE497" s="3">
        <f>SUM(B497,F497,J497,N497,R497,V497,Z497,AA497,AB497,AC497,AD497)</f>
        <v/>
      </c>
      <c r="AF497" s="3">
        <f>B497*0.055</f>
        <v/>
      </c>
      <c r="AG497" s="3">
        <f>B497*0.035</f>
        <v/>
      </c>
      <c r="AH497" s="3">
        <f>B497*0.165</f>
        <v/>
      </c>
      <c r="AI497" s="3">
        <f>MAX(0,AE497-AF497-AH497)</f>
        <v/>
      </c>
      <c r="AJ497" s="3">
        <f>IF(AI497&lt;=490,0,IF(AI497&lt;=600,(AI497-490)*0.05,IF(AI497&lt;=730,5.5+(AI497-600)*0.10,IF(AI497&lt;=3896.67,18.5+(AI497-730)*0.175,IF(AI497&lt;=19896.67,572.67+(AI497-3896.67)*0.25,IF(AI497&lt;=50416.67,4572.67+(AI497-19896.67)*0.30,13728.67+(AI497-50416.67)*0.35))))))</f>
        <v/>
      </c>
      <c r="AK497" s="3" t="n"/>
      <c r="AL497" s="3" t="n"/>
      <c r="AM497" s="3" t="n"/>
      <c r="AN497" s="3" t="n"/>
      <c r="AO497" s="3" t="n"/>
      <c r="AP497" s="3">
        <f>SUM(AF497,AJ497,AK497,AL497,AM497,AN497,AO497,AG497,AH497)</f>
        <v/>
      </c>
      <c r="AQ497" s="3">
        <f>AE497-AP497</f>
        <v/>
      </c>
      <c r="AR497" s="3" t="n"/>
      <c r="AS497" s="3" t="n"/>
      <c r="AT497" s="3">
        <f>AR497-AS497</f>
        <v/>
      </c>
    </row>
    <row r="498">
      <c r="A498" s="2" t="n"/>
      <c r="B498" s="3" t="n"/>
      <c r="C498" s="4" t="n"/>
      <c r="D498" s="5" t="n"/>
      <c r="E498" s="3" t="n"/>
      <c r="F498" s="3">
        <f>IF(C498=0,0,IF(E498="",B498*D498/100,E498))</f>
        <v/>
      </c>
      <c r="G498" s="4" t="n"/>
      <c r="H498" s="5" t="n"/>
      <c r="I498" s="3" t="n"/>
      <c r="J498" s="3">
        <f>IF(G498=0,0,IF(I498="",B498*H498/100,I498))</f>
        <v/>
      </c>
      <c r="K498" s="4" t="n"/>
      <c r="L498" s="5" t="n"/>
      <c r="M498" s="3" t="n"/>
      <c r="N498" s="3">
        <f>IF(K498=0,0,IF(M498="",B498*L498/100,M498))</f>
        <v/>
      </c>
      <c r="O498" s="4" t="n"/>
      <c r="P498" s="5" t="n"/>
      <c r="Q498" s="3" t="n"/>
      <c r="R498" s="3">
        <f>IF(O498=0,0,IF(Q498="",B498*P498/100,Q498))</f>
        <v/>
      </c>
      <c r="S498" s="4" t="n"/>
      <c r="T498" s="5" t="n"/>
      <c r="U498" s="3" t="n"/>
      <c r="V498" s="3">
        <f>IF(S498=0,0,IF(U498="",B498*T498/100,U498))</f>
        <v/>
      </c>
      <c r="W498" s="4" t="n"/>
      <c r="X498" s="5" t="n"/>
      <c r="Y498" s="3" t="n"/>
      <c r="Z498" s="3">
        <f>IF(W498=0,0,IF(Y498="",B498*X498/100,Y498))</f>
        <v/>
      </c>
      <c r="AA498" s="3" t="n"/>
      <c r="AB498" s="3" t="n"/>
      <c r="AC498" s="3">
        <f>B498*0.035</f>
        <v/>
      </c>
      <c r="AD498" s="3">
        <f>B498*0.065</f>
        <v/>
      </c>
      <c r="AE498" s="3">
        <f>SUM(B498,F498,J498,N498,R498,V498,Z498,AA498,AB498,AC498,AD498)</f>
        <v/>
      </c>
      <c r="AF498" s="3">
        <f>B498*0.055</f>
        <v/>
      </c>
      <c r="AG498" s="3">
        <f>B498*0.035</f>
        <v/>
      </c>
      <c r="AH498" s="3">
        <f>B498*0.165</f>
        <v/>
      </c>
      <c r="AI498" s="3">
        <f>MAX(0,AE498-AF498-AH498)</f>
        <v/>
      </c>
      <c r="AJ498" s="3">
        <f>IF(AI498&lt;=490,0,IF(AI498&lt;=600,(AI498-490)*0.05,IF(AI498&lt;=730,5.5+(AI498-600)*0.10,IF(AI498&lt;=3896.67,18.5+(AI498-730)*0.175,IF(AI498&lt;=19896.67,572.67+(AI498-3896.67)*0.25,IF(AI498&lt;=50416.67,4572.67+(AI498-19896.67)*0.30,13728.67+(AI498-50416.67)*0.35))))))</f>
        <v/>
      </c>
      <c r="AK498" s="3" t="n"/>
      <c r="AL498" s="3" t="n"/>
      <c r="AM498" s="3" t="n"/>
      <c r="AN498" s="3" t="n"/>
      <c r="AO498" s="3" t="n"/>
      <c r="AP498" s="3">
        <f>SUM(AF498,AJ498,AK498,AL498,AM498,AN498,AO498,AG498,AH498)</f>
        <v/>
      </c>
      <c r="AQ498" s="3">
        <f>AE498-AP498</f>
        <v/>
      </c>
      <c r="AR498" s="3" t="n"/>
      <c r="AS498" s="3" t="n"/>
      <c r="AT498" s="3">
        <f>AR498-AS498</f>
        <v/>
      </c>
    </row>
    <row r="499">
      <c r="A499" s="2" t="n"/>
      <c r="B499" s="3" t="n"/>
      <c r="C499" s="4" t="n"/>
      <c r="D499" s="5" t="n"/>
      <c r="E499" s="3" t="n"/>
      <c r="F499" s="3">
        <f>IF(C499=0,0,IF(E499="",B499*D499/100,E499))</f>
        <v/>
      </c>
      <c r="G499" s="4" t="n"/>
      <c r="H499" s="5" t="n"/>
      <c r="I499" s="3" t="n"/>
      <c r="J499" s="3">
        <f>IF(G499=0,0,IF(I499="",B499*H499/100,I499))</f>
        <v/>
      </c>
      <c r="K499" s="4" t="n"/>
      <c r="L499" s="5" t="n"/>
      <c r="M499" s="3" t="n"/>
      <c r="N499" s="3">
        <f>IF(K499=0,0,IF(M499="",B499*L499/100,M499))</f>
        <v/>
      </c>
      <c r="O499" s="4" t="n"/>
      <c r="P499" s="5" t="n"/>
      <c r="Q499" s="3" t="n"/>
      <c r="R499" s="3">
        <f>IF(O499=0,0,IF(Q499="",B499*P499/100,Q499))</f>
        <v/>
      </c>
      <c r="S499" s="4" t="n"/>
      <c r="T499" s="5" t="n"/>
      <c r="U499" s="3" t="n"/>
      <c r="V499" s="3">
        <f>IF(S499=0,0,IF(U499="",B499*T499/100,U499))</f>
        <v/>
      </c>
      <c r="W499" s="4" t="n"/>
      <c r="X499" s="5" t="n"/>
      <c r="Y499" s="3" t="n"/>
      <c r="Z499" s="3">
        <f>IF(W499=0,0,IF(Y499="",B499*X499/100,Y499))</f>
        <v/>
      </c>
      <c r="AA499" s="3" t="n"/>
      <c r="AB499" s="3" t="n"/>
      <c r="AC499" s="3">
        <f>B499*0.035</f>
        <v/>
      </c>
      <c r="AD499" s="3">
        <f>B499*0.065</f>
        <v/>
      </c>
      <c r="AE499" s="3">
        <f>SUM(B499,F499,J499,N499,R499,V499,Z499,AA499,AB499,AC499,AD499)</f>
        <v/>
      </c>
      <c r="AF499" s="3">
        <f>B499*0.055</f>
        <v/>
      </c>
      <c r="AG499" s="3">
        <f>B499*0.035</f>
        <v/>
      </c>
      <c r="AH499" s="3">
        <f>B499*0.165</f>
        <v/>
      </c>
      <c r="AI499" s="3">
        <f>MAX(0,AE499-AF499-AH499)</f>
        <v/>
      </c>
      <c r="AJ499" s="3">
        <f>IF(AI499&lt;=490,0,IF(AI499&lt;=600,(AI499-490)*0.05,IF(AI499&lt;=730,5.5+(AI499-600)*0.10,IF(AI499&lt;=3896.67,18.5+(AI499-730)*0.175,IF(AI499&lt;=19896.67,572.67+(AI499-3896.67)*0.25,IF(AI499&lt;=50416.67,4572.67+(AI499-19896.67)*0.30,13728.67+(AI499-50416.67)*0.35))))))</f>
        <v/>
      </c>
      <c r="AK499" s="3" t="n"/>
      <c r="AL499" s="3" t="n"/>
      <c r="AM499" s="3" t="n"/>
      <c r="AN499" s="3" t="n"/>
      <c r="AO499" s="3" t="n"/>
      <c r="AP499" s="3">
        <f>SUM(AF499,AJ499,AK499,AL499,AM499,AN499,AO499,AG499,AH499)</f>
        <v/>
      </c>
      <c r="AQ499" s="3">
        <f>AE499-AP499</f>
        <v/>
      </c>
      <c r="AR499" s="3" t="n"/>
      <c r="AS499" s="3" t="n"/>
      <c r="AT499" s="3">
        <f>AR499-AS499</f>
        <v/>
      </c>
    </row>
    <row r="500">
      <c r="A500" s="2" t="n"/>
      <c r="B500" s="3" t="n"/>
      <c r="C500" s="4" t="n"/>
      <c r="D500" s="5" t="n"/>
      <c r="E500" s="3" t="n"/>
      <c r="F500" s="3">
        <f>IF(C500=0,0,IF(E500="",B500*D500/100,E500))</f>
        <v/>
      </c>
      <c r="G500" s="4" t="n"/>
      <c r="H500" s="5" t="n"/>
      <c r="I500" s="3" t="n"/>
      <c r="J500" s="3">
        <f>IF(G500=0,0,IF(I500="",B500*H500/100,I500))</f>
        <v/>
      </c>
      <c r="K500" s="4" t="n"/>
      <c r="L500" s="5" t="n"/>
      <c r="M500" s="3" t="n"/>
      <c r="N500" s="3">
        <f>IF(K500=0,0,IF(M500="",B500*L500/100,M500))</f>
        <v/>
      </c>
      <c r="O500" s="4" t="n"/>
      <c r="P500" s="5" t="n"/>
      <c r="Q500" s="3" t="n"/>
      <c r="R500" s="3">
        <f>IF(O500=0,0,IF(Q500="",B500*P500/100,Q500))</f>
        <v/>
      </c>
      <c r="S500" s="4" t="n"/>
      <c r="T500" s="5" t="n"/>
      <c r="U500" s="3" t="n"/>
      <c r="V500" s="3">
        <f>IF(S500=0,0,IF(U500="",B500*T500/100,U500))</f>
        <v/>
      </c>
      <c r="W500" s="4" t="n"/>
      <c r="X500" s="5" t="n"/>
      <c r="Y500" s="3" t="n"/>
      <c r="Z500" s="3">
        <f>IF(W500=0,0,IF(Y500="",B500*X500/100,Y500))</f>
        <v/>
      </c>
      <c r="AA500" s="3" t="n"/>
      <c r="AB500" s="3" t="n"/>
      <c r="AC500" s="3">
        <f>B500*0.035</f>
        <v/>
      </c>
      <c r="AD500" s="3">
        <f>B500*0.065</f>
        <v/>
      </c>
      <c r="AE500" s="3">
        <f>SUM(B500,F500,J500,N500,R500,V500,Z500,AA500,AB500,AC500,AD500)</f>
        <v/>
      </c>
      <c r="AF500" s="3">
        <f>B500*0.055</f>
        <v/>
      </c>
      <c r="AG500" s="3">
        <f>B500*0.035</f>
        <v/>
      </c>
      <c r="AH500" s="3">
        <f>B500*0.165</f>
        <v/>
      </c>
      <c r="AI500" s="3">
        <f>MAX(0,AE500-AF500-AH500)</f>
        <v/>
      </c>
      <c r="AJ500" s="3">
        <f>IF(AI500&lt;=490,0,IF(AI500&lt;=600,(AI500-490)*0.05,IF(AI500&lt;=730,5.5+(AI500-600)*0.10,IF(AI500&lt;=3896.67,18.5+(AI500-730)*0.175,IF(AI500&lt;=19896.67,572.67+(AI500-3896.67)*0.25,IF(AI500&lt;=50416.67,4572.67+(AI500-19896.67)*0.30,13728.67+(AI500-50416.67)*0.35))))))</f>
        <v/>
      </c>
      <c r="AK500" s="3" t="n"/>
      <c r="AL500" s="3" t="n"/>
      <c r="AM500" s="3" t="n"/>
      <c r="AN500" s="3" t="n"/>
      <c r="AO500" s="3" t="n"/>
      <c r="AP500" s="3">
        <f>SUM(AF500,AJ500,AK500,AL500,AM500,AN500,AO500,AG500,AH500)</f>
        <v/>
      </c>
      <c r="AQ500" s="3">
        <f>AE500-AP500</f>
        <v/>
      </c>
      <c r="AR500" s="3" t="n"/>
      <c r="AS500" s="3" t="n"/>
      <c r="AT500" s="3">
        <f>AR500-AS500</f>
        <v/>
      </c>
    </row>
    <row r="501">
      <c r="A501" s="2" t="n"/>
      <c r="B501" s="3" t="n"/>
      <c r="C501" s="4" t="n"/>
      <c r="D501" s="5" t="n"/>
      <c r="E501" s="3" t="n"/>
      <c r="F501" s="3">
        <f>IF(C501=0,0,IF(E501="",B501*D501/100,E501))</f>
        <v/>
      </c>
      <c r="G501" s="4" t="n"/>
      <c r="H501" s="5" t="n"/>
      <c r="I501" s="3" t="n"/>
      <c r="J501" s="3">
        <f>IF(G501=0,0,IF(I501="",B501*H501/100,I501))</f>
        <v/>
      </c>
      <c r="K501" s="4" t="n"/>
      <c r="L501" s="5" t="n"/>
      <c r="M501" s="3" t="n"/>
      <c r="N501" s="3">
        <f>IF(K501=0,0,IF(M501="",B501*L501/100,M501))</f>
        <v/>
      </c>
      <c r="O501" s="4" t="n"/>
      <c r="P501" s="5" t="n"/>
      <c r="Q501" s="3" t="n"/>
      <c r="R501" s="3">
        <f>IF(O501=0,0,IF(Q501="",B501*P501/100,Q501))</f>
        <v/>
      </c>
      <c r="S501" s="4" t="n"/>
      <c r="T501" s="5" t="n"/>
      <c r="U501" s="3" t="n"/>
      <c r="V501" s="3">
        <f>IF(S501=0,0,IF(U501="",B501*T501/100,U501))</f>
        <v/>
      </c>
      <c r="W501" s="4" t="n"/>
      <c r="X501" s="5" t="n"/>
      <c r="Y501" s="3" t="n"/>
      <c r="Z501" s="3">
        <f>IF(W501=0,0,IF(Y501="",B501*X501/100,Y501))</f>
        <v/>
      </c>
      <c r="AA501" s="3" t="n"/>
      <c r="AB501" s="3" t="n"/>
      <c r="AC501" s="3">
        <f>B501*0.035</f>
        <v/>
      </c>
      <c r="AD501" s="3">
        <f>B501*0.065</f>
        <v/>
      </c>
      <c r="AE501" s="3">
        <f>SUM(B501,F501,J501,N501,R501,V501,Z501,AA501,AB501,AC501,AD501)</f>
        <v/>
      </c>
      <c r="AF501" s="3">
        <f>B501*0.055</f>
        <v/>
      </c>
      <c r="AG501" s="3">
        <f>B501*0.035</f>
        <v/>
      </c>
      <c r="AH501" s="3">
        <f>B501*0.165</f>
        <v/>
      </c>
      <c r="AI501" s="3">
        <f>MAX(0,AE501-AF501-AH501)</f>
        <v/>
      </c>
      <c r="AJ501" s="3">
        <f>IF(AI501&lt;=490,0,IF(AI501&lt;=600,(AI501-490)*0.05,IF(AI501&lt;=730,5.5+(AI501-600)*0.10,IF(AI501&lt;=3896.67,18.5+(AI501-730)*0.175,IF(AI501&lt;=19896.67,572.67+(AI501-3896.67)*0.25,IF(AI501&lt;=50416.67,4572.67+(AI501-19896.67)*0.30,13728.67+(AI501-50416.67)*0.35))))))</f>
        <v/>
      </c>
      <c r="AK501" s="3" t="n"/>
      <c r="AL501" s="3" t="n"/>
      <c r="AM501" s="3" t="n"/>
      <c r="AN501" s="3" t="n"/>
      <c r="AO501" s="3" t="n"/>
      <c r="AP501" s="3">
        <f>SUM(AF501,AJ501,AK501,AL501,AM501,AN501,AO501,AG501,AH501)</f>
        <v/>
      </c>
      <c r="AQ501" s="3">
        <f>AE501-AP501</f>
        <v/>
      </c>
      <c r="AR501" s="3" t="n"/>
      <c r="AS501" s="3" t="n"/>
      <c r="AT501" s="3">
        <f>AR501-AS501</f>
        <v/>
      </c>
    </row>
    <row r="502">
      <c r="A502" s="2" t="n"/>
      <c r="B502" s="3" t="n"/>
      <c r="C502" s="4" t="n"/>
      <c r="D502" s="5" t="n"/>
      <c r="E502" s="3" t="n"/>
      <c r="F502" s="3">
        <f>IF(C502=0,0,IF(E502="",B502*D502/100,E502))</f>
        <v/>
      </c>
      <c r="G502" s="4" t="n"/>
      <c r="H502" s="5" t="n"/>
      <c r="I502" s="3" t="n"/>
      <c r="J502" s="3">
        <f>IF(G502=0,0,IF(I502="",B502*H502/100,I502))</f>
        <v/>
      </c>
      <c r="K502" s="4" t="n"/>
      <c r="L502" s="5" t="n"/>
      <c r="M502" s="3" t="n"/>
      <c r="N502" s="3">
        <f>IF(K502=0,0,IF(M502="",B502*L502/100,M502))</f>
        <v/>
      </c>
      <c r="O502" s="4" t="n"/>
      <c r="P502" s="5" t="n"/>
      <c r="Q502" s="3" t="n"/>
      <c r="R502" s="3">
        <f>IF(O502=0,0,IF(Q502="",B502*P502/100,Q502))</f>
        <v/>
      </c>
      <c r="S502" s="4" t="n"/>
      <c r="T502" s="5" t="n"/>
      <c r="U502" s="3" t="n"/>
      <c r="V502" s="3">
        <f>IF(S502=0,0,IF(U502="",B502*T502/100,U502))</f>
        <v/>
      </c>
      <c r="W502" s="4" t="n"/>
      <c r="X502" s="5" t="n"/>
      <c r="Y502" s="3" t="n"/>
      <c r="Z502" s="3">
        <f>IF(W502=0,0,IF(Y502="",B502*X502/100,Y502))</f>
        <v/>
      </c>
      <c r="AA502" s="3" t="n"/>
      <c r="AB502" s="3" t="n"/>
      <c r="AC502" s="3">
        <f>B502*0.035</f>
        <v/>
      </c>
      <c r="AD502" s="3">
        <f>B502*0.065</f>
        <v/>
      </c>
      <c r="AE502" s="3">
        <f>SUM(B502,F502,J502,N502,R502,V502,Z502,AA502,AB502,AC502,AD502)</f>
        <v/>
      </c>
      <c r="AF502" s="3">
        <f>B502*0.055</f>
        <v/>
      </c>
      <c r="AG502" s="3">
        <f>B502*0.035</f>
        <v/>
      </c>
      <c r="AH502" s="3">
        <f>B502*0.165</f>
        <v/>
      </c>
      <c r="AI502" s="3">
        <f>MAX(0,AE502-AF502-AH502)</f>
        <v/>
      </c>
      <c r="AJ502" s="3">
        <f>IF(AI502&lt;=490,0,IF(AI502&lt;=600,(AI502-490)*0.05,IF(AI502&lt;=730,5.5+(AI502-600)*0.10,IF(AI502&lt;=3896.67,18.5+(AI502-730)*0.175,IF(AI502&lt;=19896.67,572.67+(AI502-3896.67)*0.25,IF(AI502&lt;=50416.67,4572.67+(AI502-19896.67)*0.30,13728.67+(AI502-50416.67)*0.35))))))</f>
        <v/>
      </c>
      <c r="AK502" s="3" t="n"/>
      <c r="AL502" s="3" t="n"/>
      <c r="AM502" s="3" t="n"/>
      <c r="AN502" s="3" t="n"/>
      <c r="AO502" s="3" t="n"/>
      <c r="AP502" s="3">
        <f>SUM(AF502,AJ502,AK502,AL502,AM502,AN502,AO502,AG502,AH502)</f>
        <v/>
      </c>
      <c r="AQ502" s="3">
        <f>AE502-AP502</f>
        <v/>
      </c>
      <c r="AR502" s="3" t="n"/>
      <c r="AS502" s="3" t="n"/>
      <c r="AT502" s="3">
        <f>AR502-AS502</f>
        <v/>
      </c>
    </row>
    <row r="503">
      <c r="A503" s="2" t="n"/>
      <c r="B503" s="3" t="n"/>
      <c r="C503" s="4" t="n"/>
      <c r="D503" s="5" t="n"/>
      <c r="E503" s="3" t="n"/>
      <c r="F503" s="3">
        <f>IF(C503=0,0,IF(E503="",B503*D503/100,E503))</f>
        <v/>
      </c>
      <c r="G503" s="4" t="n"/>
      <c r="H503" s="5" t="n"/>
      <c r="I503" s="3" t="n"/>
      <c r="J503" s="3">
        <f>IF(G503=0,0,IF(I503="",B503*H503/100,I503))</f>
        <v/>
      </c>
      <c r="K503" s="4" t="n"/>
      <c r="L503" s="5" t="n"/>
      <c r="M503" s="3" t="n"/>
      <c r="N503" s="3">
        <f>IF(K503=0,0,IF(M503="",B503*L503/100,M503))</f>
        <v/>
      </c>
      <c r="O503" s="4" t="n"/>
      <c r="P503" s="5" t="n"/>
      <c r="Q503" s="3" t="n"/>
      <c r="R503" s="3">
        <f>IF(O503=0,0,IF(Q503="",B503*P503/100,Q503))</f>
        <v/>
      </c>
      <c r="S503" s="4" t="n"/>
      <c r="T503" s="5" t="n"/>
      <c r="U503" s="3" t="n"/>
      <c r="V503" s="3">
        <f>IF(S503=0,0,IF(U503="",B503*T503/100,U503))</f>
        <v/>
      </c>
      <c r="W503" s="4" t="n"/>
      <c r="X503" s="5" t="n"/>
      <c r="Y503" s="3" t="n"/>
      <c r="Z503" s="3">
        <f>IF(W503=0,0,IF(Y503="",B503*X503/100,Y503))</f>
        <v/>
      </c>
      <c r="AA503" s="3" t="n"/>
      <c r="AB503" s="3" t="n"/>
      <c r="AC503" s="3">
        <f>B503*0.035</f>
        <v/>
      </c>
      <c r="AD503" s="3">
        <f>B503*0.065</f>
        <v/>
      </c>
      <c r="AE503" s="3">
        <f>SUM(B503,F503,J503,N503,R503,V503,Z503,AA503,AB503,AC503,AD503)</f>
        <v/>
      </c>
      <c r="AF503" s="3">
        <f>B503*0.055</f>
        <v/>
      </c>
      <c r="AG503" s="3">
        <f>B503*0.035</f>
        <v/>
      </c>
      <c r="AH503" s="3">
        <f>B503*0.165</f>
        <v/>
      </c>
      <c r="AI503" s="3">
        <f>MAX(0,AE503-AF503-AH503)</f>
        <v/>
      </c>
      <c r="AJ503" s="3">
        <f>IF(AI503&lt;=490,0,IF(AI503&lt;=600,(AI503-490)*0.05,IF(AI503&lt;=730,5.5+(AI503-600)*0.10,IF(AI503&lt;=3896.67,18.5+(AI503-730)*0.175,IF(AI503&lt;=19896.67,572.67+(AI503-3896.67)*0.25,IF(AI503&lt;=50416.67,4572.67+(AI503-19896.67)*0.30,13728.67+(AI503-50416.67)*0.35))))))</f>
        <v/>
      </c>
      <c r="AK503" s="3" t="n"/>
      <c r="AL503" s="3" t="n"/>
      <c r="AM503" s="3" t="n"/>
      <c r="AN503" s="3" t="n"/>
      <c r="AO503" s="3" t="n"/>
      <c r="AP503" s="3">
        <f>SUM(AF503,AJ503,AK503,AL503,AM503,AN503,AO503,AG503,AH503)</f>
        <v/>
      </c>
      <c r="AQ503" s="3">
        <f>AE503-AP503</f>
        <v/>
      </c>
      <c r="AR503" s="3" t="n"/>
      <c r="AS503" s="3" t="n"/>
      <c r="AT503" s="3">
        <f>AR503-AS503</f>
        <v/>
      </c>
    </row>
    <row r="504">
      <c r="A504" s="2" t="n"/>
      <c r="B504" s="3" t="n"/>
      <c r="C504" s="4" t="n"/>
      <c r="D504" s="5" t="n"/>
      <c r="E504" s="3" t="n"/>
      <c r="F504" s="3">
        <f>IF(C504=0,0,IF(E504="",B504*D504/100,E504))</f>
        <v/>
      </c>
      <c r="G504" s="4" t="n"/>
      <c r="H504" s="5" t="n"/>
      <c r="I504" s="3" t="n"/>
      <c r="J504" s="3">
        <f>IF(G504=0,0,IF(I504="",B504*H504/100,I504))</f>
        <v/>
      </c>
      <c r="K504" s="4" t="n"/>
      <c r="L504" s="5" t="n"/>
      <c r="M504" s="3" t="n"/>
      <c r="N504" s="3">
        <f>IF(K504=0,0,IF(M504="",B504*L504/100,M504))</f>
        <v/>
      </c>
      <c r="O504" s="4" t="n"/>
      <c r="P504" s="5" t="n"/>
      <c r="Q504" s="3" t="n"/>
      <c r="R504" s="3">
        <f>IF(O504=0,0,IF(Q504="",B504*P504/100,Q504))</f>
        <v/>
      </c>
      <c r="S504" s="4" t="n"/>
      <c r="T504" s="5" t="n"/>
      <c r="U504" s="3" t="n"/>
      <c r="V504" s="3">
        <f>IF(S504=0,0,IF(U504="",B504*T504/100,U504))</f>
        <v/>
      </c>
      <c r="W504" s="4" t="n"/>
      <c r="X504" s="5" t="n"/>
      <c r="Y504" s="3" t="n"/>
      <c r="Z504" s="3">
        <f>IF(W504=0,0,IF(Y504="",B504*X504/100,Y504))</f>
        <v/>
      </c>
      <c r="AA504" s="3" t="n"/>
      <c r="AB504" s="3" t="n"/>
      <c r="AC504" s="3">
        <f>B504*0.035</f>
        <v/>
      </c>
      <c r="AD504" s="3">
        <f>B504*0.065</f>
        <v/>
      </c>
      <c r="AE504" s="3">
        <f>SUM(B504,F504,J504,N504,R504,V504,Z504,AA504,AB504,AC504,AD504)</f>
        <v/>
      </c>
      <c r="AF504" s="3">
        <f>B504*0.055</f>
        <v/>
      </c>
      <c r="AG504" s="3">
        <f>B504*0.035</f>
        <v/>
      </c>
      <c r="AH504" s="3">
        <f>B504*0.165</f>
        <v/>
      </c>
      <c r="AI504" s="3">
        <f>MAX(0,AE504-AF504-AH504)</f>
        <v/>
      </c>
      <c r="AJ504" s="3">
        <f>IF(AI504&lt;=490,0,IF(AI504&lt;=600,(AI504-490)*0.05,IF(AI504&lt;=730,5.5+(AI504-600)*0.10,IF(AI504&lt;=3896.67,18.5+(AI504-730)*0.175,IF(AI504&lt;=19896.67,572.67+(AI504-3896.67)*0.25,IF(AI504&lt;=50416.67,4572.67+(AI504-19896.67)*0.30,13728.67+(AI504-50416.67)*0.35))))))</f>
        <v/>
      </c>
      <c r="AK504" s="3" t="n"/>
      <c r="AL504" s="3" t="n"/>
      <c r="AM504" s="3" t="n"/>
      <c r="AN504" s="3" t="n"/>
      <c r="AO504" s="3" t="n"/>
      <c r="AP504" s="3">
        <f>SUM(AF504,AJ504,AK504,AL504,AM504,AN504,AO504,AG504,AH504)</f>
        <v/>
      </c>
      <c r="AQ504" s="3">
        <f>AE504-AP504</f>
        <v/>
      </c>
      <c r="AR504" s="3" t="n"/>
      <c r="AS504" s="3" t="n"/>
      <c r="AT504" s="3">
        <f>AR504-AS504</f>
        <v/>
      </c>
    </row>
    <row r="505">
      <c r="A505" s="2" t="n"/>
      <c r="B505" s="3" t="n"/>
      <c r="C505" s="4" t="n"/>
      <c r="D505" s="5" t="n"/>
      <c r="E505" s="3" t="n"/>
      <c r="F505" s="3">
        <f>IF(C505=0,0,IF(E505="",B505*D505/100,E505))</f>
        <v/>
      </c>
      <c r="G505" s="4" t="n"/>
      <c r="H505" s="5" t="n"/>
      <c r="I505" s="3" t="n"/>
      <c r="J505" s="3">
        <f>IF(G505=0,0,IF(I505="",B505*H505/100,I505))</f>
        <v/>
      </c>
      <c r="K505" s="4" t="n"/>
      <c r="L505" s="5" t="n"/>
      <c r="M505" s="3" t="n"/>
      <c r="N505" s="3">
        <f>IF(K505=0,0,IF(M505="",B505*L505/100,M505))</f>
        <v/>
      </c>
      <c r="O505" s="4" t="n"/>
      <c r="P505" s="5" t="n"/>
      <c r="Q505" s="3" t="n"/>
      <c r="R505" s="3">
        <f>IF(O505=0,0,IF(Q505="",B505*P505/100,Q505))</f>
        <v/>
      </c>
      <c r="S505" s="4" t="n"/>
      <c r="T505" s="5" t="n"/>
      <c r="U505" s="3" t="n"/>
      <c r="V505" s="3">
        <f>IF(S505=0,0,IF(U505="",B505*T505/100,U505))</f>
        <v/>
      </c>
      <c r="W505" s="4" t="n"/>
      <c r="X505" s="5" t="n"/>
      <c r="Y505" s="3" t="n"/>
      <c r="Z505" s="3">
        <f>IF(W505=0,0,IF(Y505="",B505*X505/100,Y505))</f>
        <v/>
      </c>
      <c r="AA505" s="3" t="n"/>
      <c r="AB505" s="3" t="n"/>
      <c r="AC505" s="3">
        <f>B505*0.035</f>
        <v/>
      </c>
      <c r="AD505" s="3">
        <f>B505*0.065</f>
        <v/>
      </c>
      <c r="AE505" s="3">
        <f>SUM(B505,F505,J505,N505,R505,V505,Z505,AA505,AB505,AC505,AD505)</f>
        <v/>
      </c>
      <c r="AF505" s="3">
        <f>B505*0.055</f>
        <v/>
      </c>
      <c r="AG505" s="3">
        <f>B505*0.035</f>
        <v/>
      </c>
      <c r="AH505" s="3">
        <f>B505*0.165</f>
        <v/>
      </c>
      <c r="AI505" s="3">
        <f>MAX(0,AE505-AF505-AH505)</f>
        <v/>
      </c>
      <c r="AJ505" s="3">
        <f>IF(AI505&lt;=490,0,IF(AI505&lt;=600,(AI505-490)*0.05,IF(AI505&lt;=730,5.5+(AI505-600)*0.10,IF(AI505&lt;=3896.67,18.5+(AI505-730)*0.175,IF(AI505&lt;=19896.67,572.67+(AI505-3896.67)*0.25,IF(AI505&lt;=50416.67,4572.67+(AI505-19896.67)*0.30,13728.67+(AI505-50416.67)*0.35))))))</f>
        <v/>
      </c>
      <c r="AK505" s="3" t="n"/>
      <c r="AL505" s="3" t="n"/>
      <c r="AM505" s="3" t="n"/>
      <c r="AN505" s="3" t="n"/>
      <c r="AO505" s="3" t="n"/>
      <c r="AP505" s="3">
        <f>SUM(AF505,AJ505,AK505,AL505,AM505,AN505,AO505,AG505,AH505)</f>
        <v/>
      </c>
      <c r="AQ505" s="3">
        <f>AE505-AP505</f>
        <v/>
      </c>
      <c r="AR505" s="3" t="n"/>
      <c r="AS505" s="3" t="n"/>
      <c r="AT505" s="3">
        <f>AR505-AS505</f>
        <v/>
      </c>
    </row>
    <row r="506">
      <c r="A506" s="2" t="n"/>
      <c r="B506" s="3" t="n"/>
      <c r="C506" s="4" t="n"/>
      <c r="D506" s="5" t="n"/>
      <c r="E506" s="3" t="n"/>
      <c r="F506" s="3">
        <f>IF(C506=0,0,IF(E506="",B506*D506/100,E506))</f>
        <v/>
      </c>
      <c r="G506" s="4" t="n"/>
      <c r="H506" s="5" t="n"/>
      <c r="I506" s="3" t="n"/>
      <c r="J506" s="3">
        <f>IF(G506=0,0,IF(I506="",B506*H506/100,I506))</f>
        <v/>
      </c>
      <c r="K506" s="4" t="n"/>
      <c r="L506" s="5" t="n"/>
      <c r="M506" s="3" t="n"/>
      <c r="N506" s="3">
        <f>IF(K506=0,0,IF(M506="",B506*L506/100,M506))</f>
        <v/>
      </c>
      <c r="O506" s="4" t="n"/>
      <c r="P506" s="5" t="n"/>
      <c r="Q506" s="3" t="n"/>
      <c r="R506" s="3">
        <f>IF(O506=0,0,IF(Q506="",B506*P506/100,Q506))</f>
        <v/>
      </c>
      <c r="S506" s="4" t="n"/>
      <c r="T506" s="5" t="n"/>
      <c r="U506" s="3" t="n"/>
      <c r="V506" s="3">
        <f>IF(S506=0,0,IF(U506="",B506*T506/100,U506))</f>
        <v/>
      </c>
      <c r="W506" s="4" t="n"/>
      <c r="X506" s="5" t="n"/>
      <c r="Y506" s="3" t="n"/>
      <c r="Z506" s="3">
        <f>IF(W506=0,0,IF(Y506="",B506*X506/100,Y506))</f>
        <v/>
      </c>
      <c r="AA506" s="3" t="n"/>
      <c r="AB506" s="3" t="n"/>
      <c r="AC506" s="3">
        <f>B506*0.035</f>
        <v/>
      </c>
      <c r="AD506" s="3">
        <f>B506*0.065</f>
        <v/>
      </c>
      <c r="AE506" s="3">
        <f>SUM(B506,F506,J506,N506,R506,V506,Z506,AA506,AB506,AC506,AD506)</f>
        <v/>
      </c>
      <c r="AF506" s="3">
        <f>B506*0.055</f>
        <v/>
      </c>
      <c r="AG506" s="3">
        <f>B506*0.035</f>
        <v/>
      </c>
      <c r="AH506" s="3">
        <f>B506*0.165</f>
        <v/>
      </c>
      <c r="AI506" s="3">
        <f>MAX(0,AE506-AF506-AH506)</f>
        <v/>
      </c>
      <c r="AJ506" s="3">
        <f>IF(AI506&lt;=490,0,IF(AI506&lt;=600,(AI506-490)*0.05,IF(AI506&lt;=730,5.5+(AI506-600)*0.10,IF(AI506&lt;=3896.67,18.5+(AI506-730)*0.175,IF(AI506&lt;=19896.67,572.67+(AI506-3896.67)*0.25,IF(AI506&lt;=50416.67,4572.67+(AI506-19896.67)*0.30,13728.67+(AI506-50416.67)*0.35))))))</f>
        <v/>
      </c>
      <c r="AK506" s="3" t="n"/>
      <c r="AL506" s="3" t="n"/>
      <c r="AM506" s="3" t="n"/>
      <c r="AN506" s="3" t="n"/>
      <c r="AO506" s="3" t="n"/>
      <c r="AP506" s="3">
        <f>SUM(AF506,AJ506,AK506,AL506,AM506,AN506,AO506,AG506,AH506)</f>
        <v/>
      </c>
      <c r="AQ506" s="3">
        <f>AE506-AP506</f>
        <v/>
      </c>
      <c r="AR506" s="3" t="n"/>
      <c r="AS506" s="3" t="n"/>
      <c r="AT506" s="3">
        <f>AR506-AS506</f>
        <v/>
      </c>
    </row>
    <row r="507">
      <c r="A507" s="2" t="n"/>
      <c r="B507" s="3" t="n"/>
      <c r="C507" s="4" t="n"/>
      <c r="D507" s="5" t="n"/>
      <c r="E507" s="3" t="n"/>
      <c r="F507" s="3">
        <f>IF(C507=0,0,IF(E507="",B507*D507/100,E507))</f>
        <v/>
      </c>
      <c r="G507" s="4" t="n"/>
      <c r="H507" s="5" t="n"/>
      <c r="I507" s="3" t="n"/>
      <c r="J507" s="3">
        <f>IF(G507=0,0,IF(I507="",B507*H507/100,I507))</f>
        <v/>
      </c>
      <c r="K507" s="4" t="n"/>
      <c r="L507" s="5" t="n"/>
      <c r="M507" s="3" t="n"/>
      <c r="N507" s="3">
        <f>IF(K507=0,0,IF(M507="",B507*L507/100,M507))</f>
        <v/>
      </c>
      <c r="O507" s="4" t="n"/>
      <c r="P507" s="5" t="n"/>
      <c r="Q507" s="3" t="n"/>
      <c r="R507" s="3">
        <f>IF(O507=0,0,IF(Q507="",B507*P507/100,Q507))</f>
        <v/>
      </c>
      <c r="S507" s="4" t="n"/>
      <c r="T507" s="5" t="n"/>
      <c r="U507" s="3" t="n"/>
      <c r="V507" s="3">
        <f>IF(S507=0,0,IF(U507="",B507*T507/100,U507))</f>
        <v/>
      </c>
      <c r="W507" s="4" t="n"/>
      <c r="X507" s="5" t="n"/>
      <c r="Y507" s="3" t="n"/>
      <c r="Z507" s="3">
        <f>IF(W507=0,0,IF(Y507="",B507*X507/100,Y507))</f>
        <v/>
      </c>
      <c r="AA507" s="3" t="n"/>
      <c r="AB507" s="3" t="n"/>
      <c r="AC507" s="3">
        <f>B507*0.035</f>
        <v/>
      </c>
      <c r="AD507" s="3">
        <f>B507*0.065</f>
        <v/>
      </c>
      <c r="AE507" s="3">
        <f>SUM(B507,F507,J507,N507,R507,V507,Z507,AA507,AB507,AC507,AD507)</f>
        <v/>
      </c>
      <c r="AF507" s="3">
        <f>B507*0.055</f>
        <v/>
      </c>
      <c r="AG507" s="3">
        <f>B507*0.035</f>
        <v/>
      </c>
      <c r="AH507" s="3">
        <f>B507*0.165</f>
        <v/>
      </c>
      <c r="AI507" s="3">
        <f>MAX(0,AE507-AF507-AH507)</f>
        <v/>
      </c>
      <c r="AJ507" s="3">
        <f>IF(AI507&lt;=490,0,IF(AI507&lt;=600,(AI507-490)*0.05,IF(AI507&lt;=730,5.5+(AI507-600)*0.10,IF(AI507&lt;=3896.67,18.5+(AI507-730)*0.175,IF(AI507&lt;=19896.67,572.67+(AI507-3896.67)*0.25,IF(AI507&lt;=50416.67,4572.67+(AI507-19896.67)*0.30,13728.67+(AI507-50416.67)*0.35))))))</f>
        <v/>
      </c>
      <c r="AK507" s="3" t="n"/>
      <c r="AL507" s="3" t="n"/>
      <c r="AM507" s="3" t="n"/>
      <c r="AN507" s="3" t="n"/>
      <c r="AO507" s="3" t="n"/>
      <c r="AP507" s="3">
        <f>SUM(AF507,AJ507,AK507,AL507,AM507,AN507,AO507,AG507,AH507)</f>
        <v/>
      </c>
      <c r="AQ507" s="3">
        <f>AE507-AP507</f>
        <v/>
      </c>
      <c r="AR507" s="3" t="n"/>
      <c r="AS507" s="3" t="n"/>
      <c r="AT507" s="3">
        <f>AR507-AS507</f>
        <v/>
      </c>
    </row>
    <row r="508">
      <c r="A508" s="2" t="n"/>
      <c r="B508" s="3" t="n"/>
      <c r="C508" s="4" t="n"/>
      <c r="D508" s="5" t="n"/>
      <c r="E508" s="3" t="n"/>
      <c r="F508" s="3">
        <f>IF(C508=0,0,IF(E508="",B508*D508/100,E508))</f>
        <v/>
      </c>
      <c r="G508" s="4" t="n"/>
      <c r="H508" s="5" t="n"/>
      <c r="I508" s="3" t="n"/>
      <c r="J508" s="3">
        <f>IF(G508=0,0,IF(I508="",B508*H508/100,I508))</f>
        <v/>
      </c>
      <c r="K508" s="4" t="n"/>
      <c r="L508" s="5" t="n"/>
      <c r="M508" s="3" t="n"/>
      <c r="N508" s="3">
        <f>IF(K508=0,0,IF(M508="",B508*L508/100,M508))</f>
        <v/>
      </c>
      <c r="O508" s="4" t="n"/>
      <c r="P508" s="5" t="n"/>
      <c r="Q508" s="3" t="n"/>
      <c r="R508" s="3">
        <f>IF(O508=0,0,IF(Q508="",B508*P508/100,Q508))</f>
        <v/>
      </c>
      <c r="S508" s="4" t="n"/>
      <c r="T508" s="5" t="n"/>
      <c r="U508" s="3" t="n"/>
      <c r="V508" s="3">
        <f>IF(S508=0,0,IF(U508="",B508*T508/100,U508))</f>
        <v/>
      </c>
      <c r="W508" s="4" t="n"/>
      <c r="X508" s="5" t="n"/>
      <c r="Y508" s="3" t="n"/>
      <c r="Z508" s="3">
        <f>IF(W508=0,0,IF(Y508="",B508*X508/100,Y508))</f>
        <v/>
      </c>
      <c r="AA508" s="3" t="n"/>
      <c r="AB508" s="3" t="n"/>
      <c r="AC508" s="3">
        <f>B508*0.035</f>
        <v/>
      </c>
      <c r="AD508" s="3">
        <f>B508*0.065</f>
        <v/>
      </c>
      <c r="AE508" s="3">
        <f>SUM(B508,F508,J508,N508,R508,V508,Z508,AA508,AB508,AC508,AD508)</f>
        <v/>
      </c>
      <c r="AF508" s="3">
        <f>B508*0.055</f>
        <v/>
      </c>
      <c r="AG508" s="3">
        <f>B508*0.035</f>
        <v/>
      </c>
      <c r="AH508" s="3">
        <f>B508*0.165</f>
        <v/>
      </c>
      <c r="AI508" s="3">
        <f>MAX(0,AE508-AF508-AH508)</f>
        <v/>
      </c>
      <c r="AJ508" s="3">
        <f>IF(AI508&lt;=490,0,IF(AI508&lt;=600,(AI508-490)*0.05,IF(AI508&lt;=730,5.5+(AI508-600)*0.10,IF(AI508&lt;=3896.67,18.5+(AI508-730)*0.175,IF(AI508&lt;=19896.67,572.67+(AI508-3896.67)*0.25,IF(AI508&lt;=50416.67,4572.67+(AI508-19896.67)*0.30,13728.67+(AI508-50416.67)*0.35))))))</f>
        <v/>
      </c>
      <c r="AK508" s="3" t="n"/>
      <c r="AL508" s="3" t="n"/>
      <c r="AM508" s="3" t="n"/>
      <c r="AN508" s="3" t="n"/>
      <c r="AO508" s="3" t="n"/>
      <c r="AP508" s="3">
        <f>SUM(AF508,AJ508,AK508,AL508,AM508,AN508,AO508,AG508,AH508)</f>
        <v/>
      </c>
      <c r="AQ508" s="3">
        <f>AE508-AP508</f>
        <v/>
      </c>
      <c r="AR508" s="3" t="n"/>
      <c r="AS508" s="3" t="n"/>
      <c r="AT508" s="3">
        <f>AR508-AS508</f>
        <v/>
      </c>
    </row>
    <row r="509">
      <c r="A509" s="2" t="n"/>
      <c r="B509" s="3" t="n"/>
      <c r="C509" s="4" t="n"/>
      <c r="D509" s="5" t="n"/>
      <c r="E509" s="3" t="n"/>
      <c r="F509" s="3">
        <f>IF(C509=0,0,IF(E509="",B509*D509/100,E509))</f>
        <v/>
      </c>
      <c r="G509" s="4" t="n"/>
      <c r="H509" s="5" t="n"/>
      <c r="I509" s="3" t="n"/>
      <c r="J509" s="3">
        <f>IF(G509=0,0,IF(I509="",B509*H509/100,I509))</f>
        <v/>
      </c>
      <c r="K509" s="4" t="n"/>
      <c r="L509" s="5" t="n"/>
      <c r="M509" s="3" t="n"/>
      <c r="N509" s="3">
        <f>IF(K509=0,0,IF(M509="",B509*L509/100,M509))</f>
        <v/>
      </c>
      <c r="O509" s="4" t="n"/>
      <c r="P509" s="5" t="n"/>
      <c r="Q509" s="3" t="n"/>
      <c r="R509" s="3">
        <f>IF(O509=0,0,IF(Q509="",B509*P509/100,Q509))</f>
        <v/>
      </c>
      <c r="S509" s="4" t="n"/>
      <c r="T509" s="5" t="n"/>
      <c r="U509" s="3" t="n"/>
      <c r="V509" s="3">
        <f>IF(S509=0,0,IF(U509="",B509*T509/100,U509))</f>
        <v/>
      </c>
      <c r="W509" s="4" t="n"/>
      <c r="X509" s="5" t="n"/>
      <c r="Y509" s="3" t="n"/>
      <c r="Z509" s="3">
        <f>IF(W509=0,0,IF(Y509="",B509*X509/100,Y509))</f>
        <v/>
      </c>
      <c r="AA509" s="3" t="n"/>
      <c r="AB509" s="3" t="n"/>
      <c r="AC509" s="3">
        <f>B509*0.035</f>
        <v/>
      </c>
      <c r="AD509" s="3">
        <f>B509*0.065</f>
        <v/>
      </c>
      <c r="AE509" s="3">
        <f>SUM(B509,F509,J509,N509,R509,V509,Z509,AA509,AB509,AC509,AD509)</f>
        <v/>
      </c>
      <c r="AF509" s="3">
        <f>B509*0.055</f>
        <v/>
      </c>
      <c r="AG509" s="3">
        <f>B509*0.035</f>
        <v/>
      </c>
      <c r="AH509" s="3">
        <f>B509*0.165</f>
        <v/>
      </c>
      <c r="AI509" s="3">
        <f>MAX(0,AE509-AF509-AH509)</f>
        <v/>
      </c>
      <c r="AJ509" s="3">
        <f>IF(AI509&lt;=490,0,IF(AI509&lt;=600,(AI509-490)*0.05,IF(AI509&lt;=730,5.5+(AI509-600)*0.10,IF(AI509&lt;=3896.67,18.5+(AI509-730)*0.175,IF(AI509&lt;=19896.67,572.67+(AI509-3896.67)*0.25,IF(AI509&lt;=50416.67,4572.67+(AI509-19896.67)*0.30,13728.67+(AI509-50416.67)*0.35))))))</f>
        <v/>
      </c>
      <c r="AK509" s="3" t="n"/>
      <c r="AL509" s="3" t="n"/>
      <c r="AM509" s="3" t="n"/>
      <c r="AN509" s="3" t="n"/>
      <c r="AO509" s="3" t="n"/>
      <c r="AP509" s="3">
        <f>SUM(AF509,AJ509,AK509,AL509,AM509,AN509,AO509,AG509,AH509)</f>
        <v/>
      </c>
      <c r="AQ509" s="3">
        <f>AE509-AP509</f>
        <v/>
      </c>
      <c r="AR509" s="3" t="n"/>
      <c r="AS509" s="3" t="n"/>
      <c r="AT509" s="3">
        <f>AR509-AS509</f>
        <v/>
      </c>
    </row>
    <row r="510">
      <c r="A510" s="2" t="n"/>
      <c r="B510" s="3" t="n"/>
      <c r="C510" s="4" t="n"/>
      <c r="D510" s="5" t="n"/>
      <c r="E510" s="3" t="n"/>
      <c r="F510" s="3">
        <f>IF(C510=0,0,IF(E510="",B510*D510/100,E510))</f>
        <v/>
      </c>
      <c r="G510" s="4" t="n"/>
      <c r="H510" s="5" t="n"/>
      <c r="I510" s="3" t="n"/>
      <c r="J510" s="3">
        <f>IF(G510=0,0,IF(I510="",B510*H510/100,I510))</f>
        <v/>
      </c>
      <c r="K510" s="4" t="n"/>
      <c r="L510" s="5" t="n"/>
      <c r="M510" s="3" t="n"/>
      <c r="N510" s="3">
        <f>IF(K510=0,0,IF(M510="",B510*L510/100,M510))</f>
        <v/>
      </c>
      <c r="O510" s="4" t="n"/>
      <c r="P510" s="5" t="n"/>
      <c r="Q510" s="3" t="n"/>
      <c r="R510" s="3">
        <f>IF(O510=0,0,IF(Q510="",B510*P510/100,Q510))</f>
        <v/>
      </c>
      <c r="S510" s="4" t="n"/>
      <c r="T510" s="5" t="n"/>
      <c r="U510" s="3" t="n"/>
      <c r="V510" s="3">
        <f>IF(S510=0,0,IF(U510="",B510*T510/100,U510))</f>
        <v/>
      </c>
      <c r="W510" s="4" t="n"/>
      <c r="X510" s="5" t="n"/>
      <c r="Y510" s="3" t="n"/>
      <c r="Z510" s="3">
        <f>IF(W510=0,0,IF(Y510="",B510*X510/100,Y510))</f>
        <v/>
      </c>
      <c r="AA510" s="3" t="n"/>
      <c r="AB510" s="3" t="n"/>
      <c r="AC510" s="3">
        <f>B510*0.035</f>
        <v/>
      </c>
      <c r="AD510" s="3">
        <f>B510*0.065</f>
        <v/>
      </c>
      <c r="AE510" s="3">
        <f>SUM(B510,F510,J510,N510,R510,V510,Z510,AA510,AB510,AC510,AD510)</f>
        <v/>
      </c>
      <c r="AF510" s="3">
        <f>B510*0.055</f>
        <v/>
      </c>
      <c r="AG510" s="3">
        <f>B510*0.035</f>
        <v/>
      </c>
      <c r="AH510" s="3">
        <f>B510*0.165</f>
        <v/>
      </c>
      <c r="AI510" s="3">
        <f>MAX(0,AE510-AF510-AH510)</f>
        <v/>
      </c>
      <c r="AJ510" s="3">
        <f>IF(AI510&lt;=490,0,IF(AI510&lt;=600,(AI510-490)*0.05,IF(AI510&lt;=730,5.5+(AI510-600)*0.10,IF(AI510&lt;=3896.67,18.5+(AI510-730)*0.175,IF(AI510&lt;=19896.67,572.67+(AI510-3896.67)*0.25,IF(AI510&lt;=50416.67,4572.67+(AI510-19896.67)*0.30,13728.67+(AI510-50416.67)*0.35))))))</f>
        <v/>
      </c>
      <c r="AK510" s="3" t="n"/>
      <c r="AL510" s="3" t="n"/>
      <c r="AM510" s="3" t="n"/>
      <c r="AN510" s="3" t="n"/>
      <c r="AO510" s="3" t="n"/>
      <c r="AP510" s="3">
        <f>SUM(AF510,AJ510,AK510,AL510,AM510,AN510,AO510,AG510,AH510)</f>
        <v/>
      </c>
      <c r="AQ510" s="3">
        <f>AE510-AP510</f>
        <v/>
      </c>
      <c r="AR510" s="3" t="n"/>
      <c r="AS510" s="3" t="n"/>
      <c r="AT510" s="3">
        <f>AR510-AS510</f>
        <v/>
      </c>
    </row>
    <row r="511">
      <c r="A511" s="2" t="n"/>
      <c r="B511" s="3" t="n"/>
      <c r="C511" s="4" t="n"/>
      <c r="D511" s="5" t="n"/>
      <c r="E511" s="3" t="n"/>
      <c r="F511" s="3">
        <f>IF(C511=0,0,IF(E511="",B511*D511/100,E511))</f>
        <v/>
      </c>
      <c r="G511" s="4" t="n"/>
      <c r="H511" s="5" t="n"/>
      <c r="I511" s="3" t="n"/>
      <c r="J511" s="3">
        <f>IF(G511=0,0,IF(I511="",B511*H511/100,I511))</f>
        <v/>
      </c>
      <c r="K511" s="4" t="n"/>
      <c r="L511" s="5" t="n"/>
      <c r="M511" s="3" t="n"/>
      <c r="N511" s="3">
        <f>IF(K511=0,0,IF(M511="",B511*L511/100,M511))</f>
        <v/>
      </c>
      <c r="O511" s="4" t="n"/>
      <c r="P511" s="5" t="n"/>
      <c r="Q511" s="3" t="n"/>
      <c r="R511" s="3">
        <f>IF(O511=0,0,IF(Q511="",B511*P511/100,Q511))</f>
        <v/>
      </c>
      <c r="S511" s="4" t="n"/>
      <c r="T511" s="5" t="n"/>
      <c r="U511" s="3" t="n"/>
      <c r="V511" s="3">
        <f>IF(S511=0,0,IF(U511="",B511*T511/100,U511))</f>
        <v/>
      </c>
      <c r="W511" s="4" t="n"/>
      <c r="X511" s="5" t="n"/>
      <c r="Y511" s="3" t="n"/>
      <c r="Z511" s="3">
        <f>IF(W511=0,0,IF(Y511="",B511*X511/100,Y511))</f>
        <v/>
      </c>
      <c r="AA511" s="3" t="n"/>
      <c r="AB511" s="3" t="n"/>
      <c r="AC511" s="3">
        <f>B511*0.035</f>
        <v/>
      </c>
      <c r="AD511" s="3">
        <f>B511*0.065</f>
        <v/>
      </c>
      <c r="AE511" s="3">
        <f>SUM(B511,F511,J511,N511,R511,V511,Z511,AA511,AB511,AC511,AD511)</f>
        <v/>
      </c>
      <c r="AF511" s="3">
        <f>B511*0.055</f>
        <v/>
      </c>
      <c r="AG511" s="3">
        <f>B511*0.035</f>
        <v/>
      </c>
      <c r="AH511" s="3">
        <f>B511*0.165</f>
        <v/>
      </c>
      <c r="AI511" s="3">
        <f>MAX(0,AE511-AF511-AH511)</f>
        <v/>
      </c>
      <c r="AJ511" s="3">
        <f>IF(AI511&lt;=490,0,IF(AI511&lt;=600,(AI511-490)*0.05,IF(AI511&lt;=730,5.5+(AI511-600)*0.10,IF(AI511&lt;=3896.67,18.5+(AI511-730)*0.175,IF(AI511&lt;=19896.67,572.67+(AI511-3896.67)*0.25,IF(AI511&lt;=50416.67,4572.67+(AI511-19896.67)*0.30,13728.67+(AI511-50416.67)*0.35))))))</f>
        <v/>
      </c>
      <c r="AK511" s="3" t="n"/>
      <c r="AL511" s="3" t="n"/>
      <c r="AM511" s="3" t="n"/>
      <c r="AN511" s="3" t="n"/>
      <c r="AO511" s="3" t="n"/>
      <c r="AP511" s="3">
        <f>SUM(AF511,AJ511,AK511,AL511,AM511,AN511,AO511,AG511,AH511)</f>
        <v/>
      </c>
      <c r="AQ511" s="3">
        <f>AE511-AP511</f>
        <v/>
      </c>
      <c r="AR511" s="3" t="n"/>
      <c r="AS511" s="3" t="n"/>
      <c r="AT511" s="3">
        <f>AR511-AS511</f>
        <v/>
      </c>
    </row>
    <row r="512">
      <c r="A512" s="2" t="n"/>
      <c r="B512" s="3" t="n"/>
      <c r="C512" s="4" t="n"/>
      <c r="D512" s="5" t="n"/>
      <c r="E512" s="3" t="n"/>
      <c r="F512" s="3">
        <f>IF(C512=0,0,IF(E512="",B512*D512/100,E512))</f>
        <v/>
      </c>
      <c r="G512" s="4" t="n"/>
      <c r="H512" s="5" t="n"/>
      <c r="I512" s="3" t="n"/>
      <c r="J512" s="3">
        <f>IF(G512=0,0,IF(I512="",B512*H512/100,I512))</f>
        <v/>
      </c>
      <c r="K512" s="4" t="n"/>
      <c r="L512" s="5" t="n"/>
      <c r="M512" s="3" t="n"/>
      <c r="N512" s="3">
        <f>IF(K512=0,0,IF(M512="",B512*L512/100,M512))</f>
        <v/>
      </c>
      <c r="O512" s="4" t="n"/>
      <c r="P512" s="5" t="n"/>
      <c r="Q512" s="3" t="n"/>
      <c r="R512" s="3">
        <f>IF(O512=0,0,IF(Q512="",B512*P512/100,Q512))</f>
        <v/>
      </c>
      <c r="S512" s="4" t="n"/>
      <c r="T512" s="5" t="n"/>
      <c r="U512" s="3" t="n"/>
      <c r="V512" s="3">
        <f>IF(S512=0,0,IF(U512="",B512*T512/100,U512))</f>
        <v/>
      </c>
      <c r="W512" s="4" t="n"/>
      <c r="X512" s="5" t="n"/>
      <c r="Y512" s="3" t="n"/>
      <c r="Z512" s="3">
        <f>IF(W512=0,0,IF(Y512="",B512*X512/100,Y512))</f>
        <v/>
      </c>
      <c r="AA512" s="3" t="n"/>
      <c r="AB512" s="3" t="n"/>
      <c r="AC512" s="3">
        <f>B512*0.035</f>
        <v/>
      </c>
      <c r="AD512" s="3">
        <f>B512*0.065</f>
        <v/>
      </c>
      <c r="AE512" s="3">
        <f>SUM(B512,F512,J512,N512,R512,V512,Z512,AA512,AB512,AC512,AD512)</f>
        <v/>
      </c>
      <c r="AF512" s="3">
        <f>B512*0.055</f>
        <v/>
      </c>
      <c r="AG512" s="3">
        <f>B512*0.035</f>
        <v/>
      </c>
      <c r="AH512" s="3">
        <f>B512*0.165</f>
        <v/>
      </c>
      <c r="AI512" s="3">
        <f>MAX(0,AE512-AF512-AH512)</f>
        <v/>
      </c>
      <c r="AJ512" s="3">
        <f>IF(AI512&lt;=490,0,IF(AI512&lt;=600,(AI512-490)*0.05,IF(AI512&lt;=730,5.5+(AI512-600)*0.10,IF(AI512&lt;=3896.67,18.5+(AI512-730)*0.175,IF(AI512&lt;=19896.67,572.67+(AI512-3896.67)*0.25,IF(AI512&lt;=50416.67,4572.67+(AI512-19896.67)*0.30,13728.67+(AI512-50416.67)*0.35))))))</f>
        <v/>
      </c>
      <c r="AK512" s="3" t="n"/>
      <c r="AL512" s="3" t="n"/>
      <c r="AM512" s="3" t="n"/>
      <c r="AN512" s="3" t="n"/>
      <c r="AO512" s="3" t="n"/>
      <c r="AP512" s="3">
        <f>SUM(AF512,AJ512,AK512,AL512,AM512,AN512,AO512,AG512,AH512)</f>
        <v/>
      </c>
      <c r="AQ512" s="3">
        <f>AE512-AP512</f>
        <v/>
      </c>
      <c r="AR512" s="3" t="n"/>
      <c r="AS512" s="3" t="n"/>
      <c r="AT512" s="3">
        <f>AR512-AS512</f>
        <v/>
      </c>
    </row>
    <row r="513">
      <c r="A513" s="2" t="n"/>
      <c r="B513" s="3" t="n"/>
      <c r="C513" s="4" t="n"/>
      <c r="D513" s="5" t="n"/>
      <c r="E513" s="3" t="n"/>
      <c r="F513" s="3">
        <f>IF(C513=0,0,IF(E513="",B513*D513/100,E513))</f>
        <v/>
      </c>
      <c r="G513" s="4" t="n"/>
      <c r="H513" s="5" t="n"/>
      <c r="I513" s="3" t="n"/>
      <c r="J513" s="3">
        <f>IF(G513=0,0,IF(I513="",B513*H513/100,I513))</f>
        <v/>
      </c>
      <c r="K513" s="4" t="n"/>
      <c r="L513" s="5" t="n"/>
      <c r="M513" s="3" t="n"/>
      <c r="N513" s="3">
        <f>IF(K513=0,0,IF(M513="",B513*L513/100,M513))</f>
        <v/>
      </c>
      <c r="O513" s="4" t="n"/>
      <c r="P513" s="5" t="n"/>
      <c r="Q513" s="3" t="n"/>
      <c r="R513" s="3">
        <f>IF(O513=0,0,IF(Q513="",B513*P513/100,Q513))</f>
        <v/>
      </c>
      <c r="S513" s="4" t="n"/>
      <c r="T513" s="5" t="n"/>
      <c r="U513" s="3" t="n"/>
      <c r="V513" s="3">
        <f>IF(S513=0,0,IF(U513="",B513*T513/100,U513))</f>
        <v/>
      </c>
      <c r="W513" s="4" t="n"/>
      <c r="X513" s="5" t="n"/>
      <c r="Y513" s="3" t="n"/>
      <c r="Z513" s="3">
        <f>IF(W513=0,0,IF(Y513="",B513*X513/100,Y513))</f>
        <v/>
      </c>
      <c r="AA513" s="3" t="n"/>
      <c r="AB513" s="3" t="n"/>
      <c r="AC513" s="3">
        <f>B513*0.035</f>
        <v/>
      </c>
      <c r="AD513" s="3">
        <f>B513*0.065</f>
        <v/>
      </c>
      <c r="AE513" s="3">
        <f>SUM(B513,F513,J513,N513,R513,V513,Z513,AA513,AB513,AC513,AD513)</f>
        <v/>
      </c>
      <c r="AF513" s="3">
        <f>B513*0.055</f>
        <v/>
      </c>
      <c r="AG513" s="3">
        <f>B513*0.035</f>
        <v/>
      </c>
      <c r="AH513" s="3">
        <f>B513*0.165</f>
        <v/>
      </c>
      <c r="AI513" s="3">
        <f>MAX(0,AE513-AF513-AH513)</f>
        <v/>
      </c>
      <c r="AJ513" s="3">
        <f>IF(AI513&lt;=490,0,IF(AI513&lt;=600,(AI513-490)*0.05,IF(AI513&lt;=730,5.5+(AI513-600)*0.10,IF(AI513&lt;=3896.67,18.5+(AI513-730)*0.175,IF(AI513&lt;=19896.67,572.67+(AI513-3896.67)*0.25,IF(AI513&lt;=50416.67,4572.67+(AI513-19896.67)*0.30,13728.67+(AI513-50416.67)*0.35))))))</f>
        <v/>
      </c>
      <c r="AK513" s="3" t="n"/>
      <c r="AL513" s="3" t="n"/>
      <c r="AM513" s="3" t="n"/>
      <c r="AN513" s="3" t="n"/>
      <c r="AO513" s="3" t="n"/>
      <c r="AP513" s="3">
        <f>SUM(AF513,AJ513,AK513,AL513,AM513,AN513,AO513,AG513,AH513)</f>
        <v/>
      </c>
      <c r="AQ513" s="3">
        <f>AE513-AP513</f>
        <v/>
      </c>
      <c r="AR513" s="3" t="n"/>
      <c r="AS513" s="3" t="n"/>
      <c r="AT513" s="3">
        <f>AR513-AS513</f>
        <v/>
      </c>
    </row>
    <row r="514">
      <c r="A514" s="2" t="n"/>
      <c r="B514" s="3" t="n"/>
      <c r="C514" s="4" t="n"/>
      <c r="D514" s="5" t="n"/>
      <c r="E514" s="3" t="n"/>
      <c r="F514" s="3">
        <f>IF(C514=0,0,IF(E514="",B514*D514/100,E514))</f>
        <v/>
      </c>
      <c r="G514" s="4" t="n"/>
      <c r="H514" s="5" t="n"/>
      <c r="I514" s="3" t="n"/>
      <c r="J514" s="3">
        <f>IF(G514=0,0,IF(I514="",B514*H514/100,I514))</f>
        <v/>
      </c>
      <c r="K514" s="4" t="n"/>
      <c r="L514" s="5" t="n"/>
      <c r="M514" s="3" t="n"/>
      <c r="N514" s="3">
        <f>IF(K514=0,0,IF(M514="",B514*L514/100,M514))</f>
        <v/>
      </c>
      <c r="O514" s="4" t="n"/>
      <c r="P514" s="5" t="n"/>
      <c r="Q514" s="3" t="n"/>
      <c r="R514" s="3">
        <f>IF(O514=0,0,IF(Q514="",B514*P514/100,Q514))</f>
        <v/>
      </c>
      <c r="S514" s="4" t="n"/>
      <c r="T514" s="5" t="n"/>
      <c r="U514" s="3" t="n"/>
      <c r="V514" s="3">
        <f>IF(S514=0,0,IF(U514="",B514*T514/100,U514))</f>
        <v/>
      </c>
      <c r="W514" s="4" t="n"/>
      <c r="X514" s="5" t="n"/>
      <c r="Y514" s="3" t="n"/>
      <c r="Z514" s="3">
        <f>IF(W514=0,0,IF(Y514="",B514*X514/100,Y514))</f>
        <v/>
      </c>
      <c r="AA514" s="3" t="n"/>
      <c r="AB514" s="3" t="n"/>
      <c r="AC514" s="3">
        <f>B514*0.035</f>
        <v/>
      </c>
      <c r="AD514" s="3">
        <f>B514*0.065</f>
        <v/>
      </c>
      <c r="AE514" s="3">
        <f>SUM(B514,F514,J514,N514,R514,V514,Z514,AA514,AB514,AC514,AD514)</f>
        <v/>
      </c>
      <c r="AF514" s="3">
        <f>B514*0.055</f>
        <v/>
      </c>
      <c r="AG514" s="3">
        <f>B514*0.035</f>
        <v/>
      </c>
      <c r="AH514" s="3">
        <f>B514*0.165</f>
        <v/>
      </c>
      <c r="AI514" s="3">
        <f>MAX(0,AE514-AF514-AH514)</f>
        <v/>
      </c>
      <c r="AJ514" s="3">
        <f>IF(AI514&lt;=490,0,IF(AI514&lt;=600,(AI514-490)*0.05,IF(AI514&lt;=730,5.5+(AI514-600)*0.10,IF(AI514&lt;=3896.67,18.5+(AI514-730)*0.175,IF(AI514&lt;=19896.67,572.67+(AI514-3896.67)*0.25,IF(AI514&lt;=50416.67,4572.67+(AI514-19896.67)*0.30,13728.67+(AI514-50416.67)*0.35))))))</f>
        <v/>
      </c>
      <c r="AK514" s="3" t="n"/>
      <c r="AL514" s="3" t="n"/>
      <c r="AM514" s="3" t="n"/>
      <c r="AN514" s="3" t="n"/>
      <c r="AO514" s="3" t="n"/>
      <c r="AP514" s="3">
        <f>SUM(AF514,AJ514,AK514,AL514,AM514,AN514,AO514,AG514,AH514)</f>
        <v/>
      </c>
      <c r="AQ514" s="3">
        <f>AE514-AP514</f>
        <v/>
      </c>
      <c r="AR514" s="3" t="n"/>
      <c r="AS514" s="3" t="n"/>
      <c r="AT514" s="3">
        <f>AR514-AS514</f>
        <v/>
      </c>
    </row>
    <row r="515">
      <c r="A515" s="2" t="n"/>
      <c r="B515" s="3" t="n"/>
      <c r="C515" s="4" t="n"/>
      <c r="D515" s="5" t="n"/>
      <c r="E515" s="3" t="n"/>
      <c r="F515" s="3">
        <f>IF(C515=0,0,IF(E515="",B515*D515/100,E515))</f>
        <v/>
      </c>
      <c r="G515" s="4" t="n"/>
      <c r="H515" s="5" t="n"/>
      <c r="I515" s="3" t="n"/>
      <c r="J515" s="3">
        <f>IF(G515=0,0,IF(I515="",B515*H515/100,I515))</f>
        <v/>
      </c>
      <c r="K515" s="4" t="n"/>
      <c r="L515" s="5" t="n"/>
      <c r="M515" s="3" t="n"/>
      <c r="N515" s="3">
        <f>IF(K515=0,0,IF(M515="",B515*L515/100,M515))</f>
        <v/>
      </c>
      <c r="O515" s="4" t="n"/>
      <c r="P515" s="5" t="n"/>
      <c r="Q515" s="3" t="n"/>
      <c r="R515" s="3">
        <f>IF(O515=0,0,IF(Q515="",B515*P515/100,Q515))</f>
        <v/>
      </c>
      <c r="S515" s="4" t="n"/>
      <c r="T515" s="5" t="n"/>
      <c r="U515" s="3" t="n"/>
      <c r="V515" s="3">
        <f>IF(S515=0,0,IF(U515="",B515*T515/100,U515))</f>
        <v/>
      </c>
      <c r="W515" s="4" t="n"/>
      <c r="X515" s="5" t="n"/>
      <c r="Y515" s="3" t="n"/>
      <c r="Z515" s="3">
        <f>IF(W515=0,0,IF(Y515="",B515*X515/100,Y515))</f>
        <v/>
      </c>
      <c r="AA515" s="3" t="n"/>
      <c r="AB515" s="3" t="n"/>
      <c r="AC515" s="3">
        <f>B515*0.035</f>
        <v/>
      </c>
      <c r="AD515" s="3">
        <f>B515*0.065</f>
        <v/>
      </c>
      <c r="AE515" s="3">
        <f>SUM(B515,F515,J515,N515,R515,V515,Z515,AA515,AB515,AC515,AD515)</f>
        <v/>
      </c>
      <c r="AF515" s="3">
        <f>B515*0.055</f>
        <v/>
      </c>
      <c r="AG515" s="3">
        <f>B515*0.035</f>
        <v/>
      </c>
      <c r="AH515" s="3">
        <f>B515*0.165</f>
        <v/>
      </c>
      <c r="AI515" s="3">
        <f>MAX(0,AE515-AF515-AH515)</f>
        <v/>
      </c>
      <c r="AJ515" s="3">
        <f>IF(AI515&lt;=490,0,IF(AI515&lt;=600,(AI515-490)*0.05,IF(AI515&lt;=730,5.5+(AI515-600)*0.10,IF(AI515&lt;=3896.67,18.5+(AI515-730)*0.175,IF(AI515&lt;=19896.67,572.67+(AI515-3896.67)*0.25,IF(AI515&lt;=50416.67,4572.67+(AI515-19896.67)*0.30,13728.67+(AI515-50416.67)*0.35))))))</f>
        <v/>
      </c>
      <c r="AK515" s="3" t="n"/>
      <c r="AL515" s="3" t="n"/>
      <c r="AM515" s="3" t="n"/>
      <c r="AN515" s="3" t="n"/>
      <c r="AO515" s="3" t="n"/>
      <c r="AP515" s="3">
        <f>SUM(AF515,AJ515,AK515,AL515,AM515,AN515,AO515,AG515,AH515)</f>
        <v/>
      </c>
      <c r="AQ515" s="3">
        <f>AE515-AP515</f>
        <v/>
      </c>
      <c r="AR515" s="3" t="n"/>
      <c r="AS515" s="3" t="n"/>
      <c r="AT515" s="3">
        <f>AR515-AS515</f>
        <v/>
      </c>
    </row>
    <row r="516">
      <c r="A516" s="2" t="n"/>
      <c r="B516" s="3" t="n"/>
      <c r="C516" s="4" t="n"/>
      <c r="D516" s="5" t="n"/>
      <c r="E516" s="3" t="n"/>
      <c r="F516" s="3">
        <f>IF(C516=0,0,IF(E516="",B516*D516/100,E516))</f>
        <v/>
      </c>
      <c r="G516" s="4" t="n"/>
      <c r="H516" s="5" t="n"/>
      <c r="I516" s="3" t="n"/>
      <c r="J516" s="3">
        <f>IF(G516=0,0,IF(I516="",B516*H516/100,I516))</f>
        <v/>
      </c>
      <c r="K516" s="4" t="n"/>
      <c r="L516" s="5" t="n"/>
      <c r="M516" s="3" t="n"/>
      <c r="N516" s="3">
        <f>IF(K516=0,0,IF(M516="",B516*L516/100,M516))</f>
        <v/>
      </c>
      <c r="O516" s="4" t="n"/>
      <c r="P516" s="5" t="n"/>
      <c r="Q516" s="3" t="n"/>
      <c r="R516" s="3">
        <f>IF(O516=0,0,IF(Q516="",B516*P516/100,Q516))</f>
        <v/>
      </c>
      <c r="S516" s="4" t="n"/>
      <c r="T516" s="5" t="n"/>
      <c r="U516" s="3" t="n"/>
      <c r="V516" s="3">
        <f>IF(S516=0,0,IF(U516="",B516*T516/100,U516))</f>
        <v/>
      </c>
      <c r="W516" s="4" t="n"/>
      <c r="X516" s="5" t="n"/>
      <c r="Y516" s="3" t="n"/>
      <c r="Z516" s="3">
        <f>IF(W516=0,0,IF(Y516="",B516*X516/100,Y516))</f>
        <v/>
      </c>
      <c r="AA516" s="3" t="n"/>
      <c r="AB516" s="3" t="n"/>
      <c r="AC516" s="3">
        <f>B516*0.035</f>
        <v/>
      </c>
      <c r="AD516" s="3">
        <f>B516*0.065</f>
        <v/>
      </c>
      <c r="AE516" s="3">
        <f>SUM(B516,F516,J516,N516,R516,V516,Z516,AA516,AB516,AC516,AD516)</f>
        <v/>
      </c>
      <c r="AF516" s="3">
        <f>B516*0.055</f>
        <v/>
      </c>
      <c r="AG516" s="3">
        <f>B516*0.035</f>
        <v/>
      </c>
      <c r="AH516" s="3">
        <f>B516*0.165</f>
        <v/>
      </c>
      <c r="AI516" s="3">
        <f>MAX(0,AE516-AF516-AH516)</f>
        <v/>
      </c>
      <c r="AJ516" s="3">
        <f>IF(AI516&lt;=490,0,IF(AI516&lt;=600,(AI516-490)*0.05,IF(AI516&lt;=730,5.5+(AI516-600)*0.10,IF(AI516&lt;=3896.67,18.5+(AI516-730)*0.175,IF(AI516&lt;=19896.67,572.67+(AI516-3896.67)*0.25,IF(AI516&lt;=50416.67,4572.67+(AI516-19896.67)*0.30,13728.67+(AI516-50416.67)*0.35))))))</f>
        <v/>
      </c>
      <c r="AK516" s="3" t="n"/>
      <c r="AL516" s="3" t="n"/>
      <c r="AM516" s="3" t="n"/>
      <c r="AN516" s="3" t="n"/>
      <c r="AO516" s="3" t="n"/>
      <c r="AP516" s="3">
        <f>SUM(AF516,AJ516,AK516,AL516,AM516,AN516,AO516,AG516,AH516)</f>
        <v/>
      </c>
      <c r="AQ516" s="3">
        <f>AE516-AP516</f>
        <v/>
      </c>
      <c r="AR516" s="3" t="n"/>
      <c r="AS516" s="3" t="n"/>
      <c r="AT516" s="3">
        <f>AR516-AS516</f>
        <v/>
      </c>
    </row>
    <row r="517">
      <c r="A517" s="2" t="n"/>
      <c r="B517" s="3" t="n"/>
      <c r="C517" s="4" t="n"/>
      <c r="D517" s="5" t="n"/>
      <c r="E517" s="3" t="n"/>
      <c r="F517" s="3">
        <f>IF(C517=0,0,IF(E517="",B517*D517/100,E517))</f>
        <v/>
      </c>
      <c r="G517" s="4" t="n"/>
      <c r="H517" s="5" t="n"/>
      <c r="I517" s="3" t="n"/>
      <c r="J517" s="3">
        <f>IF(G517=0,0,IF(I517="",B517*H517/100,I517))</f>
        <v/>
      </c>
      <c r="K517" s="4" t="n"/>
      <c r="L517" s="5" t="n"/>
      <c r="M517" s="3" t="n"/>
      <c r="N517" s="3">
        <f>IF(K517=0,0,IF(M517="",B517*L517/100,M517))</f>
        <v/>
      </c>
      <c r="O517" s="4" t="n"/>
      <c r="P517" s="5" t="n"/>
      <c r="Q517" s="3" t="n"/>
      <c r="R517" s="3">
        <f>IF(O517=0,0,IF(Q517="",B517*P517/100,Q517))</f>
        <v/>
      </c>
      <c r="S517" s="4" t="n"/>
      <c r="T517" s="5" t="n"/>
      <c r="U517" s="3" t="n"/>
      <c r="V517" s="3">
        <f>IF(S517=0,0,IF(U517="",B517*T517/100,U517))</f>
        <v/>
      </c>
      <c r="W517" s="4" t="n"/>
      <c r="X517" s="5" t="n"/>
      <c r="Y517" s="3" t="n"/>
      <c r="Z517" s="3">
        <f>IF(W517=0,0,IF(Y517="",B517*X517/100,Y517))</f>
        <v/>
      </c>
      <c r="AA517" s="3" t="n"/>
      <c r="AB517" s="3" t="n"/>
      <c r="AC517" s="3">
        <f>B517*0.035</f>
        <v/>
      </c>
      <c r="AD517" s="3">
        <f>B517*0.065</f>
        <v/>
      </c>
      <c r="AE517" s="3">
        <f>SUM(B517,F517,J517,N517,R517,V517,Z517,AA517,AB517,AC517,AD517)</f>
        <v/>
      </c>
      <c r="AF517" s="3">
        <f>B517*0.055</f>
        <v/>
      </c>
      <c r="AG517" s="3">
        <f>B517*0.035</f>
        <v/>
      </c>
      <c r="AH517" s="3">
        <f>B517*0.165</f>
        <v/>
      </c>
      <c r="AI517" s="3">
        <f>MAX(0,AE517-AF517-AH517)</f>
        <v/>
      </c>
      <c r="AJ517" s="3">
        <f>IF(AI517&lt;=490,0,IF(AI517&lt;=600,(AI517-490)*0.05,IF(AI517&lt;=730,5.5+(AI517-600)*0.10,IF(AI517&lt;=3896.67,18.5+(AI517-730)*0.175,IF(AI517&lt;=19896.67,572.67+(AI517-3896.67)*0.25,IF(AI517&lt;=50416.67,4572.67+(AI517-19896.67)*0.30,13728.67+(AI517-50416.67)*0.35))))))</f>
        <v/>
      </c>
      <c r="AK517" s="3" t="n"/>
      <c r="AL517" s="3" t="n"/>
      <c r="AM517" s="3" t="n"/>
      <c r="AN517" s="3" t="n"/>
      <c r="AO517" s="3" t="n"/>
      <c r="AP517" s="3">
        <f>SUM(AF517,AJ517,AK517,AL517,AM517,AN517,AO517,AG517,AH517)</f>
        <v/>
      </c>
      <c r="AQ517" s="3">
        <f>AE517-AP517</f>
        <v/>
      </c>
      <c r="AR517" s="3" t="n"/>
      <c r="AS517" s="3" t="n"/>
      <c r="AT517" s="3">
        <f>AR517-AS517</f>
        <v/>
      </c>
    </row>
    <row r="518">
      <c r="A518" s="2" t="n"/>
      <c r="B518" s="3" t="n"/>
      <c r="C518" s="4" t="n"/>
      <c r="D518" s="5" t="n"/>
      <c r="E518" s="3" t="n"/>
      <c r="F518" s="3">
        <f>IF(C518=0,0,IF(E518="",B518*D518/100,E518))</f>
        <v/>
      </c>
      <c r="G518" s="4" t="n"/>
      <c r="H518" s="5" t="n"/>
      <c r="I518" s="3" t="n"/>
      <c r="J518" s="3">
        <f>IF(G518=0,0,IF(I518="",B518*H518/100,I518))</f>
        <v/>
      </c>
      <c r="K518" s="4" t="n"/>
      <c r="L518" s="5" t="n"/>
      <c r="M518" s="3" t="n"/>
      <c r="N518" s="3">
        <f>IF(K518=0,0,IF(M518="",B518*L518/100,M518))</f>
        <v/>
      </c>
      <c r="O518" s="4" t="n"/>
      <c r="P518" s="5" t="n"/>
      <c r="Q518" s="3" t="n"/>
      <c r="R518" s="3">
        <f>IF(O518=0,0,IF(Q518="",B518*P518/100,Q518))</f>
        <v/>
      </c>
      <c r="S518" s="4" t="n"/>
      <c r="T518" s="5" t="n"/>
      <c r="U518" s="3" t="n"/>
      <c r="V518" s="3">
        <f>IF(S518=0,0,IF(U518="",B518*T518/100,U518))</f>
        <v/>
      </c>
      <c r="W518" s="4" t="n"/>
      <c r="X518" s="5" t="n"/>
      <c r="Y518" s="3" t="n"/>
      <c r="Z518" s="3">
        <f>IF(W518=0,0,IF(Y518="",B518*X518/100,Y518))</f>
        <v/>
      </c>
      <c r="AA518" s="3" t="n"/>
      <c r="AB518" s="3" t="n"/>
      <c r="AC518" s="3">
        <f>B518*0.035</f>
        <v/>
      </c>
      <c r="AD518" s="3">
        <f>B518*0.065</f>
        <v/>
      </c>
      <c r="AE518" s="3">
        <f>SUM(B518,F518,J518,N518,R518,V518,Z518,AA518,AB518,AC518,AD518)</f>
        <v/>
      </c>
      <c r="AF518" s="3">
        <f>B518*0.055</f>
        <v/>
      </c>
      <c r="AG518" s="3">
        <f>B518*0.035</f>
        <v/>
      </c>
      <c r="AH518" s="3">
        <f>B518*0.165</f>
        <v/>
      </c>
      <c r="AI518" s="3">
        <f>MAX(0,AE518-AF518-AH518)</f>
        <v/>
      </c>
      <c r="AJ518" s="3">
        <f>IF(AI518&lt;=490,0,IF(AI518&lt;=600,(AI518-490)*0.05,IF(AI518&lt;=730,5.5+(AI518-600)*0.10,IF(AI518&lt;=3896.67,18.5+(AI518-730)*0.175,IF(AI518&lt;=19896.67,572.67+(AI518-3896.67)*0.25,IF(AI518&lt;=50416.67,4572.67+(AI518-19896.67)*0.30,13728.67+(AI518-50416.67)*0.35))))))</f>
        <v/>
      </c>
      <c r="AK518" s="3" t="n"/>
      <c r="AL518" s="3" t="n"/>
      <c r="AM518" s="3" t="n"/>
      <c r="AN518" s="3" t="n"/>
      <c r="AO518" s="3" t="n"/>
      <c r="AP518" s="3">
        <f>SUM(AF518,AJ518,AK518,AL518,AM518,AN518,AO518,AG518,AH518)</f>
        <v/>
      </c>
      <c r="AQ518" s="3">
        <f>AE518-AP518</f>
        <v/>
      </c>
      <c r="AR518" s="3" t="n"/>
      <c r="AS518" s="3" t="n"/>
      <c r="AT518" s="3">
        <f>AR518-AS518</f>
        <v/>
      </c>
    </row>
    <row r="519">
      <c r="A519" s="2" t="n"/>
      <c r="B519" s="3" t="n"/>
      <c r="C519" s="4" t="n"/>
      <c r="D519" s="5" t="n"/>
      <c r="E519" s="3" t="n"/>
      <c r="F519" s="3">
        <f>IF(C519=0,0,IF(E519="",B519*D519/100,E519))</f>
        <v/>
      </c>
      <c r="G519" s="4" t="n"/>
      <c r="H519" s="5" t="n"/>
      <c r="I519" s="3" t="n"/>
      <c r="J519" s="3">
        <f>IF(G519=0,0,IF(I519="",B519*H519/100,I519))</f>
        <v/>
      </c>
      <c r="K519" s="4" t="n"/>
      <c r="L519" s="5" t="n"/>
      <c r="M519" s="3" t="n"/>
      <c r="N519" s="3">
        <f>IF(K519=0,0,IF(M519="",B519*L519/100,M519))</f>
        <v/>
      </c>
      <c r="O519" s="4" t="n"/>
      <c r="P519" s="5" t="n"/>
      <c r="Q519" s="3" t="n"/>
      <c r="R519" s="3">
        <f>IF(O519=0,0,IF(Q519="",B519*P519/100,Q519))</f>
        <v/>
      </c>
      <c r="S519" s="4" t="n"/>
      <c r="T519" s="5" t="n"/>
      <c r="U519" s="3" t="n"/>
      <c r="V519" s="3">
        <f>IF(S519=0,0,IF(U519="",B519*T519/100,U519))</f>
        <v/>
      </c>
      <c r="W519" s="4" t="n"/>
      <c r="X519" s="5" t="n"/>
      <c r="Y519" s="3" t="n"/>
      <c r="Z519" s="3">
        <f>IF(W519=0,0,IF(Y519="",B519*X519/100,Y519))</f>
        <v/>
      </c>
      <c r="AA519" s="3" t="n"/>
      <c r="AB519" s="3" t="n"/>
      <c r="AC519" s="3">
        <f>B519*0.035</f>
        <v/>
      </c>
      <c r="AD519" s="3">
        <f>B519*0.065</f>
        <v/>
      </c>
      <c r="AE519" s="3">
        <f>SUM(B519,F519,J519,N519,R519,V519,Z519,AA519,AB519,AC519,AD519)</f>
        <v/>
      </c>
      <c r="AF519" s="3">
        <f>B519*0.055</f>
        <v/>
      </c>
      <c r="AG519" s="3">
        <f>B519*0.035</f>
        <v/>
      </c>
      <c r="AH519" s="3">
        <f>B519*0.165</f>
        <v/>
      </c>
      <c r="AI519" s="3">
        <f>MAX(0,AE519-AF519-AH519)</f>
        <v/>
      </c>
      <c r="AJ519" s="3">
        <f>IF(AI519&lt;=490,0,IF(AI519&lt;=600,(AI519-490)*0.05,IF(AI519&lt;=730,5.5+(AI519-600)*0.10,IF(AI519&lt;=3896.67,18.5+(AI519-730)*0.175,IF(AI519&lt;=19896.67,572.67+(AI519-3896.67)*0.25,IF(AI519&lt;=50416.67,4572.67+(AI519-19896.67)*0.30,13728.67+(AI519-50416.67)*0.35))))))</f>
        <v/>
      </c>
      <c r="AK519" s="3" t="n"/>
      <c r="AL519" s="3" t="n"/>
      <c r="AM519" s="3" t="n"/>
      <c r="AN519" s="3" t="n"/>
      <c r="AO519" s="3" t="n"/>
      <c r="AP519" s="3">
        <f>SUM(AF519,AJ519,AK519,AL519,AM519,AN519,AO519,AG519,AH519)</f>
        <v/>
      </c>
      <c r="AQ519" s="3">
        <f>AE519-AP519</f>
        <v/>
      </c>
      <c r="AR519" s="3" t="n"/>
      <c r="AS519" s="3" t="n"/>
      <c r="AT519" s="3">
        <f>AR519-AS519</f>
        <v/>
      </c>
    </row>
    <row r="520">
      <c r="A520" s="2" t="n"/>
      <c r="B520" s="3" t="n"/>
      <c r="C520" s="4" t="n"/>
      <c r="D520" s="5" t="n"/>
      <c r="E520" s="3" t="n"/>
      <c r="F520" s="3">
        <f>IF(C520=0,0,IF(E520="",B520*D520/100,E520))</f>
        <v/>
      </c>
      <c r="G520" s="4" t="n"/>
      <c r="H520" s="5" t="n"/>
      <c r="I520" s="3" t="n"/>
      <c r="J520" s="3">
        <f>IF(G520=0,0,IF(I520="",B520*H520/100,I520))</f>
        <v/>
      </c>
      <c r="K520" s="4" t="n"/>
      <c r="L520" s="5" t="n"/>
      <c r="M520" s="3" t="n"/>
      <c r="N520" s="3">
        <f>IF(K520=0,0,IF(M520="",B520*L520/100,M520))</f>
        <v/>
      </c>
      <c r="O520" s="4" t="n"/>
      <c r="P520" s="5" t="n"/>
      <c r="Q520" s="3" t="n"/>
      <c r="R520" s="3">
        <f>IF(O520=0,0,IF(Q520="",B520*P520/100,Q520))</f>
        <v/>
      </c>
      <c r="S520" s="4" t="n"/>
      <c r="T520" s="5" t="n"/>
      <c r="U520" s="3" t="n"/>
      <c r="V520" s="3">
        <f>IF(S520=0,0,IF(U520="",B520*T520/100,U520))</f>
        <v/>
      </c>
      <c r="W520" s="4" t="n"/>
      <c r="X520" s="5" t="n"/>
      <c r="Y520" s="3" t="n"/>
      <c r="Z520" s="3">
        <f>IF(W520=0,0,IF(Y520="",B520*X520/100,Y520))</f>
        <v/>
      </c>
      <c r="AA520" s="3" t="n"/>
      <c r="AB520" s="3" t="n"/>
      <c r="AC520" s="3">
        <f>B520*0.035</f>
        <v/>
      </c>
      <c r="AD520" s="3">
        <f>B520*0.065</f>
        <v/>
      </c>
      <c r="AE520" s="3">
        <f>SUM(B520,F520,J520,N520,R520,V520,Z520,AA520,AB520,AC520,AD520)</f>
        <v/>
      </c>
      <c r="AF520" s="3">
        <f>B520*0.055</f>
        <v/>
      </c>
      <c r="AG520" s="3">
        <f>B520*0.035</f>
        <v/>
      </c>
      <c r="AH520" s="3">
        <f>B520*0.165</f>
        <v/>
      </c>
      <c r="AI520" s="3">
        <f>MAX(0,AE520-AF520-AH520)</f>
        <v/>
      </c>
      <c r="AJ520" s="3">
        <f>IF(AI520&lt;=490,0,IF(AI520&lt;=600,(AI520-490)*0.05,IF(AI520&lt;=730,5.5+(AI520-600)*0.10,IF(AI520&lt;=3896.67,18.5+(AI520-730)*0.175,IF(AI520&lt;=19896.67,572.67+(AI520-3896.67)*0.25,IF(AI520&lt;=50416.67,4572.67+(AI520-19896.67)*0.30,13728.67+(AI520-50416.67)*0.35))))))</f>
        <v/>
      </c>
      <c r="AK520" s="3" t="n"/>
      <c r="AL520" s="3" t="n"/>
      <c r="AM520" s="3" t="n"/>
      <c r="AN520" s="3" t="n"/>
      <c r="AO520" s="3" t="n"/>
      <c r="AP520" s="3">
        <f>SUM(AF520,AJ520,AK520,AL520,AM520,AN520,AO520,AG520,AH520)</f>
        <v/>
      </c>
      <c r="AQ520" s="3">
        <f>AE520-AP520</f>
        <v/>
      </c>
      <c r="AR520" s="3" t="n"/>
      <c r="AS520" s="3" t="n"/>
      <c r="AT520" s="3">
        <f>AR520-AS520</f>
        <v/>
      </c>
    </row>
    <row r="521">
      <c r="A521" s="2" t="n"/>
      <c r="B521" s="3" t="n"/>
      <c r="C521" s="4" t="n"/>
      <c r="D521" s="5" t="n"/>
      <c r="E521" s="3" t="n"/>
      <c r="F521" s="3">
        <f>IF(C521=0,0,IF(E521="",B521*D521/100,E521))</f>
        <v/>
      </c>
      <c r="G521" s="4" t="n"/>
      <c r="H521" s="5" t="n"/>
      <c r="I521" s="3" t="n"/>
      <c r="J521" s="3">
        <f>IF(G521=0,0,IF(I521="",B521*H521/100,I521))</f>
        <v/>
      </c>
      <c r="K521" s="4" t="n"/>
      <c r="L521" s="5" t="n"/>
      <c r="M521" s="3" t="n"/>
      <c r="N521" s="3">
        <f>IF(K521=0,0,IF(M521="",B521*L521/100,M521))</f>
        <v/>
      </c>
      <c r="O521" s="4" t="n"/>
      <c r="P521" s="5" t="n"/>
      <c r="Q521" s="3" t="n"/>
      <c r="R521" s="3">
        <f>IF(O521=0,0,IF(Q521="",B521*P521/100,Q521))</f>
        <v/>
      </c>
      <c r="S521" s="4" t="n"/>
      <c r="T521" s="5" t="n"/>
      <c r="U521" s="3" t="n"/>
      <c r="V521" s="3">
        <f>IF(S521=0,0,IF(U521="",B521*T521/100,U521))</f>
        <v/>
      </c>
      <c r="W521" s="4" t="n"/>
      <c r="X521" s="5" t="n"/>
      <c r="Y521" s="3" t="n"/>
      <c r="Z521" s="3">
        <f>IF(W521=0,0,IF(Y521="",B521*X521/100,Y521))</f>
        <v/>
      </c>
      <c r="AA521" s="3" t="n"/>
      <c r="AB521" s="3" t="n"/>
      <c r="AC521" s="3">
        <f>B521*0.035</f>
        <v/>
      </c>
      <c r="AD521" s="3">
        <f>B521*0.065</f>
        <v/>
      </c>
      <c r="AE521" s="3">
        <f>SUM(B521,F521,J521,N521,R521,V521,Z521,AA521,AB521,AC521,AD521)</f>
        <v/>
      </c>
      <c r="AF521" s="3">
        <f>B521*0.055</f>
        <v/>
      </c>
      <c r="AG521" s="3">
        <f>B521*0.035</f>
        <v/>
      </c>
      <c r="AH521" s="3">
        <f>B521*0.165</f>
        <v/>
      </c>
      <c r="AI521" s="3">
        <f>MAX(0,AE521-AF521-AH521)</f>
        <v/>
      </c>
      <c r="AJ521" s="3">
        <f>IF(AI521&lt;=490,0,IF(AI521&lt;=600,(AI521-490)*0.05,IF(AI521&lt;=730,5.5+(AI521-600)*0.10,IF(AI521&lt;=3896.67,18.5+(AI521-730)*0.175,IF(AI521&lt;=19896.67,572.67+(AI521-3896.67)*0.25,IF(AI521&lt;=50416.67,4572.67+(AI521-19896.67)*0.30,13728.67+(AI521-50416.67)*0.35))))))</f>
        <v/>
      </c>
      <c r="AK521" s="3" t="n"/>
      <c r="AL521" s="3" t="n"/>
      <c r="AM521" s="3" t="n"/>
      <c r="AN521" s="3" t="n"/>
      <c r="AO521" s="3" t="n"/>
      <c r="AP521" s="3">
        <f>SUM(AF521,AJ521,AK521,AL521,AM521,AN521,AO521,AG521,AH521)</f>
        <v/>
      </c>
      <c r="AQ521" s="3">
        <f>AE521-AP521</f>
        <v/>
      </c>
      <c r="AR521" s="3" t="n"/>
      <c r="AS521" s="3" t="n"/>
      <c r="AT521" s="3">
        <f>AR521-AS521</f>
        <v/>
      </c>
    </row>
    <row r="522">
      <c r="A522" s="2" t="n"/>
      <c r="B522" s="3" t="n"/>
      <c r="C522" s="4" t="n"/>
      <c r="D522" s="5" t="n"/>
      <c r="E522" s="3" t="n"/>
      <c r="F522" s="3">
        <f>IF(C522=0,0,IF(E522="",B522*D522/100,E522))</f>
        <v/>
      </c>
      <c r="G522" s="4" t="n"/>
      <c r="H522" s="5" t="n"/>
      <c r="I522" s="3" t="n"/>
      <c r="J522" s="3">
        <f>IF(G522=0,0,IF(I522="",B522*H522/100,I522))</f>
        <v/>
      </c>
      <c r="K522" s="4" t="n"/>
      <c r="L522" s="5" t="n"/>
      <c r="M522" s="3" t="n"/>
      <c r="N522" s="3">
        <f>IF(K522=0,0,IF(M522="",B522*L522/100,M522))</f>
        <v/>
      </c>
      <c r="O522" s="4" t="n"/>
      <c r="P522" s="5" t="n"/>
      <c r="Q522" s="3" t="n"/>
      <c r="R522" s="3">
        <f>IF(O522=0,0,IF(Q522="",B522*P522/100,Q522))</f>
        <v/>
      </c>
      <c r="S522" s="4" t="n"/>
      <c r="T522" s="5" t="n"/>
      <c r="U522" s="3" t="n"/>
      <c r="V522" s="3">
        <f>IF(S522=0,0,IF(U522="",B522*T522/100,U522))</f>
        <v/>
      </c>
      <c r="W522" s="4" t="n"/>
      <c r="X522" s="5" t="n"/>
      <c r="Y522" s="3" t="n"/>
      <c r="Z522" s="3">
        <f>IF(W522=0,0,IF(Y522="",B522*X522/100,Y522))</f>
        <v/>
      </c>
      <c r="AA522" s="3" t="n"/>
      <c r="AB522" s="3" t="n"/>
      <c r="AC522" s="3">
        <f>B522*0.035</f>
        <v/>
      </c>
      <c r="AD522" s="3">
        <f>B522*0.065</f>
        <v/>
      </c>
      <c r="AE522" s="3">
        <f>SUM(B522,F522,J522,N522,R522,V522,Z522,AA522,AB522,AC522,AD522)</f>
        <v/>
      </c>
      <c r="AF522" s="3">
        <f>B522*0.055</f>
        <v/>
      </c>
      <c r="AG522" s="3">
        <f>B522*0.035</f>
        <v/>
      </c>
      <c r="AH522" s="3">
        <f>B522*0.165</f>
        <v/>
      </c>
      <c r="AI522" s="3">
        <f>MAX(0,AE522-AF522-AH522)</f>
        <v/>
      </c>
      <c r="AJ522" s="3">
        <f>IF(AI522&lt;=490,0,IF(AI522&lt;=600,(AI522-490)*0.05,IF(AI522&lt;=730,5.5+(AI522-600)*0.10,IF(AI522&lt;=3896.67,18.5+(AI522-730)*0.175,IF(AI522&lt;=19896.67,572.67+(AI522-3896.67)*0.25,IF(AI522&lt;=50416.67,4572.67+(AI522-19896.67)*0.30,13728.67+(AI522-50416.67)*0.35))))))</f>
        <v/>
      </c>
      <c r="AK522" s="3" t="n"/>
      <c r="AL522" s="3" t="n"/>
      <c r="AM522" s="3" t="n"/>
      <c r="AN522" s="3" t="n"/>
      <c r="AO522" s="3" t="n"/>
      <c r="AP522" s="3">
        <f>SUM(AF522,AJ522,AK522,AL522,AM522,AN522,AO522,AG522,AH522)</f>
        <v/>
      </c>
      <c r="AQ522" s="3">
        <f>AE522-AP522</f>
        <v/>
      </c>
      <c r="AR522" s="3" t="n"/>
      <c r="AS522" s="3" t="n"/>
      <c r="AT522" s="3">
        <f>AR522-AS522</f>
        <v/>
      </c>
    </row>
    <row r="523">
      <c r="A523" s="2" t="n"/>
      <c r="B523" s="3" t="n"/>
      <c r="C523" s="4" t="n"/>
      <c r="D523" s="5" t="n"/>
      <c r="E523" s="3" t="n"/>
      <c r="F523" s="3">
        <f>IF(C523=0,0,IF(E523="",B523*D523/100,E523))</f>
        <v/>
      </c>
      <c r="G523" s="4" t="n"/>
      <c r="H523" s="5" t="n"/>
      <c r="I523" s="3" t="n"/>
      <c r="J523" s="3">
        <f>IF(G523=0,0,IF(I523="",B523*H523/100,I523))</f>
        <v/>
      </c>
      <c r="K523" s="4" t="n"/>
      <c r="L523" s="5" t="n"/>
      <c r="M523" s="3" t="n"/>
      <c r="N523" s="3">
        <f>IF(K523=0,0,IF(M523="",B523*L523/100,M523))</f>
        <v/>
      </c>
      <c r="O523" s="4" t="n"/>
      <c r="P523" s="5" t="n"/>
      <c r="Q523" s="3" t="n"/>
      <c r="R523" s="3">
        <f>IF(O523=0,0,IF(Q523="",B523*P523/100,Q523))</f>
        <v/>
      </c>
      <c r="S523" s="4" t="n"/>
      <c r="T523" s="5" t="n"/>
      <c r="U523" s="3" t="n"/>
      <c r="V523" s="3">
        <f>IF(S523=0,0,IF(U523="",B523*T523/100,U523))</f>
        <v/>
      </c>
      <c r="W523" s="4" t="n"/>
      <c r="X523" s="5" t="n"/>
      <c r="Y523" s="3" t="n"/>
      <c r="Z523" s="3">
        <f>IF(W523=0,0,IF(Y523="",B523*X523/100,Y523))</f>
        <v/>
      </c>
      <c r="AA523" s="3" t="n"/>
      <c r="AB523" s="3" t="n"/>
      <c r="AC523" s="3">
        <f>B523*0.035</f>
        <v/>
      </c>
      <c r="AD523" s="3">
        <f>B523*0.065</f>
        <v/>
      </c>
      <c r="AE523" s="3">
        <f>SUM(B523,F523,J523,N523,R523,V523,Z523,AA523,AB523,AC523,AD523)</f>
        <v/>
      </c>
      <c r="AF523" s="3">
        <f>B523*0.055</f>
        <v/>
      </c>
      <c r="AG523" s="3">
        <f>B523*0.035</f>
        <v/>
      </c>
      <c r="AH523" s="3">
        <f>B523*0.165</f>
        <v/>
      </c>
      <c r="AI523" s="3">
        <f>MAX(0,AE523-AF523-AH523)</f>
        <v/>
      </c>
      <c r="AJ523" s="3">
        <f>IF(AI523&lt;=490,0,IF(AI523&lt;=600,(AI523-490)*0.05,IF(AI523&lt;=730,5.5+(AI523-600)*0.10,IF(AI523&lt;=3896.67,18.5+(AI523-730)*0.175,IF(AI523&lt;=19896.67,572.67+(AI523-3896.67)*0.25,IF(AI523&lt;=50416.67,4572.67+(AI523-19896.67)*0.30,13728.67+(AI523-50416.67)*0.35))))))</f>
        <v/>
      </c>
      <c r="AK523" s="3" t="n"/>
      <c r="AL523" s="3" t="n"/>
      <c r="AM523" s="3" t="n"/>
      <c r="AN523" s="3" t="n"/>
      <c r="AO523" s="3" t="n"/>
      <c r="AP523" s="3">
        <f>SUM(AF523,AJ523,AK523,AL523,AM523,AN523,AO523,AG523,AH523)</f>
        <v/>
      </c>
      <c r="AQ523" s="3">
        <f>AE523-AP523</f>
        <v/>
      </c>
      <c r="AR523" s="3" t="n"/>
      <c r="AS523" s="3" t="n"/>
      <c r="AT523" s="3">
        <f>AR523-AS523</f>
        <v/>
      </c>
    </row>
    <row r="524">
      <c r="A524" s="2" t="n"/>
      <c r="B524" s="3" t="n"/>
      <c r="C524" s="4" t="n"/>
      <c r="D524" s="5" t="n"/>
      <c r="E524" s="3" t="n"/>
      <c r="F524" s="3">
        <f>IF(C524=0,0,IF(E524="",B524*D524/100,E524))</f>
        <v/>
      </c>
      <c r="G524" s="4" t="n"/>
      <c r="H524" s="5" t="n"/>
      <c r="I524" s="3" t="n"/>
      <c r="J524" s="3">
        <f>IF(G524=0,0,IF(I524="",B524*H524/100,I524))</f>
        <v/>
      </c>
      <c r="K524" s="4" t="n"/>
      <c r="L524" s="5" t="n"/>
      <c r="M524" s="3" t="n"/>
      <c r="N524" s="3">
        <f>IF(K524=0,0,IF(M524="",B524*L524/100,M524))</f>
        <v/>
      </c>
      <c r="O524" s="4" t="n"/>
      <c r="P524" s="5" t="n"/>
      <c r="Q524" s="3" t="n"/>
      <c r="R524" s="3">
        <f>IF(O524=0,0,IF(Q524="",B524*P524/100,Q524))</f>
        <v/>
      </c>
      <c r="S524" s="4" t="n"/>
      <c r="T524" s="5" t="n"/>
      <c r="U524" s="3" t="n"/>
      <c r="V524" s="3">
        <f>IF(S524=0,0,IF(U524="",B524*T524/100,U524))</f>
        <v/>
      </c>
      <c r="W524" s="4" t="n"/>
      <c r="X524" s="5" t="n"/>
      <c r="Y524" s="3" t="n"/>
      <c r="Z524" s="3">
        <f>IF(W524=0,0,IF(Y524="",B524*X524/100,Y524))</f>
        <v/>
      </c>
      <c r="AA524" s="3" t="n"/>
      <c r="AB524" s="3" t="n"/>
      <c r="AC524" s="3">
        <f>B524*0.035</f>
        <v/>
      </c>
      <c r="AD524" s="3">
        <f>B524*0.065</f>
        <v/>
      </c>
      <c r="AE524" s="3">
        <f>SUM(B524,F524,J524,N524,R524,V524,Z524,AA524,AB524,AC524,AD524)</f>
        <v/>
      </c>
      <c r="AF524" s="3">
        <f>B524*0.055</f>
        <v/>
      </c>
      <c r="AG524" s="3">
        <f>B524*0.035</f>
        <v/>
      </c>
      <c r="AH524" s="3">
        <f>B524*0.165</f>
        <v/>
      </c>
      <c r="AI524" s="3">
        <f>MAX(0,AE524-AF524-AH524)</f>
        <v/>
      </c>
      <c r="AJ524" s="3">
        <f>IF(AI524&lt;=490,0,IF(AI524&lt;=600,(AI524-490)*0.05,IF(AI524&lt;=730,5.5+(AI524-600)*0.10,IF(AI524&lt;=3896.67,18.5+(AI524-730)*0.175,IF(AI524&lt;=19896.67,572.67+(AI524-3896.67)*0.25,IF(AI524&lt;=50416.67,4572.67+(AI524-19896.67)*0.30,13728.67+(AI524-50416.67)*0.35))))))</f>
        <v/>
      </c>
      <c r="AK524" s="3" t="n"/>
      <c r="AL524" s="3" t="n"/>
      <c r="AM524" s="3" t="n"/>
      <c r="AN524" s="3" t="n"/>
      <c r="AO524" s="3" t="n"/>
      <c r="AP524" s="3">
        <f>SUM(AF524,AJ524,AK524,AL524,AM524,AN524,AO524,AG524,AH524)</f>
        <v/>
      </c>
      <c r="AQ524" s="3">
        <f>AE524-AP524</f>
        <v/>
      </c>
      <c r="AR524" s="3" t="n"/>
      <c r="AS524" s="3" t="n"/>
      <c r="AT524" s="3">
        <f>AR524-AS524</f>
        <v/>
      </c>
    </row>
    <row r="525">
      <c r="A525" s="2" t="n"/>
      <c r="B525" s="3" t="n"/>
      <c r="C525" s="4" t="n"/>
      <c r="D525" s="5" t="n"/>
      <c r="E525" s="3" t="n"/>
      <c r="F525" s="3">
        <f>IF(C525=0,0,IF(E525="",B525*D525/100,E525))</f>
        <v/>
      </c>
      <c r="G525" s="4" t="n"/>
      <c r="H525" s="5" t="n"/>
      <c r="I525" s="3" t="n"/>
      <c r="J525" s="3">
        <f>IF(G525=0,0,IF(I525="",B525*H525/100,I525))</f>
        <v/>
      </c>
      <c r="K525" s="4" t="n"/>
      <c r="L525" s="5" t="n"/>
      <c r="M525" s="3" t="n"/>
      <c r="N525" s="3">
        <f>IF(K525=0,0,IF(M525="",B525*L525/100,M525))</f>
        <v/>
      </c>
      <c r="O525" s="4" t="n"/>
      <c r="P525" s="5" t="n"/>
      <c r="Q525" s="3" t="n"/>
      <c r="R525" s="3">
        <f>IF(O525=0,0,IF(Q525="",B525*P525/100,Q525))</f>
        <v/>
      </c>
      <c r="S525" s="4" t="n"/>
      <c r="T525" s="5" t="n"/>
      <c r="U525" s="3" t="n"/>
      <c r="V525" s="3">
        <f>IF(S525=0,0,IF(U525="",B525*T525/100,U525))</f>
        <v/>
      </c>
      <c r="W525" s="4" t="n"/>
      <c r="X525" s="5" t="n"/>
      <c r="Y525" s="3" t="n"/>
      <c r="Z525" s="3">
        <f>IF(W525=0,0,IF(Y525="",B525*X525/100,Y525))</f>
        <v/>
      </c>
      <c r="AA525" s="3" t="n"/>
      <c r="AB525" s="3" t="n"/>
      <c r="AC525" s="3">
        <f>B525*0.035</f>
        <v/>
      </c>
      <c r="AD525" s="3">
        <f>B525*0.065</f>
        <v/>
      </c>
      <c r="AE525" s="3">
        <f>SUM(B525,F525,J525,N525,R525,V525,Z525,AA525,AB525,AC525,AD525)</f>
        <v/>
      </c>
      <c r="AF525" s="3">
        <f>B525*0.055</f>
        <v/>
      </c>
      <c r="AG525" s="3">
        <f>B525*0.035</f>
        <v/>
      </c>
      <c r="AH525" s="3">
        <f>B525*0.165</f>
        <v/>
      </c>
      <c r="AI525" s="3">
        <f>MAX(0,AE525-AF525-AH525)</f>
        <v/>
      </c>
      <c r="AJ525" s="3">
        <f>IF(AI525&lt;=490,0,IF(AI525&lt;=600,(AI525-490)*0.05,IF(AI525&lt;=730,5.5+(AI525-600)*0.10,IF(AI525&lt;=3896.67,18.5+(AI525-730)*0.175,IF(AI525&lt;=19896.67,572.67+(AI525-3896.67)*0.25,IF(AI525&lt;=50416.67,4572.67+(AI525-19896.67)*0.30,13728.67+(AI525-50416.67)*0.35))))))</f>
        <v/>
      </c>
      <c r="AK525" s="3" t="n"/>
      <c r="AL525" s="3" t="n"/>
      <c r="AM525" s="3" t="n"/>
      <c r="AN525" s="3" t="n"/>
      <c r="AO525" s="3" t="n"/>
      <c r="AP525" s="3">
        <f>SUM(AF525,AJ525,AK525,AL525,AM525,AN525,AO525,AG525,AH525)</f>
        <v/>
      </c>
      <c r="AQ525" s="3">
        <f>AE525-AP525</f>
        <v/>
      </c>
      <c r="AR525" s="3" t="n"/>
      <c r="AS525" s="3" t="n"/>
      <c r="AT525" s="3">
        <f>AR525-AS525</f>
        <v/>
      </c>
    </row>
    <row r="526">
      <c r="A526" s="2" t="n"/>
      <c r="B526" s="3" t="n"/>
      <c r="C526" s="4" t="n"/>
      <c r="D526" s="5" t="n"/>
      <c r="E526" s="3" t="n"/>
      <c r="F526" s="3">
        <f>IF(C526=0,0,IF(E526="",B526*D526/100,E526))</f>
        <v/>
      </c>
      <c r="G526" s="4" t="n"/>
      <c r="H526" s="5" t="n"/>
      <c r="I526" s="3" t="n"/>
      <c r="J526" s="3">
        <f>IF(G526=0,0,IF(I526="",B526*H526/100,I526))</f>
        <v/>
      </c>
      <c r="K526" s="4" t="n"/>
      <c r="L526" s="5" t="n"/>
      <c r="M526" s="3" t="n"/>
      <c r="N526" s="3">
        <f>IF(K526=0,0,IF(M526="",B526*L526/100,M526))</f>
        <v/>
      </c>
      <c r="O526" s="4" t="n"/>
      <c r="P526" s="5" t="n"/>
      <c r="Q526" s="3" t="n"/>
      <c r="R526" s="3">
        <f>IF(O526=0,0,IF(Q526="",B526*P526/100,Q526))</f>
        <v/>
      </c>
      <c r="S526" s="4" t="n"/>
      <c r="T526" s="5" t="n"/>
      <c r="U526" s="3" t="n"/>
      <c r="V526" s="3">
        <f>IF(S526=0,0,IF(U526="",B526*T526/100,U526))</f>
        <v/>
      </c>
      <c r="W526" s="4" t="n"/>
      <c r="X526" s="5" t="n"/>
      <c r="Y526" s="3" t="n"/>
      <c r="Z526" s="3">
        <f>IF(W526=0,0,IF(Y526="",B526*X526/100,Y526))</f>
        <v/>
      </c>
      <c r="AA526" s="3" t="n"/>
      <c r="AB526" s="3" t="n"/>
      <c r="AC526" s="3">
        <f>B526*0.035</f>
        <v/>
      </c>
      <c r="AD526" s="3">
        <f>B526*0.065</f>
        <v/>
      </c>
      <c r="AE526" s="3">
        <f>SUM(B526,F526,J526,N526,R526,V526,Z526,AA526,AB526,AC526,AD526)</f>
        <v/>
      </c>
      <c r="AF526" s="3">
        <f>B526*0.055</f>
        <v/>
      </c>
      <c r="AG526" s="3">
        <f>B526*0.035</f>
        <v/>
      </c>
      <c r="AH526" s="3">
        <f>B526*0.165</f>
        <v/>
      </c>
      <c r="AI526" s="3">
        <f>MAX(0,AE526-AF526-AH526)</f>
        <v/>
      </c>
      <c r="AJ526" s="3">
        <f>IF(AI526&lt;=490,0,IF(AI526&lt;=600,(AI526-490)*0.05,IF(AI526&lt;=730,5.5+(AI526-600)*0.10,IF(AI526&lt;=3896.67,18.5+(AI526-730)*0.175,IF(AI526&lt;=19896.67,572.67+(AI526-3896.67)*0.25,IF(AI526&lt;=50416.67,4572.67+(AI526-19896.67)*0.30,13728.67+(AI526-50416.67)*0.35))))))</f>
        <v/>
      </c>
      <c r="AK526" s="3" t="n"/>
      <c r="AL526" s="3" t="n"/>
      <c r="AM526" s="3" t="n"/>
      <c r="AN526" s="3" t="n"/>
      <c r="AO526" s="3" t="n"/>
      <c r="AP526" s="3">
        <f>SUM(AF526,AJ526,AK526,AL526,AM526,AN526,AO526,AG526,AH526)</f>
        <v/>
      </c>
      <c r="AQ526" s="3">
        <f>AE526-AP526</f>
        <v/>
      </c>
      <c r="AR526" s="3" t="n"/>
      <c r="AS526" s="3" t="n"/>
      <c r="AT526" s="3">
        <f>AR526-AS526</f>
        <v/>
      </c>
    </row>
    <row r="527">
      <c r="A527" s="2" t="n"/>
      <c r="B527" s="3" t="n"/>
      <c r="C527" s="4" t="n"/>
      <c r="D527" s="5" t="n"/>
      <c r="E527" s="3" t="n"/>
      <c r="F527" s="3">
        <f>IF(C527=0,0,IF(E527="",B527*D527/100,E527))</f>
        <v/>
      </c>
      <c r="G527" s="4" t="n"/>
      <c r="H527" s="5" t="n"/>
      <c r="I527" s="3" t="n"/>
      <c r="J527" s="3">
        <f>IF(G527=0,0,IF(I527="",B527*H527/100,I527))</f>
        <v/>
      </c>
      <c r="K527" s="4" t="n"/>
      <c r="L527" s="5" t="n"/>
      <c r="M527" s="3" t="n"/>
      <c r="N527" s="3">
        <f>IF(K527=0,0,IF(M527="",B527*L527/100,M527))</f>
        <v/>
      </c>
      <c r="O527" s="4" t="n"/>
      <c r="P527" s="5" t="n"/>
      <c r="Q527" s="3" t="n"/>
      <c r="R527" s="3">
        <f>IF(O527=0,0,IF(Q527="",B527*P527/100,Q527))</f>
        <v/>
      </c>
      <c r="S527" s="4" t="n"/>
      <c r="T527" s="5" t="n"/>
      <c r="U527" s="3" t="n"/>
      <c r="V527" s="3">
        <f>IF(S527=0,0,IF(U527="",B527*T527/100,U527))</f>
        <v/>
      </c>
      <c r="W527" s="4" t="n"/>
      <c r="X527" s="5" t="n"/>
      <c r="Y527" s="3" t="n"/>
      <c r="Z527" s="3">
        <f>IF(W527=0,0,IF(Y527="",B527*X527/100,Y527))</f>
        <v/>
      </c>
      <c r="AA527" s="3" t="n"/>
      <c r="AB527" s="3" t="n"/>
      <c r="AC527" s="3">
        <f>B527*0.035</f>
        <v/>
      </c>
      <c r="AD527" s="3">
        <f>B527*0.065</f>
        <v/>
      </c>
      <c r="AE527" s="3">
        <f>SUM(B527,F527,J527,N527,R527,V527,Z527,AA527,AB527,AC527,AD527)</f>
        <v/>
      </c>
      <c r="AF527" s="3">
        <f>B527*0.055</f>
        <v/>
      </c>
      <c r="AG527" s="3">
        <f>B527*0.035</f>
        <v/>
      </c>
      <c r="AH527" s="3">
        <f>B527*0.165</f>
        <v/>
      </c>
      <c r="AI527" s="3">
        <f>MAX(0,AE527-AF527-AH527)</f>
        <v/>
      </c>
      <c r="AJ527" s="3">
        <f>IF(AI527&lt;=490,0,IF(AI527&lt;=600,(AI527-490)*0.05,IF(AI527&lt;=730,5.5+(AI527-600)*0.10,IF(AI527&lt;=3896.67,18.5+(AI527-730)*0.175,IF(AI527&lt;=19896.67,572.67+(AI527-3896.67)*0.25,IF(AI527&lt;=50416.67,4572.67+(AI527-19896.67)*0.30,13728.67+(AI527-50416.67)*0.35))))))</f>
        <v/>
      </c>
      <c r="AK527" s="3" t="n"/>
      <c r="AL527" s="3" t="n"/>
      <c r="AM527" s="3" t="n"/>
      <c r="AN527" s="3" t="n"/>
      <c r="AO527" s="3" t="n"/>
      <c r="AP527" s="3">
        <f>SUM(AF527,AJ527,AK527,AL527,AM527,AN527,AO527,AG527,AH527)</f>
        <v/>
      </c>
      <c r="AQ527" s="3">
        <f>AE527-AP527</f>
        <v/>
      </c>
      <c r="AR527" s="3" t="n"/>
      <c r="AS527" s="3" t="n"/>
      <c r="AT527" s="3">
        <f>AR527-AS527</f>
        <v/>
      </c>
    </row>
    <row r="528">
      <c r="A528" s="2" t="n"/>
      <c r="B528" s="3" t="n"/>
      <c r="C528" s="4" t="n"/>
      <c r="D528" s="5" t="n"/>
      <c r="E528" s="3" t="n"/>
      <c r="F528" s="3">
        <f>IF(C528=0,0,IF(E528="",B528*D528/100,E528))</f>
        <v/>
      </c>
      <c r="G528" s="4" t="n"/>
      <c r="H528" s="5" t="n"/>
      <c r="I528" s="3" t="n"/>
      <c r="J528" s="3">
        <f>IF(G528=0,0,IF(I528="",B528*H528/100,I528))</f>
        <v/>
      </c>
      <c r="K528" s="4" t="n"/>
      <c r="L528" s="5" t="n"/>
      <c r="M528" s="3" t="n"/>
      <c r="N528" s="3">
        <f>IF(K528=0,0,IF(M528="",B528*L528/100,M528))</f>
        <v/>
      </c>
      <c r="O528" s="4" t="n"/>
      <c r="P528" s="5" t="n"/>
      <c r="Q528" s="3" t="n"/>
      <c r="R528" s="3">
        <f>IF(O528=0,0,IF(Q528="",B528*P528/100,Q528))</f>
        <v/>
      </c>
      <c r="S528" s="4" t="n"/>
      <c r="T528" s="5" t="n"/>
      <c r="U528" s="3" t="n"/>
      <c r="V528" s="3">
        <f>IF(S528=0,0,IF(U528="",B528*T528/100,U528))</f>
        <v/>
      </c>
      <c r="W528" s="4" t="n"/>
      <c r="X528" s="5" t="n"/>
      <c r="Y528" s="3" t="n"/>
      <c r="Z528" s="3">
        <f>IF(W528=0,0,IF(Y528="",B528*X528/100,Y528))</f>
        <v/>
      </c>
      <c r="AA528" s="3" t="n"/>
      <c r="AB528" s="3" t="n"/>
      <c r="AC528" s="3">
        <f>B528*0.035</f>
        <v/>
      </c>
      <c r="AD528" s="3">
        <f>B528*0.065</f>
        <v/>
      </c>
      <c r="AE528" s="3">
        <f>SUM(B528,F528,J528,N528,R528,V528,Z528,AA528,AB528,AC528,AD528)</f>
        <v/>
      </c>
      <c r="AF528" s="3">
        <f>B528*0.055</f>
        <v/>
      </c>
      <c r="AG528" s="3">
        <f>B528*0.035</f>
        <v/>
      </c>
      <c r="AH528" s="3">
        <f>B528*0.165</f>
        <v/>
      </c>
      <c r="AI528" s="3">
        <f>MAX(0,AE528-AF528-AH528)</f>
        <v/>
      </c>
      <c r="AJ528" s="3">
        <f>IF(AI528&lt;=490,0,IF(AI528&lt;=600,(AI528-490)*0.05,IF(AI528&lt;=730,5.5+(AI528-600)*0.10,IF(AI528&lt;=3896.67,18.5+(AI528-730)*0.175,IF(AI528&lt;=19896.67,572.67+(AI528-3896.67)*0.25,IF(AI528&lt;=50416.67,4572.67+(AI528-19896.67)*0.30,13728.67+(AI528-50416.67)*0.35))))))</f>
        <v/>
      </c>
      <c r="AK528" s="3" t="n"/>
      <c r="AL528" s="3" t="n"/>
      <c r="AM528" s="3" t="n"/>
      <c r="AN528" s="3" t="n"/>
      <c r="AO528" s="3" t="n"/>
      <c r="AP528" s="3">
        <f>SUM(AF528,AJ528,AK528,AL528,AM528,AN528,AO528,AG528,AH528)</f>
        <v/>
      </c>
      <c r="AQ528" s="3">
        <f>AE528-AP528</f>
        <v/>
      </c>
      <c r="AR528" s="3" t="n"/>
      <c r="AS528" s="3" t="n"/>
      <c r="AT528" s="3">
        <f>AR528-AS528</f>
        <v/>
      </c>
    </row>
    <row r="529">
      <c r="A529" s="2" t="n"/>
      <c r="B529" s="3" t="n"/>
      <c r="C529" s="4" t="n"/>
      <c r="D529" s="5" t="n"/>
      <c r="E529" s="3" t="n"/>
      <c r="F529" s="3">
        <f>IF(C529=0,0,IF(E529="",B529*D529/100,E529))</f>
        <v/>
      </c>
      <c r="G529" s="4" t="n"/>
      <c r="H529" s="5" t="n"/>
      <c r="I529" s="3" t="n"/>
      <c r="J529" s="3">
        <f>IF(G529=0,0,IF(I529="",B529*H529/100,I529))</f>
        <v/>
      </c>
      <c r="K529" s="4" t="n"/>
      <c r="L529" s="5" t="n"/>
      <c r="M529" s="3" t="n"/>
      <c r="N529" s="3">
        <f>IF(K529=0,0,IF(M529="",B529*L529/100,M529))</f>
        <v/>
      </c>
      <c r="O529" s="4" t="n"/>
      <c r="P529" s="5" t="n"/>
      <c r="Q529" s="3" t="n"/>
      <c r="R529" s="3">
        <f>IF(O529=0,0,IF(Q529="",B529*P529/100,Q529))</f>
        <v/>
      </c>
      <c r="S529" s="4" t="n"/>
      <c r="T529" s="5" t="n"/>
      <c r="U529" s="3" t="n"/>
      <c r="V529" s="3">
        <f>IF(S529=0,0,IF(U529="",B529*T529/100,U529))</f>
        <v/>
      </c>
      <c r="W529" s="4" t="n"/>
      <c r="X529" s="5" t="n"/>
      <c r="Y529" s="3" t="n"/>
      <c r="Z529" s="3">
        <f>IF(W529=0,0,IF(Y529="",B529*X529/100,Y529))</f>
        <v/>
      </c>
      <c r="AA529" s="3" t="n"/>
      <c r="AB529" s="3" t="n"/>
      <c r="AC529" s="3">
        <f>B529*0.035</f>
        <v/>
      </c>
      <c r="AD529" s="3">
        <f>B529*0.065</f>
        <v/>
      </c>
      <c r="AE529" s="3">
        <f>SUM(B529,F529,J529,N529,R529,V529,Z529,AA529,AB529,AC529,AD529)</f>
        <v/>
      </c>
      <c r="AF529" s="3">
        <f>B529*0.055</f>
        <v/>
      </c>
      <c r="AG529" s="3">
        <f>B529*0.035</f>
        <v/>
      </c>
      <c r="AH529" s="3">
        <f>B529*0.165</f>
        <v/>
      </c>
      <c r="AI529" s="3">
        <f>MAX(0,AE529-AF529-AH529)</f>
        <v/>
      </c>
      <c r="AJ529" s="3">
        <f>IF(AI529&lt;=490,0,IF(AI529&lt;=600,(AI529-490)*0.05,IF(AI529&lt;=730,5.5+(AI529-600)*0.10,IF(AI529&lt;=3896.67,18.5+(AI529-730)*0.175,IF(AI529&lt;=19896.67,572.67+(AI529-3896.67)*0.25,IF(AI529&lt;=50416.67,4572.67+(AI529-19896.67)*0.30,13728.67+(AI529-50416.67)*0.35))))))</f>
        <v/>
      </c>
      <c r="AK529" s="3" t="n"/>
      <c r="AL529" s="3" t="n"/>
      <c r="AM529" s="3" t="n"/>
      <c r="AN529" s="3" t="n"/>
      <c r="AO529" s="3" t="n"/>
      <c r="AP529" s="3">
        <f>SUM(AF529,AJ529,AK529,AL529,AM529,AN529,AO529,AG529,AH529)</f>
        <v/>
      </c>
      <c r="AQ529" s="3">
        <f>AE529-AP529</f>
        <v/>
      </c>
      <c r="AR529" s="3" t="n"/>
      <c r="AS529" s="3" t="n"/>
      <c r="AT529" s="3">
        <f>AR529-AS529</f>
        <v/>
      </c>
    </row>
    <row r="530">
      <c r="A530" s="2" t="n"/>
      <c r="B530" s="3" t="n"/>
      <c r="C530" s="4" t="n"/>
      <c r="D530" s="5" t="n"/>
      <c r="E530" s="3" t="n"/>
      <c r="F530" s="3">
        <f>IF(C530=0,0,IF(E530="",B530*D530/100,E530))</f>
        <v/>
      </c>
      <c r="G530" s="4" t="n"/>
      <c r="H530" s="5" t="n"/>
      <c r="I530" s="3" t="n"/>
      <c r="J530" s="3">
        <f>IF(G530=0,0,IF(I530="",B530*H530/100,I530))</f>
        <v/>
      </c>
      <c r="K530" s="4" t="n"/>
      <c r="L530" s="5" t="n"/>
      <c r="M530" s="3" t="n"/>
      <c r="N530" s="3">
        <f>IF(K530=0,0,IF(M530="",B530*L530/100,M530))</f>
        <v/>
      </c>
      <c r="O530" s="4" t="n"/>
      <c r="P530" s="5" t="n"/>
      <c r="Q530" s="3" t="n"/>
      <c r="R530" s="3">
        <f>IF(O530=0,0,IF(Q530="",B530*P530/100,Q530))</f>
        <v/>
      </c>
      <c r="S530" s="4" t="n"/>
      <c r="T530" s="5" t="n"/>
      <c r="U530" s="3" t="n"/>
      <c r="V530" s="3">
        <f>IF(S530=0,0,IF(U530="",B530*T530/100,U530))</f>
        <v/>
      </c>
      <c r="W530" s="4" t="n"/>
      <c r="X530" s="5" t="n"/>
      <c r="Y530" s="3" t="n"/>
      <c r="Z530" s="3">
        <f>IF(W530=0,0,IF(Y530="",B530*X530/100,Y530))</f>
        <v/>
      </c>
      <c r="AA530" s="3" t="n"/>
      <c r="AB530" s="3" t="n"/>
      <c r="AC530" s="3">
        <f>B530*0.035</f>
        <v/>
      </c>
      <c r="AD530" s="3">
        <f>B530*0.065</f>
        <v/>
      </c>
      <c r="AE530" s="3">
        <f>SUM(B530,F530,J530,N530,R530,V530,Z530,AA530,AB530,AC530,AD530)</f>
        <v/>
      </c>
      <c r="AF530" s="3">
        <f>B530*0.055</f>
        <v/>
      </c>
      <c r="AG530" s="3">
        <f>B530*0.035</f>
        <v/>
      </c>
      <c r="AH530" s="3">
        <f>B530*0.165</f>
        <v/>
      </c>
      <c r="AI530" s="3">
        <f>MAX(0,AE530-AF530-AH530)</f>
        <v/>
      </c>
      <c r="AJ530" s="3">
        <f>IF(AI530&lt;=490,0,IF(AI530&lt;=600,(AI530-490)*0.05,IF(AI530&lt;=730,5.5+(AI530-600)*0.10,IF(AI530&lt;=3896.67,18.5+(AI530-730)*0.175,IF(AI530&lt;=19896.67,572.67+(AI530-3896.67)*0.25,IF(AI530&lt;=50416.67,4572.67+(AI530-19896.67)*0.30,13728.67+(AI530-50416.67)*0.35))))))</f>
        <v/>
      </c>
      <c r="AK530" s="3" t="n"/>
      <c r="AL530" s="3" t="n"/>
      <c r="AM530" s="3" t="n"/>
      <c r="AN530" s="3" t="n"/>
      <c r="AO530" s="3" t="n"/>
      <c r="AP530" s="3">
        <f>SUM(AF530,AJ530,AK530,AL530,AM530,AN530,AO530,AG530,AH530)</f>
        <v/>
      </c>
      <c r="AQ530" s="3">
        <f>AE530-AP530</f>
        <v/>
      </c>
      <c r="AR530" s="3" t="n"/>
      <c r="AS530" s="3" t="n"/>
      <c r="AT530" s="3">
        <f>AR530-AS530</f>
        <v/>
      </c>
    </row>
    <row r="531">
      <c r="A531" s="2" t="n"/>
      <c r="B531" s="3" t="n"/>
      <c r="C531" s="4" t="n"/>
      <c r="D531" s="5" t="n"/>
      <c r="E531" s="3" t="n"/>
      <c r="F531" s="3">
        <f>IF(C531=0,0,IF(E531="",B531*D531/100,E531))</f>
        <v/>
      </c>
      <c r="G531" s="4" t="n"/>
      <c r="H531" s="5" t="n"/>
      <c r="I531" s="3" t="n"/>
      <c r="J531" s="3">
        <f>IF(G531=0,0,IF(I531="",B531*H531/100,I531))</f>
        <v/>
      </c>
      <c r="K531" s="4" t="n"/>
      <c r="L531" s="5" t="n"/>
      <c r="M531" s="3" t="n"/>
      <c r="N531" s="3">
        <f>IF(K531=0,0,IF(M531="",B531*L531/100,M531))</f>
        <v/>
      </c>
      <c r="O531" s="4" t="n"/>
      <c r="P531" s="5" t="n"/>
      <c r="Q531" s="3" t="n"/>
      <c r="R531" s="3">
        <f>IF(O531=0,0,IF(Q531="",B531*P531/100,Q531))</f>
        <v/>
      </c>
      <c r="S531" s="4" t="n"/>
      <c r="T531" s="5" t="n"/>
      <c r="U531" s="3" t="n"/>
      <c r="V531" s="3">
        <f>IF(S531=0,0,IF(U531="",B531*T531/100,U531))</f>
        <v/>
      </c>
      <c r="W531" s="4" t="n"/>
      <c r="X531" s="5" t="n"/>
      <c r="Y531" s="3" t="n"/>
      <c r="Z531" s="3">
        <f>IF(W531=0,0,IF(Y531="",B531*X531/100,Y531))</f>
        <v/>
      </c>
      <c r="AA531" s="3" t="n"/>
      <c r="AB531" s="3" t="n"/>
      <c r="AC531" s="3">
        <f>B531*0.035</f>
        <v/>
      </c>
      <c r="AD531" s="3">
        <f>B531*0.065</f>
        <v/>
      </c>
      <c r="AE531" s="3">
        <f>SUM(B531,F531,J531,N531,R531,V531,Z531,AA531,AB531,AC531,AD531)</f>
        <v/>
      </c>
      <c r="AF531" s="3">
        <f>B531*0.055</f>
        <v/>
      </c>
      <c r="AG531" s="3">
        <f>B531*0.035</f>
        <v/>
      </c>
      <c r="AH531" s="3">
        <f>B531*0.165</f>
        <v/>
      </c>
      <c r="AI531" s="3">
        <f>MAX(0,AE531-AF531-AH531)</f>
        <v/>
      </c>
      <c r="AJ531" s="3">
        <f>IF(AI531&lt;=490,0,IF(AI531&lt;=600,(AI531-490)*0.05,IF(AI531&lt;=730,5.5+(AI531-600)*0.10,IF(AI531&lt;=3896.67,18.5+(AI531-730)*0.175,IF(AI531&lt;=19896.67,572.67+(AI531-3896.67)*0.25,IF(AI531&lt;=50416.67,4572.67+(AI531-19896.67)*0.30,13728.67+(AI531-50416.67)*0.35))))))</f>
        <v/>
      </c>
      <c r="AK531" s="3" t="n"/>
      <c r="AL531" s="3" t="n"/>
      <c r="AM531" s="3" t="n"/>
      <c r="AN531" s="3" t="n"/>
      <c r="AO531" s="3" t="n"/>
      <c r="AP531" s="3">
        <f>SUM(AF531,AJ531,AK531,AL531,AM531,AN531,AO531,AG531,AH531)</f>
        <v/>
      </c>
      <c r="AQ531" s="3">
        <f>AE531-AP531</f>
        <v/>
      </c>
      <c r="AR531" s="3" t="n"/>
      <c r="AS531" s="3" t="n"/>
      <c r="AT531" s="3">
        <f>AR531-AS531</f>
        <v/>
      </c>
    </row>
    <row r="532">
      <c r="A532" s="2" t="n"/>
      <c r="B532" s="3" t="n"/>
      <c r="C532" s="4" t="n"/>
      <c r="D532" s="5" t="n"/>
      <c r="E532" s="3" t="n"/>
      <c r="F532" s="3">
        <f>IF(C532=0,0,IF(E532="",B532*D532/100,E532))</f>
        <v/>
      </c>
      <c r="G532" s="4" t="n"/>
      <c r="H532" s="5" t="n"/>
      <c r="I532" s="3" t="n"/>
      <c r="J532" s="3">
        <f>IF(G532=0,0,IF(I532="",B532*H532/100,I532))</f>
        <v/>
      </c>
      <c r="K532" s="4" t="n"/>
      <c r="L532" s="5" t="n"/>
      <c r="M532" s="3" t="n"/>
      <c r="N532" s="3">
        <f>IF(K532=0,0,IF(M532="",B532*L532/100,M532))</f>
        <v/>
      </c>
      <c r="O532" s="4" t="n"/>
      <c r="P532" s="5" t="n"/>
      <c r="Q532" s="3" t="n"/>
      <c r="R532" s="3">
        <f>IF(O532=0,0,IF(Q532="",B532*P532/100,Q532))</f>
        <v/>
      </c>
      <c r="S532" s="4" t="n"/>
      <c r="T532" s="5" t="n"/>
      <c r="U532" s="3" t="n"/>
      <c r="V532" s="3">
        <f>IF(S532=0,0,IF(U532="",B532*T532/100,U532))</f>
        <v/>
      </c>
      <c r="W532" s="4" t="n"/>
      <c r="X532" s="5" t="n"/>
      <c r="Y532" s="3" t="n"/>
      <c r="Z532" s="3">
        <f>IF(W532=0,0,IF(Y532="",B532*X532/100,Y532))</f>
        <v/>
      </c>
      <c r="AA532" s="3" t="n"/>
      <c r="AB532" s="3" t="n"/>
      <c r="AC532" s="3">
        <f>B532*0.035</f>
        <v/>
      </c>
      <c r="AD532" s="3">
        <f>B532*0.065</f>
        <v/>
      </c>
      <c r="AE532" s="3">
        <f>SUM(B532,F532,J532,N532,R532,V532,Z532,AA532,AB532,AC532,AD532)</f>
        <v/>
      </c>
      <c r="AF532" s="3">
        <f>B532*0.055</f>
        <v/>
      </c>
      <c r="AG532" s="3">
        <f>B532*0.035</f>
        <v/>
      </c>
      <c r="AH532" s="3">
        <f>B532*0.165</f>
        <v/>
      </c>
      <c r="AI532" s="3">
        <f>MAX(0,AE532-AF532-AH532)</f>
        <v/>
      </c>
      <c r="AJ532" s="3">
        <f>IF(AI532&lt;=490,0,IF(AI532&lt;=600,(AI532-490)*0.05,IF(AI532&lt;=730,5.5+(AI532-600)*0.10,IF(AI532&lt;=3896.67,18.5+(AI532-730)*0.175,IF(AI532&lt;=19896.67,572.67+(AI532-3896.67)*0.25,IF(AI532&lt;=50416.67,4572.67+(AI532-19896.67)*0.30,13728.67+(AI532-50416.67)*0.35))))))</f>
        <v/>
      </c>
      <c r="AK532" s="3" t="n"/>
      <c r="AL532" s="3" t="n"/>
      <c r="AM532" s="3" t="n"/>
      <c r="AN532" s="3" t="n"/>
      <c r="AO532" s="3" t="n"/>
      <c r="AP532" s="3">
        <f>SUM(AF532,AJ532,AK532,AL532,AM532,AN532,AO532,AG532,AH532)</f>
        <v/>
      </c>
      <c r="AQ532" s="3">
        <f>AE532-AP532</f>
        <v/>
      </c>
      <c r="AR532" s="3" t="n"/>
      <c r="AS532" s="3" t="n"/>
      <c r="AT532" s="3">
        <f>AR532-AS532</f>
        <v/>
      </c>
    </row>
    <row r="533">
      <c r="A533" s="2" t="n"/>
      <c r="B533" s="3" t="n"/>
      <c r="C533" s="4" t="n"/>
      <c r="D533" s="5" t="n"/>
      <c r="E533" s="3" t="n"/>
      <c r="F533" s="3">
        <f>IF(C533=0,0,IF(E533="",B533*D533/100,E533))</f>
        <v/>
      </c>
      <c r="G533" s="4" t="n"/>
      <c r="H533" s="5" t="n"/>
      <c r="I533" s="3" t="n"/>
      <c r="J533" s="3">
        <f>IF(G533=0,0,IF(I533="",B533*H533/100,I533))</f>
        <v/>
      </c>
      <c r="K533" s="4" t="n"/>
      <c r="L533" s="5" t="n"/>
      <c r="M533" s="3" t="n"/>
      <c r="N533" s="3">
        <f>IF(K533=0,0,IF(M533="",B533*L533/100,M533))</f>
        <v/>
      </c>
      <c r="O533" s="4" t="n"/>
      <c r="P533" s="5" t="n"/>
      <c r="Q533" s="3" t="n"/>
      <c r="R533" s="3">
        <f>IF(O533=0,0,IF(Q533="",B533*P533/100,Q533))</f>
        <v/>
      </c>
      <c r="S533" s="4" t="n"/>
      <c r="T533" s="5" t="n"/>
      <c r="U533" s="3" t="n"/>
      <c r="V533" s="3">
        <f>IF(S533=0,0,IF(U533="",B533*T533/100,U533))</f>
        <v/>
      </c>
      <c r="W533" s="4" t="n"/>
      <c r="X533" s="5" t="n"/>
      <c r="Y533" s="3" t="n"/>
      <c r="Z533" s="3">
        <f>IF(W533=0,0,IF(Y533="",B533*X533/100,Y533))</f>
        <v/>
      </c>
      <c r="AA533" s="3" t="n"/>
      <c r="AB533" s="3" t="n"/>
      <c r="AC533" s="3">
        <f>B533*0.035</f>
        <v/>
      </c>
      <c r="AD533" s="3">
        <f>B533*0.065</f>
        <v/>
      </c>
      <c r="AE533" s="3">
        <f>SUM(B533,F533,J533,N533,R533,V533,Z533,AA533,AB533,AC533,AD533)</f>
        <v/>
      </c>
      <c r="AF533" s="3">
        <f>B533*0.055</f>
        <v/>
      </c>
      <c r="AG533" s="3">
        <f>B533*0.035</f>
        <v/>
      </c>
      <c r="AH533" s="3">
        <f>B533*0.165</f>
        <v/>
      </c>
      <c r="AI533" s="3">
        <f>MAX(0,AE533-AF533-AH533)</f>
        <v/>
      </c>
      <c r="AJ533" s="3">
        <f>IF(AI533&lt;=490,0,IF(AI533&lt;=600,(AI533-490)*0.05,IF(AI533&lt;=730,5.5+(AI533-600)*0.10,IF(AI533&lt;=3896.67,18.5+(AI533-730)*0.175,IF(AI533&lt;=19896.67,572.67+(AI533-3896.67)*0.25,IF(AI533&lt;=50416.67,4572.67+(AI533-19896.67)*0.30,13728.67+(AI533-50416.67)*0.35))))))</f>
        <v/>
      </c>
      <c r="AK533" s="3" t="n"/>
      <c r="AL533" s="3" t="n"/>
      <c r="AM533" s="3" t="n"/>
      <c r="AN533" s="3" t="n"/>
      <c r="AO533" s="3" t="n"/>
      <c r="AP533" s="3">
        <f>SUM(AF533,AJ533,AK533,AL533,AM533,AN533,AO533,AG533,AH533)</f>
        <v/>
      </c>
      <c r="AQ533" s="3">
        <f>AE533-AP533</f>
        <v/>
      </c>
      <c r="AR533" s="3" t="n"/>
      <c r="AS533" s="3" t="n"/>
      <c r="AT533" s="3">
        <f>AR533-AS533</f>
        <v/>
      </c>
    </row>
    <row r="534">
      <c r="A534" s="2" t="n"/>
      <c r="B534" s="3" t="n"/>
      <c r="C534" s="4" t="n"/>
      <c r="D534" s="5" t="n"/>
      <c r="E534" s="3" t="n"/>
      <c r="F534" s="3">
        <f>IF(C534=0,0,IF(E534="",B534*D534/100,E534))</f>
        <v/>
      </c>
      <c r="G534" s="4" t="n"/>
      <c r="H534" s="5" t="n"/>
      <c r="I534" s="3" t="n"/>
      <c r="J534" s="3">
        <f>IF(G534=0,0,IF(I534="",B534*H534/100,I534))</f>
        <v/>
      </c>
      <c r="K534" s="4" t="n"/>
      <c r="L534" s="5" t="n"/>
      <c r="M534" s="3" t="n"/>
      <c r="N534" s="3">
        <f>IF(K534=0,0,IF(M534="",B534*L534/100,M534))</f>
        <v/>
      </c>
      <c r="O534" s="4" t="n"/>
      <c r="P534" s="5" t="n"/>
      <c r="Q534" s="3" t="n"/>
      <c r="R534" s="3">
        <f>IF(O534=0,0,IF(Q534="",B534*P534/100,Q534))</f>
        <v/>
      </c>
      <c r="S534" s="4" t="n"/>
      <c r="T534" s="5" t="n"/>
      <c r="U534" s="3" t="n"/>
      <c r="V534" s="3">
        <f>IF(S534=0,0,IF(U534="",B534*T534/100,U534))</f>
        <v/>
      </c>
      <c r="W534" s="4" t="n"/>
      <c r="X534" s="5" t="n"/>
      <c r="Y534" s="3" t="n"/>
      <c r="Z534" s="3">
        <f>IF(W534=0,0,IF(Y534="",B534*X534/100,Y534))</f>
        <v/>
      </c>
      <c r="AA534" s="3" t="n"/>
      <c r="AB534" s="3" t="n"/>
      <c r="AC534" s="3">
        <f>B534*0.035</f>
        <v/>
      </c>
      <c r="AD534" s="3">
        <f>B534*0.065</f>
        <v/>
      </c>
      <c r="AE534" s="3">
        <f>SUM(B534,F534,J534,N534,R534,V534,Z534,AA534,AB534,AC534,AD534)</f>
        <v/>
      </c>
      <c r="AF534" s="3">
        <f>B534*0.055</f>
        <v/>
      </c>
      <c r="AG534" s="3">
        <f>B534*0.035</f>
        <v/>
      </c>
      <c r="AH534" s="3">
        <f>B534*0.165</f>
        <v/>
      </c>
      <c r="AI534" s="3">
        <f>MAX(0,AE534-AF534-AH534)</f>
        <v/>
      </c>
      <c r="AJ534" s="3">
        <f>IF(AI534&lt;=490,0,IF(AI534&lt;=600,(AI534-490)*0.05,IF(AI534&lt;=730,5.5+(AI534-600)*0.10,IF(AI534&lt;=3896.67,18.5+(AI534-730)*0.175,IF(AI534&lt;=19896.67,572.67+(AI534-3896.67)*0.25,IF(AI534&lt;=50416.67,4572.67+(AI534-19896.67)*0.30,13728.67+(AI534-50416.67)*0.35))))))</f>
        <v/>
      </c>
      <c r="AK534" s="3" t="n"/>
      <c r="AL534" s="3" t="n"/>
      <c r="AM534" s="3" t="n"/>
      <c r="AN534" s="3" t="n"/>
      <c r="AO534" s="3" t="n"/>
      <c r="AP534" s="3">
        <f>SUM(AF534,AJ534,AK534,AL534,AM534,AN534,AO534,AG534,AH534)</f>
        <v/>
      </c>
      <c r="AQ534" s="3">
        <f>AE534-AP534</f>
        <v/>
      </c>
      <c r="AR534" s="3" t="n"/>
      <c r="AS534" s="3" t="n"/>
      <c r="AT534" s="3">
        <f>AR534-AS534</f>
        <v/>
      </c>
    </row>
    <row r="535">
      <c r="A535" s="2" t="n"/>
      <c r="B535" s="3" t="n"/>
      <c r="C535" s="4" t="n"/>
      <c r="D535" s="5" t="n"/>
      <c r="E535" s="3" t="n"/>
      <c r="F535" s="3">
        <f>IF(C535=0,0,IF(E535="",B535*D535/100,E535))</f>
        <v/>
      </c>
      <c r="G535" s="4" t="n"/>
      <c r="H535" s="5" t="n"/>
      <c r="I535" s="3" t="n"/>
      <c r="J535" s="3">
        <f>IF(G535=0,0,IF(I535="",B535*H535/100,I535))</f>
        <v/>
      </c>
      <c r="K535" s="4" t="n"/>
      <c r="L535" s="5" t="n"/>
      <c r="M535" s="3" t="n"/>
      <c r="N535" s="3">
        <f>IF(K535=0,0,IF(M535="",B535*L535/100,M535))</f>
        <v/>
      </c>
      <c r="O535" s="4" t="n"/>
      <c r="P535" s="5" t="n"/>
      <c r="Q535" s="3" t="n"/>
      <c r="R535" s="3">
        <f>IF(O535=0,0,IF(Q535="",B535*P535/100,Q535))</f>
        <v/>
      </c>
      <c r="S535" s="4" t="n"/>
      <c r="T535" s="5" t="n"/>
      <c r="U535" s="3" t="n"/>
      <c r="V535" s="3">
        <f>IF(S535=0,0,IF(U535="",B535*T535/100,U535))</f>
        <v/>
      </c>
      <c r="W535" s="4" t="n"/>
      <c r="X535" s="5" t="n"/>
      <c r="Y535" s="3" t="n"/>
      <c r="Z535" s="3">
        <f>IF(W535=0,0,IF(Y535="",B535*X535/100,Y535))</f>
        <v/>
      </c>
      <c r="AA535" s="3" t="n"/>
      <c r="AB535" s="3" t="n"/>
      <c r="AC535" s="3">
        <f>B535*0.035</f>
        <v/>
      </c>
      <c r="AD535" s="3">
        <f>B535*0.065</f>
        <v/>
      </c>
      <c r="AE535" s="3">
        <f>SUM(B535,F535,J535,N535,R535,V535,Z535,AA535,AB535,AC535,AD535)</f>
        <v/>
      </c>
      <c r="AF535" s="3">
        <f>B535*0.055</f>
        <v/>
      </c>
      <c r="AG535" s="3">
        <f>B535*0.035</f>
        <v/>
      </c>
      <c r="AH535" s="3">
        <f>B535*0.165</f>
        <v/>
      </c>
      <c r="AI535" s="3">
        <f>MAX(0,AE535-AF535-AH535)</f>
        <v/>
      </c>
      <c r="AJ535" s="3">
        <f>IF(AI535&lt;=490,0,IF(AI535&lt;=600,(AI535-490)*0.05,IF(AI535&lt;=730,5.5+(AI535-600)*0.10,IF(AI535&lt;=3896.67,18.5+(AI535-730)*0.175,IF(AI535&lt;=19896.67,572.67+(AI535-3896.67)*0.25,IF(AI535&lt;=50416.67,4572.67+(AI535-19896.67)*0.30,13728.67+(AI535-50416.67)*0.35))))))</f>
        <v/>
      </c>
      <c r="AK535" s="3" t="n"/>
      <c r="AL535" s="3" t="n"/>
      <c r="AM535" s="3" t="n"/>
      <c r="AN535" s="3" t="n"/>
      <c r="AO535" s="3" t="n"/>
      <c r="AP535" s="3">
        <f>SUM(AF535,AJ535,AK535,AL535,AM535,AN535,AO535,AG535,AH535)</f>
        <v/>
      </c>
      <c r="AQ535" s="3">
        <f>AE535-AP535</f>
        <v/>
      </c>
      <c r="AR535" s="3" t="n"/>
      <c r="AS535" s="3" t="n"/>
      <c r="AT535" s="3">
        <f>AR535-AS535</f>
        <v/>
      </c>
    </row>
    <row r="536">
      <c r="A536" s="2" t="n"/>
      <c r="B536" s="3" t="n"/>
      <c r="C536" s="4" t="n"/>
      <c r="D536" s="5" t="n"/>
      <c r="E536" s="3" t="n"/>
      <c r="F536" s="3">
        <f>IF(C536=0,0,IF(E536="",B536*D536/100,E536))</f>
        <v/>
      </c>
      <c r="G536" s="4" t="n"/>
      <c r="H536" s="5" t="n"/>
      <c r="I536" s="3" t="n"/>
      <c r="J536" s="3">
        <f>IF(G536=0,0,IF(I536="",B536*H536/100,I536))</f>
        <v/>
      </c>
      <c r="K536" s="4" t="n"/>
      <c r="L536" s="5" t="n"/>
      <c r="M536" s="3" t="n"/>
      <c r="N536" s="3">
        <f>IF(K536=0,0,IF(M536="",B536*L536/100,M536))</f>
        <v/>
      </c>
      <c r="O536" s="4" t="n"/>
      <c r="P536" s="5" t="n"/>
      <c r="Q536" s="3" t="n"/>
      <c r="R536" s="3">
        <f>IF(O536=0,0,IF(Q536="",B536*P536/100,Q536))</f>
        <v/>
      </c>
      <c r="S536" s="4" t="n"/>
      <c r="T536" s="5" t="n"/>
      <c r="U536" s="3" t="n"/>
      <c r="V536" s="3">
        <f>IF(S536=0,0,IF(U536="",B536*T536/100,U536))</f>
        <v/>
      </c>
      <c r="W536" s="4" t="n"/>
      <c r="X536" s="5" t="n"/>
      <c r="Y536" s="3" t="n"/>
      <c r="Z536" s="3">
        <f>IF(W536=0,0,IF(Y536="",B536*X536/100,Y536))</f>
        <v/>
      </c>
      <c r="AA536" s="3" t="n"/>
      <c r="AB536" s="3" t="n"/>
      <c r="AC536" s="3">
        <f>B536*0.035</f>
        <v/>
      </c>
      <c r="AD536" s="3">
        <f>B536*0.065</f>
        <v/>
      </c>
      <c r="AE536" s="3">
        <f>SUM(B536,F536,J536,N536,R536,V536,Z536,AA536,AB536,AC536,AD536)</f>
        <v/>
      </c>
      <c r="AF536" s="3">
        <f>B536*0.055</f>
        <v/>
      </c>
      <c r="AG536" s="3">
        <f>B536*0.035</f>
        <v/>
      </c>
      <c r="AH536" s="3">
        <f>B536*0.165</f>
        <v/>
      </c>
      <c r="AI536" s="3">
        <f>MAX(0,AE536-AF536-AH536)</f>
        <v/>
      </c>
      <c r="AJ536" s="3">
        <f>IF(AI536&lt;=490,0,IF(AI536&lt;=600,(AI536-490)*0.05,IF(AI536&lt;=730,5.5+(AI536-600)*0.10,IF(AI536&lt;=3896.67,18.5+(AI536-730)*0.175,IF(AI536&lt;=19896.67,572.67+(AI536-3896.67)*0.25,IF(AI536&lt;=50416.67,4572.67+(AI536-19896.67)*0.30,13728.67+(AI536-50416.67)*0.35))))))</f>
        <v/>
      </c>
      <c r="AK536" s="3" t="n"/>
      <c r="AL536" s="3" t="n"/>
      <c r="AM536" s="3" t="n"/>
      <c r="AN536" s="3" t="n"/>
      <c r="AO536" s="3" t="n"/>
      <c r="AP536" s="3">
        <f>SUM(AF536,AJ536,AK536,AL536,AM536,AN536,AO536,AG536,AH536)</f>
        <v/>
      </c>
      <c r="AQ536" s="3">
        <f>AE536-AP536</f>
        <v/>
      </c>
      <c r="AR536" s="3" t="n"/>
      <c r="AS536" s="3" t="n"/>
      <c r="AT536" s="3">
        <f>AR536-AS536</f>
        <v/>
      </c>
    </row>
    <row r="537">
      <c r="A537" s="2" t="n"/>
      <c r="B537" s="3" t="n"/>
      <c r="C537" s="4" t="n"/>
      <c r="D537" s="5" t="n"/>
      <c r="E537" s="3" t="n"/>
      <c r="F537" s="3">
        <f>IF(C537=0,0,IF(E537="",B537*D537/100,E537))</f>
        <v/>
      </c>
      <c r="G537" s="4" t="n"/>
      <c r="H537" s="5" t="n"/>
      <c r="I537" s="3" t="n"/>
      <c r="J537" s="3">
        <f>IF(G537=0,0,IF(I537="",B537*H537/100,I537))</f>
        <v/>
      </c>
      <c r="K537" s="4" t="n"/>
      <c r="L537" s="5" t="n"/>
      <c r="M537" s="3" t="n"/>
      <c r="N537" s="3">
        <f>IF(K537=0,0,IF(M537="",B537*L537/100,M537))</f>
        <v/>
      </c>
      <c r="O537" s="4" t="n"/>
      <c r="P537" s="5" t="n"/>
      <c r="Q537" s="3" t="n"/>
      <c r="R537" s="3">
        <f>IF(O537=0,0,IF(Q537="",B537*P537/100,Q537))</f>
        <v/>
      </c>
      <c r="S537" s="4" t="n"/>
      <c r="T537" s="5" t="n"/>
      <c r="U537" s="3" t="n"/>
      <c r="V537" s="3">
        <f>IF(S537=0,0,IF(U537="",B537*T537/100,U537))</f>
        <v/>
      </c>
      <c r="W537" s="4" t="n"/>
      <c r="X537" s="5" t="n"/>
      <c r="Y537" s="3" t="n"/>
      <c r="Z537" s="3">
        <f>IF(W537=0,0,IF(Y537="",B537*X537/100,Y537))</f>
        <v/>
      </c>
      <c r="AA537" s="3" t="n"/>
      <c r="AB537" s="3" t="n"/>
      <c r="AC537" s="3">
        <f>B537*0.035</f>
        <v/>
      </c>
      <c r="AD537" s="3">
        <f>B537*0.065</f>
        <v/>
      </c>
      <c r="AE537" s="3">
        <f>SUM(B537,F537,J537,N537,R537,V537,Z537,AA537,AB537,AC537,AD537)</f>
        <v/>
      </c>
      <c r="AF537" s="3">
        <f>B537*0.055</f>
        <v/>
      </c>
      <c r="AG537" s="3">
        <f>B537*0.035</f>
        <v/>
      </c>
      <c r="AH537" s="3">
        <f>B537*0.165</f>
        <v/>
      </c>
      <c r="AI537" s="3">
        <f>MAX(0,AE537-AF537-AH537)</f>
        <v/>
      </c>
      <c r="AJ537" s="3">
        <f>IF(AI537&lt;=490,0,IF(AI537&lt;=600,(AI537-490)*0.05,IF(AI537&lt;=730,5.5+(AI537-600)*0.10,IF(AI537&lt;=3896.67,18.5+(AI537-730)*0.175,IF(AI537&lt;=19896.67,572.67+(AI537-3896.67)*0.25,IF(AI537&lt;=50416.67,4572.67+(AI537-19896.67)*0.30,13728.67+(AI537-50416.67)*0.35))))))</f>
        <v/>
      </c>
      <c r="AK537" s="3" t="n"/>
      <c r="AL537" s="3" t="n"/>
      <c r="AM537" s="3" t="n"/>
      <c r="AN537" s="3" t="n"/>
      <c r="AO537" s="3" t="n"/>
      <c r="AP537" s="3">
        <f>SUM(AF537,AJ537,AK537,AL537,AM537,AN537,AO537,AG537,AH537)</f>
        <v/>
      </c>
      <c r="AQ537" s="3">
        <f>AE537-AP537</f>
        <v/>
      </c>
      <c r="AR537" s="3" t="n"/>
      <c r="AS537" s="3" t="n"/>
      <c r="AT537" s="3">
        <f>AR537-AS537</f>
        <v/>
      </c>
    </row>
    <row r="538">
      <c r="A538" s="2" t="n"/>
      <c r="B538" s="3" t="n"/>
      <c r="C538" s="4" t="n"/>
      <c r="D538" s="5" t="n"/>
      <c r="E538" s="3" t="n"/>
      <c r="F538" s="3">
        <f>IF(C538=0,0,IF(E538="",B538*D538/100,E538))</f>
        <v/>
      </c>
      <c r="G538" s="4" t="n"/>
      <c r="H538" s="5" t="n"/>
      <c r="I538" s="3" t="n"/>
      <c r="J538" s="3">
        <f>IF(G538=0,0,IF(I538="",B538*H538/100,I538))</f>
        <v/>
      </c>
      <c r="K538" s="4" t="n"/>
      <c r="L538" s="5" t="n"/>
      <c r="M538" s="3" t="n"/>
      <c r="N538" s="3">
        <f>IF(K538=0,0,IF(M538="",B538*L538/100,M538))</f>
        <v/>
      </c>
      <c r="O538" s="4" t="n"/>
      <c r="P538" s="5" t="n"/>
      <c r="Q538" s="3" t="n"/>
      <c r="R538" s="3">
        <f>IF(O538=0,0,IF(Q538="",B538*P538/100,Q538))</f>
        <v/>
      </c>
      <c r="S538" s="4" t="n"/>
      <c r="T538" s="5" t="n"/>
      <c r="U538" s="3" t="n"/>
      <c r="V538" s="3">
        <f>IF(S538=0,0,IF(U538="",B538*T538/100,U538))</f>
        <v/>
      </c>
      <c r="W538" s="4" t="n"/>
      <c r="X538" s="5" t="n"/>
      <c r="Y538" s="3" t="n"/>
      <c r="Z538" s="3">
        <f>IF(W538=0,0,IF(Y538="",B538*X538/100,Y538))</f>
        <v/>
      </c>
      <c r="AA538" s="3" t="n"/>
      <c r="AB538" s="3" t="n"/>
      <c r="AC538" s="3">
        <f>B538*0.035</f>
        <v/>
      </c>
      <c r="AD538" s="3">
        <f>B538*0.065</f>
        <v/>
      </c>
      <c r="AE538" s="3">
        <f>SUM(B538,F538,J538,N538,R538,V538,Z538,AA538,AB538,AC538,AD538)</f>
        <v/>
      </c>
      <c r="AF538" s="3">
        <f>B538*0.055</f>
        <v/>
      </c>
      <c r="AG538" s="3">
        <f>B538*0.035</f>
        <v/>
      </c>
      <c r="AH538" s="3">
        <f>B538*0.165</f>
        <v/>
      </c>
      <c r="AI538" s="3">
        <f>MAX(0,AE538-AF538-AH538)</f>
        <v/>
      </c>
      <c r="AJ538" s="3">
        <f>IF(AI538&lt;=490,0,IF(AI538&lt;=600,(AI538-490)*0.05,IF(AI538&lt;=730,5.5+(AI538-600)*0.10,IF(AI538&lt;=3896.67,18.5+(AI538-730)*0.175,IF(AI538&lt;=19896.67,572.67+(AI538-3896.67)*0.25,IF(AI538&lt;=50416.67,4572.67+(AI538-19896.67)*0.30,13728.67+(AI538-50416.67)*0.35))))))</f>
        <v/>
      </c>
      <c r="AK538" s="3" t="n"/>
      <c r="AL538" s="3" t="n"/>
      <c r="AM538" s="3" t="n"/>
      <c r="AN538" s="3" t="n"/>
      <c r="AO538" s="3" t="n"/>
      <c r="AP538" s="3">
        <f>SUM(AF538,AJ538,AK538,AL538,AM538,AN538,AO538,AG538,AH538)</f>
        <v/>
      </c>
      <c r="AQ538" s="3">
        <f>AE538-AP538</f>
        <v/>
      </c>
      <c r="AR538" s="3" t="n"/>
      <c r="AS538" s="3" t="n"/>
      <c r="AT538" s="3">
        <f>AR538-AS538</f>
        <v/>
      </c>
    </row>
    <row r="539">
      <c r="A539" s="2" t="n"/>
      <c r="B539" s="3" t="n"/>
      <c r="C539" s="4" t="n"/>
      <c r="D539" s="5" t="n"/>
      <c r="E539" s="3" t="n"/>
      <c r="F539" s="3">
        <f>IF(C539=0,0,IF(E539="",B539*D539/100,E539))</f>
        <v/>
      </c>
      <c r="G539" s="4" t="n"/>
      <c r="H539" s="5" t="n"/>
      <c r="I539" s="3" t="n"/>
      <c r="J539" s="3">
        <f>IF(G539=0,0,IF(I539="",B539*H539/100,I539))</f>
        <v/>
      </c>
      <c r="K539" s="4" t="n"/>
      <c r="L539" s="5" t="n"/>
      <c r="M539" s="3" t="n"/>
      <c r="N539" s="3">
        <f>IF(K539=0,0,IF(M539="",B539*L539/100,M539))</f>
        <v/>
      </c>
      <c r="O539" s="4" t="n"/>
      <c r="P539" s="5" t="n"/>
      <c r="Q539" s="3" t="n"/>
      <c r="R539" s="3">
        <f>IF(O539=0,0,IF(Q539="",B539*P539/100,Q539))</f>
        <v/>
      </c>
      <c r="S539" s="4" t="n"/>
      <c r="T539" s="5" t="n"/>
      <c r="U539" s="3" t="n"/>
      <c r="V539" s="3">
        <f>IF(S539=0,0,IF(U539="",B539*T539/100,U539))</f>
        <v/>
      </c>
      <c r="W539" s="4" t="n"/>
      <c r="X539" s="5" t="n"/>
      <c r="Y539" s="3" t="n"/>
      <c r="Z539" s="3">
        <f>IF(W539=0,0,IF(Y539="",B539*X539/100,Y539))</f>
        <v/>
      </c>
      <c r="AA539" s="3" t="n"/>
      <c r="AB539" s="3" t="n"/>
      <c r="AC539" s="3">
        <f>B539*0.035</f>
        <v/>
      </c>
      <c r="AD539" s="3">
        <f>B539*0.065</f>
        <v/>
      </c>
      <c r="AE539" s="3">
        <f>SUM(B539,F539,J539,N539,R539,V539,Z539,AA539,AB539,AC539,AD539)</f>
        <v/>
      </c>
      <c r="AF539" s="3">
        <f>B539*0.055</f>
        <v/>
      </c>
      <c r="AG539" s="3">
        <f>B539*0.035</f>
        <v/>
      </c>
      <c r="AH539" s="3">
        <f>B539*0.165</f>
        <v/>
      </c>
      <c r="AI539" s="3">
        <f>MAX(0,AE539-AF539-AH539)</f>
        <v/>
      </c>
      <c r="AJ539" s="3">
        <f>IF(AI539&lt;=490,0,IF(AI539&lt;=600,(AI539-490)*0.05,IF(AI539&lt;=730,5.5+(AI539-600)*0.10,IF(AI539&lt;=3896.67,18.5+(AI539-730)*0.175,IF(AI539&lt;=19896.67,572.67+(AI539-3896.67)*0.25,IF(AI539&lt;=50416.67,4572.67+(AI539-19896.67)*0.30,13728.67+(AI539-50416.67)*0.35))))))</f>
        <v/>
      </c>
      <c r="AK539" s="3" t="n"/>
      <c r="AL539" s="3" t="n"/>
      <c r="AM539" s="3" t="n"/>
      <c r="AN539" s="3" t="n"/>
      <c r="AO539" s="3" t="n"/>
      <c r="AP539" s="3">
        <f>SUM(AF539,AJ539,AK539,AL539,AM539,AN539,AO539,AG539,AH539)</f>
        <v/>
      </c>
      <c r="AQ539" s="3">
        <f>AE539-AP539</f>
        <v/>
      </c>
      <c r="AR539" s="3" t="n"/>
      <c r="AS539" s="3" t="n"/>
      <c r="AT539" s="3">
        <f>AR539-AS539</f>
        <v/>
      </c>
    </row>
    <row r="540">
      <c r="A540" s="2" t="n"/>
      <c r="B540" s="3" t="n"/>
      <c r="C540" s="4" t="n"/>
      <c r="D540" s="5" t="n"/>
      <c r="E540" s="3" t="n"/>
      <c r="F540" s="3">
        <f>IF(C540=0,0,IF(E540="",B540*D540/100,E540))</f>
        <v/>
      </c>
      <c r="G540" s="4" t="n"/>
      <c r="H540" s="5" t="n"/>
      <c r="I540" s="3" t="n"/>
      <c r="J540" s="3">
        <f>IF(G540=0,0,IF(I540="",B540*H540/100,I540))</f>
        <v/>
      </c>
      <c r="K540" s="4" t="n"/>
      <c r="L540" s="5" t="n"/>
      <c r="M540" s="3" t="n"/>
      <c r="N540" s="3">
        <f>IF(K540=0,0,IF(M540="",B540*L540/100,M540))</f>
        <v/>
      </c>
      <c r="O540" s="4" t="n"/>
      <c r="P540" s="5" t="n"/>
      <c r="Q540" s="3" t="n"/>
      <c r="R540" s="3">
        <f>IF(O540=0,0,IF(Q540="",B540*P540/100,Q540))</f>
        <v/>
      </c>
      <c r="S540" s="4" t="n"/>
      <c r="T540" s="5" t="n"/>
      <c r="U540" s="3" t="n"/>
      <c r="V540" s="3">
        <f>IF(S540=0,0,IF(U540="",B540*T540/100,U540))</f>
        <v/>
      </c>
      <c r="W540" s="4" t="n"/>
      <c r="X540" s="5" t="n"/>
      <c r="Y540" s="3" t="n"/>
      <c r="Z540" s="3">
        <f>IF(W540=0,0,IF(Y540="",B540*X540/100,Y540))</f>
        <v/>
      </c>
      <c r="AA540" s="3" t="n"/>
      <c r="AB540" s="3" t="n"/>
      <c r="AC540" s="3">
        <f>B540*0.035</f>
        <v/>
      </c>
      <c r="AD540" s="3">
        <f>B540*0.065</f>
        <v/>
      </c>
      <c r="AE540" s="3">
        <f>SUM(B540,F540,J540,N540,R540,V540,Z540,AA540,AB540,AC540,AD540)</f>
        <v/>
      </c>
      <c r="AF540" s="3">
        <f>B540*0.055</f>
        <v/>
      </c>
      <c r="AG540" s="3">
        <f>B540*0.035</f>
        <v/>
      </c>
      <c r="AH540" s="3">
        <f>B540*0.165</f>
        <v/>
      </c>
      <c r="AI540" s="3">
        <f>MAX(0,AE540-AF540-AH540)</f>
        <v/>
      </c>
      <c r="AJ540" s="3">
        <f>IF(AI540&lt;=490,0,IF(AI540&lt;=600,(AI540-490)*0.05,IF(AI540&lt;=730,5.5+(AI540-600)*0.10,IF(AI540&lt;=3896.67,18.5+(AI540-730)*0.175,IF(AI540&lt;=19896.67,572.67+(AI540-3896.67)*0.25,IF(AI540&lt;=50416.67,4572.67+(AI540-19896.67)*0.30,13728.67+(AI540-50416.67)*0.35))))))</f>
        <v/>
      </c>
      <c r="AK540" s="3" t="n"/>
      <c r="AL540" s="3" t="n"/>
      <c r="AM540" s="3" t="n"/>
      <c r="AN540" s="3" t="n"/>
      <c r="AO540" s="3" t="n"/>
      <c r="AP540" s="3">
        <f>SUM(AF540,AJ540,AK540,AL540,AM540,AN540,AO540,AG540,AH540)</f>
        <v/>
      </c>
      <c r="AQ540" s="3">
        <f>AE540-AP540</f>
        <v/>
      </c>
      <c r="AR540" s="3" t="n"/>
      <c r="AS540" s="3" t="n"/>
      <c r="AT540" s="3">
        <f>AR540-AS540</f>
        <v/>
      </c>
    </row>
    <row r="541">
      <c r="A541" s="2" t="n"/>
      <c r="B541" s="3" t="n"/>
      <c r="C541" s="4" t="n"/>
      <c r="D541" s="5" t="n"/>
      <c r="E541" s="3" t="n"/>
      <c r="F541" s="3">
        <f>IF(C541=0,0,IF(E541="",B541*D541/100,E541))</f>
        <v/>
      </c>
      <c r="G541" s="4" t="n"/>
      <c r="H541" s="5" t="n"/>
      <c r="I541" s="3" t="n"/>
      <c r="J541" s="3">
        <f>IF(G541=0,0,IF(I541="",B541*H541/100,I541))</f>
        <v/>
      </c>
      <c r="K541" s="4" t="n"/>
      <c r="L541" s="5" t="n"/>
      <c r="M541" s="3" t="n"/>
      <c r="N541" s="3">
        <f>IF(K541=0,0,IF(M541="",B541*L541/100,M541))</f>
        <v/>
      </c>
      <c r="O541" s="4" t="n"/>
      <c r="P541" s="5" t="n"/>
      <c r="Q541" s="3" t="n"/>
      <c r="R541" s="3">
        <f>IF(O541=0,0,IF(Q541="",B541*P541/100,Q541))</f>
        <v/>
      </c>
      <c r="S541" s="4" t="n"/>
      <c r="T541" s="5" t="n"/>
      <c r="U541" s="3" t="n"/>
      <c r="V541" s="3">
        <f>IF(S541=0,0,IF(U541="",B541*T541/100,U541))</f>
        <v/>
      </c>
      <c r="W541" s="4" t="n"/>
      <c r="X541" s="5" t="n"/>
      <c r="Y541" s="3" t="n"/>
      <c r="Z541" s="3">
        <f>IF(W541=0,0,IF(Y541="",B541*X541/100,Y541))</f>
        <v/>
      </c>
      <c r="AA541" s="3" t="n"/>
      <c r="AB541" s="3" t="n"/>
      <c r="AC541" s="3">
        <f>B541*0.035</f>
        <v/>
      </c>
      <c r="AD541" s="3">
        <f>B541*0.065</f>
        <v/>
      </c>
      <c r="AE541" s="3">
        <f>SUM(B541,F541,J541,N541,R541,V541,Z541,AA541,AB541,AC541,AD541)</f>
        <v/>
      </c>
      <c r="AF541" s="3">
        <f>B541*0.055</f>
        <v/>
      </c>
      <c r="AG541" s="3">
        <f>B541*0.035</f>
        <v/>
      </c>
      <c r="AH541" s="3">
        <f>B541*0.165</f>
        <v/>
      </c>
      <c r="AI541" s="3">
        <f>MAX(0,AE541-AF541-AH541)</f>
        <v/>
      </c>
      <c r="AJ541" s="3">
        <f>IF(AI541&lt;=490,0,IF(AI541&lt;=600,(AI541-490)*0.05,IF(AI541&lt;=730,5.5+(AI541-600)*0.10,IF(AI541&lt;=3896.67,18.5+(AI541-730)*0.175,IF(AI541&lt;=19896.67,572.67+(AI541-3896.67)*0.25,IF(AI541&lt;=50416.67,4572.67+(AI541-19896.67)*0.30,13728.67+(AI541-50416.67)*0.35))))))</f>
        <v/>
      </c>
      <c r="AK541" s="3" t="n"/>
      <c r="AL541" s="3" t="n"/>
      <c r="AM541" s="3" t="n"/>
      <c r="AN541" s="3" t="n"/>
      <c r="AO541" s="3" t="n"/>
      <c r="AP541" s="3">
        <f>SUM(AF541,AJ541,AK541,AL541,AM541,AN541,AO541,AG541,AH541)</f>
        <v/>
      </c>
      <c r="AQ541" s="3">
        <f>AE541-AP541</f>
        <v/>
      </c>
      <c r="AR541" s="3" t="n"/>
      <c r="AS541" s="3" t="n"/>
      <c r="AT541" s="3">
        <f>AR541-AS541</f>
        <v/>
      </c>
    </row>
    <row r="542">
      <c r="A542" s="2" t="n"/>
      <c r="B542" s="3" t="n"/>
      <c r="C542" s="4" t="n"/>
      <c r="D542" s="5" t="n"/>
      <c r="E542" s="3" t="n"/>
      <c r="F542" s="3">
        <f>IF(C542=0,0,IF(E542="",B542*D542/100,E542))</f>
        <v/>
      </c>
      <c r="G542" s="4" t="n"/>
      <c r="H542" s="5" t="n"/>
      <c r="I542" s="3" t="n"/>
      <c r="J542" s="3">
        <f>IF(G542=0,0,IF(I542="",B542*H542/100,I542))</f>
        <v/>
      </c>
      <c r="K542" s="4" t="n"/>
      <c r="L542" s="5" t="n"/>
      <c r="M542" s="3" t="n"/>
      <c r="N542" s="3">
        <f>IF(K542=0,0,IF(M542="",B542*L542/100,M542))</f>
        <v/>
      </c>
      <c r="O542" s="4" t="n"/>
      <c r="P542" s="5" t="n"/>
      <c r="Q542" s="3" t="n"/>
      <c r="R542" s="3">
        <f>IF(O542=0,0,IF(Q542="",B542*P542/100,Q542))</f>
        <v/>
      </c>
      <c r="S542" s="4" t="n"/>
      <c r="T542" s="5" t="n"/>
      <c r="U542" s="3" t="n"/>
      <c r="V542" s="3">
        <f>IF(S542=0,0,IF(U542="",B542*T542/100,U542))</f>
        <v/>
      </c>
      <c r="W542" s="4" t="n"/>
      <c r="X542" s="5" t="n"/>
      <c r="Y542" s="3" t="n"/>
      <c r="Z542" s="3">
        <f>IF(W542=0,0,IF(Y542="",B542*X542/100,Y542))</f>
        <v/>
      </c>
      <c r="AA542" s="3" t="n"/>
      <c r="AB542" s="3" t="n"/>
      <c r="AC542" s="3">
        <f>B542*0.035</f>
        <v/>
      </c>
      <c r="AD542" s="3">
        <f>B542*0.065</f>
        <v/>
      </c>
      <c r="AE542" s="3">
        <f>SUM(B542,F542,J542,N542,R542,V542,Z542,AA542,AB542,AC542,AD542)</f>
        <v/>
      </c>
      <c r="AF542" s="3">
        <f>B542*0.055</f>
        <v/>
      </c>
      <c r="AG542" s="3">
        <f>B542*0.035</f>
        <v/>
      </c>
      <c r="AH542" s="3">
        <f>B542*0.165</f>
        <v/>
      </c>
      <c r="AI542" s="3">
        <f>MAX(0,AE542-AF542-AH542)</f>
        <v/>
      </c>
      <c r="AJ542" s="3">
        <f>IF(AI542&lt;=490,0,IF(AI542&lt;=600,(AI542-490)*0.05,IF(AI542&lt;=730,5.5+(AI542-600)*0.10,IF(AI542&lt;=3896.67,18.5+(AI542-730)*0.175,IF(AI542&lt;=19896.67,572.67+(AI542-3896.67)*0.25,IF(AI542&lt;=50416.67,4572.67+(AI542-19896.67)*0.30,13728.67+(AI542-50416.67)*0.35))))))</f>
        <v/>
      </c>
      <c r="AK542" s="3" t="n"/>
      <c r="AL542" s="3" t="n"/>
      <c r="AM542" s="3" t="n"/>
      <c r="AN542" s="3" t="n"/>
      <c r="AO542" s="3" t="n"/>
      <c r="AP542" s="3">
        <f>SUM(AF542,AJ542,AK542,AL542,AM542,AN542,AO542,AG542,AH542)</f>
        <v/>
      </c>
      <c r="AQ542" s="3">
        <f>AE542-AP542</f>
        <v/>
      </c>
      <c r="AR542" s="3" t="n"/>
      <c r="AS542" s="3" t="n"/>
      <c r="AT542" s="3">
        <f>AR542-AS542</f>
        <v/>
      </c>
    </row>
    <row r="543">
      <c r="A543" s="2" t="n"/>
      <c r="B543" s="3" t="n"/>
      <c r="C543" s="4" t="n"/>
      <c r="D543" s="5" t="n"/>
      <c r="E543" s="3" t="n"/>
      <c r="F543" s="3">
        <f>IF(C543=0,0,IF(E543="",B543*D543/100,E543))</f>
        <v/>
      </c>
      <c r="G543" s="4" t="n"/>
      <c r="H543" s="5" t="n"/>
      <c r="I543" s="3" t="n"/>
      <c r="J543" s="3">
        <f>IF(G543=0,0,IF(I543="",B543*H543/100,I543))</f>
        <v/>
      </c>
      <c r="K543" s="4" t="n"/>
      <c r="L543" s="5" t="n"/>
      <c r="M543" s="3" t="n"/>
      <c r="N543" s="3">
        <f>IF(K543=0,0,IF(M543="",B543*L543/100,M543))</f>
        <v/>
      </c>
      <c r="O543" s="4" t="n"/>
      <c r="P543" s="5" t="n"/>
      <c r="Q543" s="3" t="n"/>
      <c r="R543" s="3">
        <f>IF(O543=0,0,IF(Q543="",B543*P543/100,Q543))</f>
        <v/>
      </c>
      <c r="S543" s="4" t="n"/>
      <c r="T543" s="5" t="n"/>
      <c r="U543" s="3" t="n"/>
      <c r="V543" s="3">
        <f>IF(S543=0,0,IF(U543="",B543*T543/100,U543))</f>
        <v/>
      </c>
      <c r="W543" s="4" t="n"/>
      <c r="X543" s="5" t="n"/>
      <c r="Y543" s="3" t="n"/>
      <c r="Z543" s="3">
        <f>IF(W543=0,0,IF(Y543="",B543*X543/100,Y543))</f>
        <v/>
      </c>
      <c r="AA543" s="3" t="n"/>
      <c r="AB543" s="3" t="n"/>
      <c r="AC543" s="3">
        <f>B543*0.035</f>
        <v/>
      </c>
      <c r="AD543" s="3">
        <f>B543*0.065</f>
        <v/>
      </c>
      <c r="AE543" s="3">
        <f>SUM(B543,F543,J543,N543,R543,V543,Z543,AA543,AB543,AC543,AD543)</f>
        <v/>
      </c>
      <c r="AF543" s="3">
        <f>B543*0.055</f>
        <v/>
      </c>
      <c r="AG543" s="3">
        <f>B543*0.035</f>
        <v/>
      </c>
      <c r="AH543" s="3">
        <f>B543*0.165</f>
        <v/>
      </c>
      <c r="AI543" s="3">
        <f>MAX(0,AE543-AF543-AH543)</f>
        <v/>
      </c>
      <c r="AJ543" s="3">
        <f>IF(AI543&lt;=490,0,IF(AI543&lt;=600,(AI543-490)*0.05,IF(AI543&lt;=730,5.5+(AI543-600)*0.10,IF(AI543&lt;=3896.67,18.5+(AI543-730)*0.175,IF(AI543&lt;=19896.67,572.67+(AI543-3896.67)*0.25,IF(AI543&lt;=50416.67,4572.67+(AI543-19896.67)*0.30,13728.67+(AI543-50416.67)*0.35))))))</f>
        <v/>
      </c>
      <c r="AK543" s="3" t="n"/>
      <c r="AL543" s="3" t="n"/>
      <c r="AM543" s="3" t="n"/>
      <c r="AN543" s="3" t="n"/>
      <c r="AO543" s="3" t="n"/>
      <c r="AP543" s="3">
        <f>SUM(AF543,AJ543,AK543,AL543,AM543,AN543,AO543,AG543,AH543)</f>
        <v/>
      </c>
      <c r="AQ543" s="3">
        <f>AE543-AP543</f>
        <v/>
      </c>
      <c r="AR543" s="3" t="n"/>
      <c r="AS543" s="3" t="n"/>
      <c r="AT543" s="3">
        <f>AR543-AS543</f>
        <v/>
      </c>
    </row>
    <row r="544">
      <c r="A544" s="2" t="n"/>
      <c r="B544" s="3" t="n"/>
      <c r="C544" s="4" t="n"/>
      <c r="D544" s="5" t="n"/>
      <c r="E544" s="3" t="n"/>
      <c r="F544" s="3">
        <f>IF(C544=0,0,IF(E544="",B544*D544/100,E544))</f>
        <v/>
      </c>
      <c r="G544" s="4" t="n"/>
      <c r="H544" s="5" t="n"/>
      <c r="I544" s="3" t="n"/>
      <c r="J544" s="3">
        <f>IF(G544=0,0,IF(I544="",B544*H544/100,I544))</f>
        <v/>
      </c>
      <c r="K544" s="4" t="n"/>
      <c r="L544" s="5" t="n"/>
      <c r="M544" s="3" t="n"/>
      <c r="N544" s="3">
        <f>IF(K544=0,0,IF(M544="",B544*L544/100,M544))</f>
        <v/>
      </c>
      <c r="O544" s="4" t="n"/>
      <c r="P544" s="5" t="n"/>
      <c r="Q544" s="3" t="n"/>
      <c r="R544" s="3">
        <f>IF(O544=0,0,IF(Q544="",B544*P544/100,Q544))</f>
        <v/>
      </c>
      <c r="S544" s="4" t="n"/>
      <c r="T544" s="5" t="n"/>
      <c r="U544" s="3" t="n"/>
      <c r="V544" s="3">
        <f>IF(S544=0,0,IF(U544="",B544*T544/100,U544))</f>
        <v/>
      </c>
      <c r="W544" s="4" t="n"/>
      <c r="X544" s="5" t="n"/>
      <c r="Y544" s="3" t="n"/>
      <c r="Z544" s="3">
        <f>IF(W544=0,0,IF(Y544="",B544*X544/100,Y544))</f>
        <v/>
      </c>
      <c r="AA544" s="3" t="n"/>
      <c r="AB544" s="3" t="n"/>
      <c r="AC544" s="3">
        <f>B544*0.035</f>
        <v/>
      </c>
      <c r="AD544" s="3">
        <f>B544*0.065</f>
        <v/>
      </c>
      <c r="AE544" s="3">
        <f>SUM(B544,F544,J544,N544,R544,V544,Z544,AA544,AB544,AC544,AD544)</f>
        <v/>
      </c>
      <c r="AF544" s="3">
        <f>B544*0.055</f>
        <v/>
      </c>
      <c r="AG544" s="3">
        <f>B544*0.035</f>
        <v/>
      </c>
      <c r="AH544" s="3">
        <f>B544*0.165</f>
        <v/>
      </c>
      <c r="AI544" s="3">
        <f>MAX(0,AE544-AF544-AH544)</f>
        <v/>
      </c>
      <c r="AJ544" s="3">
        <f>IF(AI544&lt;=490,0,IF(AI544&lt;=600,(AI544-490)*0.05,IF(AI544&lt;=730,5.5+(AI544-600)*0.10,IF(AI544&lt;=3896.67,18.5+(AI544-730)*0.175,IF(AI544&lt;=19896.67,572.67+(AI544-3896.67)*0.25,IF(AI544&lt;=50416.67,4572.67+(AI544-19896.67)*0.30,13728.67+(AI544-50416.67)*0.35))))))</f>
        <v/>
      </c>
      <c r="AK544" s="3" t="n"/>
      <c r="AL544" s="3" t="n"/>
      <c r="AM544" s="3" t="n"/>
      <c r="AN544" s="3" t="n"/>
      <c r="AO544" s="3" t="n"/>
      <c r="AP544" s="3">
        <f>SUM(AF544,AJ544,AK544,AL544,AM544,AN544,AO544,AG544,AH544)</f>
        <v/>
      </c>
      <c r="AQ544" s="3">
        <f>AE544-AP544</f>
        <v/>
      </c>
      <c r="AR544" s="3" t="n"/>
      <c r="AS544" s="3" t="n"/>
      <c r="AT544" s="3">
        <f>AR544-AS544</f>
        <v/>
      </c>
    </row>
    <row r="545">
      <c r="A545" s="2" t="n"/>
      <c r="B545" s="3" t="n"/>
      <c r="C545" s="4" t="n"/>
      <c r="D545" s="5" t="n"/>
      <c r="E545" s="3" t="n"/>
      <c r="F545" s="3">
        <f>IF(C545=0,0,IF(E545="",B545*D545/100,E545))</f>
        <v/>
      </c>
      <c r="G545" s="4" t="n"/>
      <c r="H545" s="5" t="n"/>
      <c r="I545" s="3" t="n"/>
      <c r="J545" s="3">
        <f>IF(G545=0,0,IF(I545="",B545*H545/100,I545))</f>
        <v/>
      </c>
      <c r="K545" s="4" t="n"/>
      <c r="L545" s="5" t="n"/>
      <c r="M545" s="3" t="n"/>
      <c r="N545" s="3">
        <f>IF(K545=0,0,IF(M545="",B545*L545/100,M545))</f>
        <v/>
      </c>
      <c r="O545" s="4" t="n"/>
      <c r="P545" s="5" t="n"/>
      <c r="Q545" s="3" t="n"/>
      <c r="R545" s="3">
        <f>IF(O545=0,0,IF(Q545="",B545*P545/100,Q545))</f>
        <v/>
      </c>
      <c r="S545" s="4" t="n"/>
      <c r="T545" s="5" t="n"/>
      <c r="U545" s="3" t="n"/>
      <c r="V545" s="3">
        <f>IF(S545=0,0,IF(U545="",B545*T545/100,U545))</f>
        <v/>
      </c>
      <c r="W545" s="4" t="n"/>
      <c r="X545" s="5" t="n"/>
      <c r="Y545" s="3" t="n"/>
      <c r="Z545" s="3">
        <f>IF(W545=0,0,IF(Y545="",B545*X545/100,Y545))</f>
        <v/>
      </c>
      <c r="AA545" s="3" t="n"/>
      <c r="AB545" s="3" t="n"/>
      <c r="AC545" s="3">
        <f>B545*0.035</f>
        <v/>
      </c>
      <c r="AD545" s="3">
        <f>B545*0.065</f>
        <v/>
      </c>
      <c r="AE545" s="3">
        <f>SUM(B545,F545,J545,N545,R545,V545,Z545,AA545,AB545,AC545,AD545)</f>
        <v/>
      </c>
      <c r="AF545" s="3">
        <f>B545*0.055</f>
        <v/>
      </c>
      <c r="AG545" s="3">
        <f>B545*0.035</f>
        <v/>
      </c>
      <c r="AH545" s="3">
        <f>B545*0.165</f>
        <v/>
      </c>
      <c r="AI545" s="3">
        <f>MAX(0,AE545-AF545-AH545)</f>
        <v/>
      </c>
      <c r="AJ545" s="3">
        <f>IF(AI545&lt;=490,0,IF(AI545&lt;=600,(AI545-490)*0.05,IF(AI545&lt;=730,5.5+(AI545-600)*0.10,IF(AI545&lt;=3896.67,18.5+(AI545-730)*0.175,IF(AI545&lt;=19896.67,572.67+(AI545-3896.67)*0.25,IF(AI545&lt;=50416.67,4572.67+(AI545-19896.67)*0.30,13728.67+(AI545-50416.67)*0.35))))))</f>
        <v/>
      </c>
      <c r="AK545" s="3" t="n"/>
      <c r="AL545" s="3" t="n"/>
      <c r="AM545" s="3" t="n"/>
      <c r="AN545" s="3" t="n"/>
      <c r="AO545" s="3" t="n"/>
      <c r="AP545" s="3">
        <f>SUM(AF545,AJ545,AK545,AL545,AM545,AN545,AO545,AG545,AH545)</f>
        <v/>
      </c>
      <c r="AQ545" s="3">
        <f>AE545-AP545</f>
        <v/>
      </c>
      <c r="AR545" s="3" t="n"/>
      <c r="AS545" s="3" t="n"/>
      <c r="AT545" s="3">
        <f>AR545-AS545</f>
        <v/>
      </c>
    </row>
    <row r="546">
      <c r="A546" s="2" t="n"/>
      <c r="B546" s="3" t="n"/>
      <c r="C546" s="4" t="n"/>
      <c r="D546" s="5" t="n"/>
      <c r="E546" s="3" t="n"/>
      <c r="F546" s="3">
        <f>IF(C546=0,0,IF(E546="",B546*D546/100,E546))</f>
        <v/>
      </c>
      <c r="G546" s="4" t="n"/>
      <c r="H546" s="5" t="n"/>
      <c r="I546" s="3" t="n"/>
      <c r="J546" s="3">
        <f>IF(G546=0,0,IF(I546="",B546*H546/100,I546))</f>
        <v/>
      </c>
      <c r="K546" s="4" t="n"/>
      <c r="L546" s="5" t="n"/>
      <c r="M546" s="3" t="n"/>
      <c r="N546" s="3">
        <f>IF(K546=0,0,IF(M546="",B546*L546/100,M546))</f>
        <v/>
      </c>
      <c r="O546" s="4" t="n"/>
      <c r="P546" s="5" t="n"/>
      <c r="Q546" s="3" t="n"/>
      <c r="R546" s="3">
        <f>IF(O546=0,0,IF(Q546="",B546*P546/100,Q546))</f>
        <v/>
      </c>
      <c r="S546" s="4" t="n"/>
      <c r="T546" s="5" t="n"/>
      <c r="U546" s="3" t="n"/>
      <c r="V546" s="3">
        <f>IF(S546=0,0,IF(U546="",B546*T546/100,U546))</f>
        <v/>
      </c>
      <c r="W546" s="4" t="n"/>
      <c r="X546" s="5" t="n"/>
      <c r="Y546" s="3" t="n"/>
      <c r="Z546" s="3">
        <f>IF(W546=0,0,IF(Y546="",B546*X546/100,Y546))</f>
        <v/>
      </c>
      <c r="AA546" s="3" t="n"/>
      <c r="AB546" s="3" t="n"/>
      <c r="AC546" s="3">
        <f>B546*0.035</f>
        <v/>
      </c>
      <c r="AD546" s="3">
        <f>B546*0.065</f>
        <v/>
      </c>
      <c r="AE546" s="3">
        <f>SUM(B546,F546,J546,N546,R546,V546,Z546,AA546,AB546,AC546,AD546)</f>
        <v/>
      </c>
      <c r="AF546" s="3">
        <f>B546*0.055</f>
        <v/>
      </c>
      <c r="AG546" s="3">
        <f>B546*0.035</f>
        <v/>
      </c>
      <c r="AH546" s="3">
        <f>B546*0.165</f>
        <v/>
      </c>
      <c r="AI546" s="3">
        <f>MAX(0,AE546-AF546-AH546)</f>
        <v/>
      </c>
      <c r="AJ546" s="3">
        <f>IF(AI546&lt;=490,0,IF(AI546&lt;=600,(AI546-490)*0.05,IF(AI546&lt;=730,5.5+(AI546-600)*0.10,IF(AI546&lt;=3896.67,18.5+(AI546-730)*0.175,IF(AI546&lt;=19896.67,572.67+(AI546-3896.67)*0.25,IF(AI546&lt;=50416.67,4572.67+(AI546-19896.67)*0.30,13728.67+(AI546-50416.67)*0.35))))))</f>
        <v/>
      </c>
      <c r="AK546" s="3" t="n"/>
      <c r="AL546" s="3" t="n"/>
      <c r="AM546" s="3" t="n"/>
      <c r="AN546" s="3" t="n"/>
      <c r="AO546" s="3" t="n"/>
      <c r="AP546" s="3">
        <f>SUM(AF546,AJ546,AK546,AL546,AM546,AN546,AO546,AG546,AH546)</f>
        <v/>
      </c>
      <c r="AQ546" s="3">
        <f>AE546-AP546</f>
        <v/>
      </c>
      <c r="AR546" s="3" t="n"/>
      <c r="AS546" s="3" t="n"/>
      <c r="AT546" s="3">
        <f>AR546-AS546</f>
        <v/>
      </c>
    </row>
    <row r="547">
      <c r="A547" s="2" t="n"/>
      <c r="B547" s="3" t="n"/>
      <c r="C547" s="4" t="n"/>
      <c r="D547" s="5" t="n"/>
      <c r="E547" s="3" t="n"/>
      <c r="F547" s="3">
        <f>IF(C547=0,0,IF(E547="",B547*D547/100,E547))</f>
        <v/>
      </c>
      <c r="G547" s="4" t="n"/>
      <c r="H547" s="5" t="n"/>
      <c r="I547" s="3" t="n"/>
      <c r="J547" s="3">
        <f>IF(G547=0,0,IF(I547="",B547*H547/100,I547))</f>
        <v/>
      </c>
      <c r="K547" s="4" t="n"/>
      <c r="L547" s="5" t="n"/>
      <c r="M547" s="3" t="n"/>
      <c r="N547" s="3">
        <f>IF(K547=0,0,IF(M547="",B547*L547/100,M547))</f>
        <v/>
      </c>
      <c r="O547" s="4" t="n"/>
      <c r="P547" s="5" t="n"/>
      <c r="Q547" s="3" t="n"/>
      <c r="R547" s="3">
        <f>IF(O547=0,0,IF(Q547="",B547*P547/100,Q547))</f>
        <v/>
      </c>
      <c r="S547" s="4" t="n"/>
      <c r="T547" s="5" t="n"/>
      <c r="U547" s="3" t="n"/>
      <c r="V547" s="3">
        <f>IF(S547=0,0,IF(U547="",B547*T547/100,U547))</f>
        <v/>
      </c>
      <c r="W547" s="4" t="n"/>
      <c r="X547" s="5" t="n"/>
      <c r="Y547" s="3" t="n"/>
      <c r="Z547" s="3">
        <f>IF(W547=0,0,IF(Y547="",B547*X547/100,Y547))</f>
        <v/>
      </c>
      <c r="AA547" s="3" t="n"/>
      <c r="AB547" s="3" t="n"/>
      <c r="AC547" s="3">
        <f>B547*0.035</f>
        <v/>
      </c>
      <c r="AD547" s="3">
        <f>B547*0.065</f>
        <v/>
      </c>
      <c r="AE547" s="3">
        <f>SUM(B547,F547,J547,N547,R547,V547,Z547,AA547,AB547,AC547,AD547)</f>
        <v/>
      </c>
      <c r="AF547" s="3">
        <f>B547*0.055</f>
        <v/>
      </c>
      <c r="AG547" s="3">
        <f>B547*0.035</f>
        <v/>
      </c>
      <c r="AH547" s="3">
        <f>B547*0.165</f>
        <v/>
      </c>
      <c r="AI547" s="3">
        <f>MAX(0,AE547-AF547-AH547)</f>
        <v/>
      </c>
      <c r="AJ547" s="3">
        <f>IF(AI547&lt;=490,0,IF(AI547&lt;=600,(AI547-490)*0.05,IF(AI547&lt;=730,5.5+(AI547-600)*0.10,IF(AI547&lt;=3896.67,18.5+(AI547-730)*0.175,IF(AI547&lt;=19896.67,572.67+(AI547-3896.67)*0.25,IF(AI547&lt;=50416.67,4572.67+(AI547-19896.67)*0.30,13728.67+(AI547-50416.67)*0.35))))))</f>
        <v/>
      </c>
      <c r="AK547" s="3" t="n"/>
      <c r="AL547" s="3" t="n"/>
      <c r="AM547" s="3" t="n"/>
      <c r="AN547" s="3" t="n"/>
      <c r="AO547" s="3" t="n"/>
      <c r="AP547" s="3">
        <f>SUM(AF547,AJ547,AK547,AL547,AM547,AN547,AO547,AG547,AH547)</f>
        <v/>
      </c>
      <c r="AQ547" s="3">
        <f>AE547-AP547</f>
        <v/>
      </c>
      <c r="AR547" s="3" t="n"/>
      <c r="AS547" s="3" t="n"/>
      <c r="AT547" s="3">
        <f>AR547-AS547</f>
        <v/>
      </c>
    </row>
    <row r="548">
      <c r="A548" s="2" t="n"/>
      <c r="B548" s="3" t="n"/>
      <c r="C548" s="4" t="n"/>
      <c r="D548" s="5" t="n"/>
      <c r="E548" s="3" t="n"/>
      <c r="F548" s="3">
        <f>IF(C548=0,0,IF(E548="",B548*D548/100,E548))</f>
        <v/>
      </c>
      <c r="G548" s="4" t="n"/>
      <c r="H548" s="5" t="n"/>
      <c r="I548" s="3" t="n"/>
      <c r="J548" s="3">
        <f>IF(G548=0,0,IF(I548="",B548*H548/100,I548))</f>
        <v/>
      </c>
      <c r="K548" s="4" t="n"/>
      <c r="L548" s="5" t="n"/>
      <c r="M548" s="3" t="n"/>
      <c r="N548" s="3">
        <f>IF(K548=0,0,IF(M548="",B548*L548/100,M548))</f>
        <v/>
      </c>
      <c r="O548" s="4" t="n"/>
      <c r="P548" s="5" t="n"/>
      <c r="Q548" s="3" t="n"/>
      <c r="R548" s="3">
        <f>IF(O548=0,0,IF(Q548="",B548*P548/100,Q548))</f>
        <v/>
      </c>
      <c r="S548" s="4" t="n"/>
      <c r="T548" s="5" t="n"/>
      <c r="U548" s="3" t="n"/>
      <c r="V548" s="3">
        <f>IF(S548=0,0,IF(U548="",B548*T548/100,U548))</f>
        <v/>
      </c>
      <c r="W548" s="4" t="n"/>
      <c r="X548" s="5" t="n"/>
      <c r="Y548" s="3" t="n"/>
      <c r="Z548" s="3">
        <f>IF(W548=0,0,IF(Y548="",B548*X548/100,Y548))</f>
        <v/>
      </c>
      <c r="AA548" s="3" t="n"/>
      <c r="AB548" s="3" t="n"/>
      <c r="AC548" s="3">
        <f>B548*0.035</f>
        <v/>
      </c>
      <c r="AD548" s="3">
        <f>B548*0.065</f>
        <v/>
      </c>
      <c r="AE548" s="3">
        <f>SUM(B548,F548,J548,N548,R548,V548,Z548,AA548,AB548,AC548,AD548)</f>
        <v/>
      </c>
      <c r="AF548" s="3">
        <f>B548*0.055</f>
        <v/>
      </c>
      <c r="AG548" s="3">
        <f>B548*0.035</f>
        <v/>
      </c>
      <c r="AH548" s="3">
        <f>B548*0.165</f>
        <v/>
      </c>
      <c r="AI548" s="3">
        <f>MAX(0,AE548-AF548-AH548)</f>
        <v/>
      </c>
      <c r="AJ548" s="3">
        <f>IF(AI548&lt;=490,0,IF(AI548&lt;=600,(AI548-490)*0.05,IF(AI548&lt;=730,5.5+(AI548-600)*0.10,IF(AI548&lt;=3896.67,18.5+(AI548-730)*0.175,IF(AI548&lt;=19896.67,572.67+(AI548-3896.67)*0.25,IF(AI548&lt;=50416.67,4572.67+(AI548-19896.67)*0.30,13728.67+(AI548-50416.67)*0.35))))))</f>
        <v/>
      </c>
      <c r="AK548" s="3" t="n"/>
      <c r="AL548" s="3" t="n"/>
      <c r="AM548" s="3" t="n"/>
      <c r="AN548" s="3" t="n"/>
      <c r="AO548" s="3" t="n"/>
      <c r="AP548" s="3">
        <f>SUM(AF548,AJ548,AK548,AL548,AM548,AN548,AO548,AG548,AH548)</f>
        <v/>
      </c>
      <c r="AQ548" s="3">
        <f>AE548-AP548</f>
        <v/>
      </c>
      <c r="AR548" s="3" t="n"/>
      <c r="AS548" s="3" t="n"/>
      <c r="AT548" s="3">
        <f>AR548-AS548</f>
        <v/>
      </c>
    </row>
    <row r="549">
      <c r="A549" s="2" t="n"/>
      <c r="B549" s="3" t="n"/>
      <c r="C549" s="4" t="n"/>
      <c r="D549" s="5" t="n"/>
      <c r="E549" s="3" t="n"/>
      <c r="F549" s="3">
        <f>IF(C549=0,0,IF(E549="",B549*D549/100,E549))</f>
        <v/>
      </c>
      <c r="G549" s="4" t="n"/>
      <c r="H549" s="5" t="n"/>
      <c r="I549" s="3" t="n"/>
      <c r="J549" s="3">
        <f>IF(G549=0,0,IF(I549="",B549*H549/100,I549))</f>
        <v/>
      </c>
      <c r="K549" s="4" t="n"/>
      <c r="L549" s="5" t="n"/>
      <c r="M549" s="3" t="n"/>
      <c r="N549" s="3">
        <f>IF(K549=0,0,IF(M549="",B549*L549/100,M549))</f>
        <v/>
      </c>
      <c r="O549" s="4" t="n"/>
      <c r="P549" s="5" t="n"/>
      <c r="Q549" s="3" t="n"/>
      <c r="R549" s="3">
        <f>IF(O549=0,0,IF(Q549="",B549*P549/100,Q549))</f>
        <v/>
      </c>
      <c r="S549" s="4" t="n"/>
      <c r="T549" s="5" t="n"/>
      <c r="U549" s="3" t="n"/>
      <c r="V549" s="3">
        <f>IF(S549=0,0,IF(U549="",B549*T549/100,U549))</f>
        <v/>
      </c>
      <c r="W549" s="4" t="n"/>
      <c r="X549" s="5" t="n"/>
      <c r="Y549" s="3" t="n"/>
      <c r="Z549" s="3">
        <f>IF(W549=0,0,IF(Y549="",B549*X549/100,Y549))</f>
        <v/>
      </c>
      <c r="AA549" s="3" t="n"/>
      <c r="AB549" s="3" t="n"/>
      <c r="AC549" s="3">
        <f>B549*0.035</f>
        <v/>
      </c>
      <c r="AD549" s="3">
        <f>B549*0.065</f>
        <v/>
      </c>
      <c r="AE549" s="3">
        <f>SUM(B549,F549,J549,N549,R549,V549,Z549,AA549,AB549,AC549,AD549)</f>
        <v/>
      </c>
      <c r="AF549" s="3">
        <f>B549*0.055</f>
        <v/>
      </c>
      <c r="AG549" s="3">
        <f>B549*0.035</f>
        <v/>
      </c>
      <c r="AH549" s="3">
        <f>B549*0.165</f>
        <v/>
      </c>
      <c r="AI549" s="3">
        <f>MAX(0,AE549-AF549-AH549)</f>
        <v/>
      </c>
      <c r="AJ549" s="3">
        <f>IF(AI549&lt;=490,0,IF(AI549&lt;=600,(AI549-490)*0.05,IF(AI549&lt;=730,5.5+(AI549-600)*0.10,IF(AI549&lt;=3896.67,18.5+(AI549-730)*0.175,IF(AI549&lt;=19896.67,572.67+(AI549-3896.67)*0.25,IF(AI549&lt;=50416.67,4572.67+(AI549-19896.67)*0.30,13728.67+(AI549-50416.67)*0.35))))))</f>
        <v/>
      </c>
      <c r="AK549" s="3" t="n"/>
      <c r="AL549" s="3" t="n"/>
      <c r="AM549" s="3" t="n"/>
      <c r="AN549" s="3" t="n"/>
      <c r="AO549" s="3" t="n"/>
      <c r="AP549" s="3">
        <f>SUM(AF549,AJ549,AK549,AL549,AM549,AN549,AO549,AG549,AH549)</f>
        <v/>
      </c>
      <c r="AQ549" s="3">
        <f>AE549-AP549</f>
        <v/>
      </c>
      <c r="AR549" s="3" t="n"/>
      <c r="AS549" s="3" t="n"/>
      <c r="AT549" s="3">
        <f>AR549-AS549</f>
        <v/>
      </c>
    </row>
    <row r="550">
      <c r="A550" s="2" t="n"/>
      <c r="B550" s="3" t="n"/>
      <c r="C550" s="4" t="n"/>
      <c r="D550" s="5" t="n"/>
      <c r="E550" s="3" t="n"/>
      <c r="F550" s="3">
        <f>IF(C550=0,0,IF(E550="",B550*D550/100,E550))</f>
        <v/>
      </c>
      <c r="G550" s="4" t="n"/>
      <c r="H550" s="5" t="n"/>
      <c r="I550" s="3" t="n"/>
      <c r="J550" s="3">
        <f>IF(G550=0,0,IF(I550="",B550*H550/100,I550))</f>
        <v/>
      </c>
      <c r="K550" s="4" t="n"/>
      <c r="L550" s="5" t="n"/>
      <c r="M550" s="3" t="n"/>
      <c r="N550" s="3">
        <f>IF(K550=0,0,IF(M550="",B550*L550/100,M550))</f>
        <v/>
      </c>
      <c r="O550" s="4" t="n"/>
      <c r="P550" s="5" t="n"/>
      <c r="Q550" s="3" t="n"/>
      <c r="R550" s="3">
        <f>IF(O550=0,0,IF(Q550="",B550*P550/100,Q550))</f>
        <v/>
      </c>
      <c r="S550" s="4" t="n"/>
      <c r="T550" s="5" t="n"/>
      <c r="U550" s="3" t="n"/>
      <c r="V550" s="3">
        <f>IF(S550=0,0,IF(U550="",B550*T550/100,U550))</f>
        <v/>
      </c>
      <c r="W550" s="4" t="n"/>
      <c r="X550" s="5" t="n"/>
      <c r="Y550" s="3" t="n"/>
      <c r="Z550" s="3">
        <f>IF(W550=0,0,IF(Y550="",B550*X550/100,Y550))</f>
        <v/>
      </c>
      <c r="AA550" s="3" t="n"/>
      <c r="AB550" s="3" t="n"/>
      <c r="AC550" s="3">
        <f>B550*0.035</f>
        <v/>
      </c>
      <c r="AD550" s="3">
        <f>B550*0.065</f>
        <v/>
      </c>
      <c r="AE550" s="3">
        <f>SUM(B550,F550,J550,N550,R550,V550,Z550,AA550,AB550,AC550,AD550)</f>
        <v/>
      </c>
      <c r="AF550" s="3">
        <f>B550*0.055</f>
        <v/>
      </c>
      <c r="AG550" s="3">
        <f>B550*0.035</f>
        <v/>
      </c>
      <c r="AH550" s="3">
        <f>B550*0.165</f>
        <v/>
      </c>
      <c r="AI550" s="3">
        <f>MAX(0,AE550-AF550-AH550)</f>
        <v/>
      </c>
      <c r="AJ550" s="3">
        <f>IF(AI550&lt;=490,0,IF(AI550&lt;=600,(AI550-490)*0.05,IF(AI550&lt;=730,5.5+(AI550-600)*0.10,IF(AI550&lt;=3896.67,18.5+(AI550-730)*0.175,IF(AI550&lt;=19896.67,572.67+(AI550-3896.67)*0.25,IF(AI550&lt;=50416.67,4572.67+(AI550-19896.67)*0.30,13728.67+(AI550-50416.67)*0.35))))))</f>
        <v/>
      </c>
      <c r="AK550" s="3" t="n"/>
      <c r="AL550" s="3" t="n"/>
      <c r="AM550" s="3" t="n"/>
      <c r="AN550" s="3" t="n"/>
      <c r="AO550" s="3" t="n"/>
      <c r="AP550" s="3">
        <f>SUM(AF550,AJ550,AK550,AL550,AM550,AN550,AO550,AG550,AH550)</f>
        <v/>
      </c>
      <c r="AQ550" s="3">
        <f>AE550-AP550</f>
        <v/>
      </c>
      <c r="AR550" s="3" t="n"/>
      <c r="AS550" s="3" t="n"/>
      <c r="AT550" s="3">
        <f>AR550-AS550</f>
        <v/>
      </c>
    </row>
    <row r="551">
      <c r="A551" s="2" t="n"/>
      <c r="B551" s="3" t="n"/>
      <c r="C551" s="4" t="n"/>
      <c r="D551" s="5" t="n"/>
      <c r="E551" s="3" t="n"/>
      <c r="F551" s="3">
        <f>IF(C551=0,0,IF(E551="",B551*D551/100,E551))</f>
        <v/>
      </c>
      <c r="G551" s="4" t="n"/>
      <c r="H551" s="5" t="n"/>
      <c r="I551" s="3" t="n"/>
      <c r="J551" s="3">
        <f>IF(G551=0,0,IF(I551="",B551*H551/100,I551))</f>
        <v/>
      </c>
      <c r="K551" s="4" t="n"/>
      <c r="L551" s="5" t="n"/>
      <c r="M551" s="3" t="n"/>
      <c r="N551" s="3">
        <f>IF(K551=0,0,IF(M551="",B551*L551/100,M551))</f>
        <v/>
      </c>
      <c r="O551" s="4" t="n"/>
      <c r="P551" s="5" t="n"/>
      <c r="Q551" s="3" t="n"/>
      <c r="R551" s="3">
        <f>IF(O551=0,0,IF(Q551="",B551*P551/100,Q551))</f>
        <v/>
      </c>
      <c r="S551" s="4" t="n"/>
      <c r="T551" s="5" t="n"/>
      <c r="U551" s="3" t="n"/>
      <c r="V551" s="3">
        <f>IF(S551=0,0,IF(U551="",B551*T551/100,U551))</f>
        <v/>
      </c>
      <c r="W551" s="4" t="n"/>
      <c r="X551" s="5" t="n"/>
      <c r="Y551" s="3" t="n"/>
      <c r="Z551" s="3">
        <f>IF(W551=0,0,IF(Y551="",B551*X551/100,Y551))</f>
        <v/>
      </c>
      <c r="AA551" s="3" t="n"/>
      <c r="AB551" s="3" t="n"/>
      <c r="AC551" s="3">
        <f>B551*0.035</f>
        <v/>
      </c>
      <c r="AD551" s="3">
        <f>B551*0.065</f>
        <v/>
      </c>
      <c r="AE551" s="3">
        <f>SUM(B551,F551,J551,N551,R551,V551,Z551,AA551,AB551,AC551,AD551)</f>
        <v/>
      </c>
      <c r="AF551" s="3">
        <f>B551*0.055</f>
        <v/>
      </c>
      <c r="AG551" s="3">
        <f>B551*0.035</f>
        <v/>
      </c>
      <c r="AH551" s="3">
        <f>B551*0.165</f>
        <v/>
      </c>
      <c r="AI551" s="3">
        <f>MAX(0,AE551-AF551-AH551)</f>
        <v/>
      </c>
      <c r="AJ551" s="3">
        <f>IF(AI551&lt;=490,0,IF(AI551&lt;=600,(AI551-490)*0.05,IF(AI551&lt;=730,5.5+(AI551-600)*0.10,IF(AI551&lt;=3896.67,18.5+(AI551-730)*0.175,IF(AI551&lt;=19896.67,572.67+(AI551-3896.67)*0.25,IF(AI551&lt;=50416.67,4572.67+(AI551-19896.67)*0.30,13728.67+(AI551-50416.67)*0.35))))))</f>
        <v/>
      </c>
      <c r="AK551" s="3" t="n"/>
      <c r="AL551" s="3" t="n"/>
      <c r="AM551" s="3" t="n"/>
      <c r="AN551" s="3" t="n"/>
      <c r="AO551" s="3" t="n"/>
      <c r="AP551" s="3">
        <f>SUM(AF551,AJ551,AK551,AL551,AM551,AN551,AO551,AG551,AH551)</f>
        <v/>
      </c>
      <c r="AQ551" s="3">
        <f>AE551-AP551</f>
        <v/>
      </c>
      <c r="AR551" s="3" t="n"/>
      <c r="AS551" s="3" t="n"/>
      <c r="AT551" s="3">
        <f>AR551-AS551</f>
        <v/>
      </c>
    </row>
    <row r="552">
      <c r="A552" s="2" t="n"/>
      <c r="B552" s="3" t="n"/>
      <c r="C552" s="4" t="n"/>
      <c r="D552" s="5" t="n"/>
      <c r="E552" s="3" t="n"/>
      <c r="F552" s="3">
        <f>IF(C552=0,0,IF(E552="",B552*D552/100,E552))</f>
        <v/>
      </c>
      <c r="G552" s="4" t="n"/>
      <c r="H552" s="5" t="n"/>
      <c r="I552" s="3" t="n"/>
      <c r="J552" s="3">
        <f>IF(G552=0,0,IF(I552="",B552*H552/100,I552))</f>
        <v/>
      </c>
      <c r="K552" s="4" t="n"/>
      <c r="L552" s="5" t="n"/>
      <c r="M552" s="3" t="n"/>
      <c r="N552" s="3">
        <f>IF(K552=0,0,IF(M552="",B552*L552/100,M552))</f>
        <v/>
      </c>
      <c r="O552" s="4" t="n"/>
      <c r="P552" s="5" t="n"/>
      <c r="Q552" s="3" t="n"/>
      <c r="R552" s="3">
        <f>IF(O552=0,0,IF(Q552="",B552*P552/100,Q552))</f>
        <v/>
      </c>
      <c r="S552" s="4" t="n"/>
      <c r="T552" s="5" t="n"/>
      <c r="U552" s="3" t="n"/>
      <c r="V552" s="3">
        <f>IF(S552=0,0,IF(U552="",B552*T552/100,U552))</f>
        <v/>
      </c>
      <c r="W552" s="4" t="n"/>
      <c r="X552" s="5" t="n"/>
      <c r="Y552" s="3" t="n"/>
      <c r="Z552" s="3">
        <f>IF(W552=0,0,IF(Y552="",B552*X552/100,Y552))</f>
        <v/>
      </c>
      <c r="AA552" s="3" t="n"/>
      <c r="AB552" s="3" t="n"/>
      <c r="AC552" s="3">
        <f>B552*0.035</f>
        <v/>
      </c>
      <c r="AD552" s="3">
        <f>B552*0.065</f>
        <v/>
      </c>
      <c r="AE552" s="3">
        <f>SUM(B552,F552,J552,N552,R552,V552,Z552,AA552,AB552,AC552,AD552)</f>
        <v/>
      </c>
      <c r="AF552" s="3">
        <f>B552*0.055</f>
        <v/>
      </c>
      <c r="AG552" s="3">
        <f>B552*0.035</f>
        <v/>
      </c>
      <c r="AH552" s="3">
        <f>B552*0.165</f>
        <v/>
      </c>
      <c r="AI552" s="3">
        <f>MAX(0,AE552-AF552-AH552)</f>
        <v/>
      </c>
      <c r="AJ552" s="3">
        <f>IF(AI552&lt;=490,0,IF(AI552&lt;=600,(AI552-490)*0.05,IF(AI552&lt;=730,5.5+(AI552-600)*0.10,IF(AI552&lt;=3896.67,18.5+(AI552-730)*0.175,IF(AI552&lt;=19896.67,572.67+(AI552-3896.67)*0.25,IF(AI552&lt;=50416.67,4572.67+(AI552-19896.67)*0.30,13728.67+(AI552-50416.67)*0.35))))))</f>
        <v/>
      </c>
      <c r="AK552" s="3" t="n"/>
      <c r="AL552" s="3" t="n"/>
      <c r="AM552" s="3" t="n"/>
      <c r="AN552" s="3" t="n"/>
      <c r="AO552" s="3" t="n"/>
      <c r="AP552" s="3">
        <f>SUM(AF552,AJ552,AK552,AL552,AM552,AN552,AO552,AG552,AH552)</f>
        <v/>
      </c>
      <c r="AQ552" s="3">
        <f>AE552-AP552</f>
        <v/>
      </c>
      <c r="AR552" s="3" t="n"/>
      <c r="AS552" s="3" t="n"/>
      <c r="AT552" s="3">
        <f>AR552-AS552</f>
        <v/>
      </c>
    </row>
    <row r="553">
      <c r="A553" s="2" t="n"/>
      <c r="B553" s="3" t="n"/>
      <c r="C553" s="4" t="n"/>
      <c r="D553" s="5" t="n"/>
      <c r="E553" s="3" t="n"/>
      <c r="F553" s="3">
        <f>IF(C553=0,0,IF(E553="",B553*D553/100,E553))</f>
        <v/>
      </c>
      <c r="G553" s="4" t="n"/>
      <c r="H553" s="5" t="n"/>
      <c r="I553" s="3" t="n"/>
      <c r="J553" s="3">
        <f>IF(G553=0,0,IF(I553="",B553*H553/100,I553))</f>
        <v/>
      </c>
      <c r="K553" s="4" t="n"/>
      <c r="L553" s="5" t="n"/>
      <c r="M553" s="3" t="n"/>
      <c r="N553" s="3">
        <f>IF(K553=0,0,IF(M553="",B553*L553/100,M553))</f>
        <v/>
      </c>
      <c r="O553" s="4" t="n"/>
      <c r="P553" s="5" t="n"/>
      <c r="Q553" s="3" t="n"/>
      <c r="R553" s="3">
        <f>IF(O553=0,0,IF(Q553="",B553*P553/100,Q553))</f>
        <v/>
      </c>
      <c r="S553" s="4" t="n"/>
      <c r="T553" s="5" t="n"/>
      <c r="U553" s="3" t="n"/>
      <c r="V553" s="3">
        <f>IF(S553=0,0,IF(U553="",B553*T553/100,U553))</f>
        <v/>
      </c>
      <c r="W553" s="4" t="n"/>
      <c r="X553" s="5" t="n"/>
      <c r="Y553" s="3" t="n"/>
      <c r="Z553" s="3">
        <f>IF(W553=0,0,IF(Y553="",B553*X553/100,Y553))</f>
        <v/>
      </c>
      <c r="AA553" s="3" t="n"/>
      <c r="AB553" s="3" t="n"/>
      <c r="AC553" s="3">
        <f>B553*0.035</f>
        <v/>
      </c>
      <c r="AD553" s="3">
        <f>B553*0.065</f>
        <v/>
      </c>
      <c r="AE553" s="3">
        <f>SUM(B553,F553,J553,N553,R553,V553,Z553,AA553,AB553,AC553,AD553)</f>
        <v/>
      </c>
      <c r="AF553" s="3">
        <f>B553*0.055</f>
        <v/>
      </c>
      <c r="AG553" s="3">
        <f>B553*0.035</f>
        <v/>
      </c>
      <c r="AH553" s="3">
        <f>B553*0.165</f>
        <v/>
      </c>
      <c r="AI553" s="3">
        <f>MAX(0,AE553-AF553-AH553)</f>
        <v/>
      </c>
      <c r="AJ553" s="3">
        <f>IF(AI553&lt;=490,0,IF(AI553&lt;=600,(AI553-490)*0.05,IF(AI553&lt;=730,5.5+(AI553-600)*0.10,IF(AI553&lt;=3896.67,18.5+(AI553-730)*0.175,IF(AI553&lt;=19896.67,572.67+(AI553-3896.67)*0.25,IF(AI553&lt;=50416.67,4572.67+(AI553-19896.67)*0.30,13728.67+(AI553-50416.67)*0.35))))))</f>
        <v/>
      </c>
      <c r="AK553" s="3" t="n"/>
      <c r="AL553" s="3" t="n"/>
      <c r="AM553" s="3" t="n"/>
      <c r="AN553" s="3" t="n"/>
      <c r="AO553" s="3" t="n"/>
      <c r="AP553" s="3">
        <f>SUM(AF553,AJ553,AK553,AL553,AM553,AN553,AO553,AG553,AH553)</f>
        <v/>
      </c>
      <c r="AQ553" s="3">
        <f>AE553-AP553</f>
        <v/>
      </c>
      <c r="AR553" s="3" t="n"/>
      <c r="AS553" s="3" t="n"/>
      <c r="AT553" s="3">
        <f>AR553-AS553</f>
        <v/>
      </c>
    </row>
    <row r="554">
      <c r="A554" s="2" t="n"/>
      <c r="B554" s="3" t="n"/>
      <c r="C554" s="4" t="n"/>
      <c r="D554" s="5" t="n"/>
      <c r="E554" s="3" t="n"/>
      <c r="F554" s="3">
        <f>IF(C554=0,0,IF(E554="",B554*D554/100,E554))</f>
        <v/>
      </c>
      <c r="G554" s="4" t="n"/>
      <c r="H554" s="5" t="n"/>
      <c r="I554" s="3" t="n"/>
      <c r="J554" s="3">
        <f>IF(G554=0,0,IF(I554="",B554*H554/100,I554))</f>
        <v/>
      </c>
      <c r="K554" s="4" t="n"/>
      <c r="L554" s="5" t="n"/>
      <c r="M554" s="3" t="n"/>
      <c r="N554" s="3">
        <f>IF(K554=0,0,IF(M554="",B554*L554/100,M554))</f>
        <v/>
      </c>
      <c r="O554" s="4" t="n"/>
      <c r="P554" s="5" t="n"/>
      <c r="Q554" s="3" t="n"/>
      <c r="R554" s="3">
        <f>IF(O554=0,0,IF(Q554="",B554*P554/100,Q554))</f>
        <v/>
      </c>
      <c r="S554" s="4" t="n"/>
      <c r="T554" s="5" t="n"/>
      <c r="U554" s="3" t="n"/>
      <c r="V554" s="3">
        <f>IF(S554=0,0,IF(U554="",B554*T554/100,U554))</f>
        <v/>
      </c>
      <c r="W554" s="4" t="n"/>
      <c r="X554" s="5" t="n"/>
      <c r="Y554" s="3" t="n"/>
      <c r="Z554" s="3">
        <f>IF(W554=0,0,IF(Y554="",B554*X554/100,Y554))</f>
        <v/>
      </c>
      <c r="AA554" s="3" t="n"/>
      <c r="AB554" s="3" t="n"/>
      <c r="AC554" s="3">
        <f>B554*0.035</f>
        <v/>
      </c>
      <c r="AD554" s="3">
        <f>B554*0.065</f>
        <v/>
      </c>
      <c r="AE554" s="3">
        <f>SUM(B554,F554,J554,N554,R554,V554,Z554,AA554,AB554,AC554,AD554)</f>
        <v/>
      </c>
      <c r="AF554" s="3">
        <f>B554*0.055</f>
        <v/>
      </c>
      <c r="AG554" s="3">
        <f>B554*0.035</f>
        <v/>
      </c>
      <c r="AH554" s="3">
        <f>B554*0.165</f>
        <v/>
      </c>
      <c r="AI554" s="3">
        <f>MAX(0,AE554-AF554-AH554)</f>
        <v/>
      </c>
      <c r="AJ554" s="3">
        <f>IF(AI554&lt;=490,0,IF(AI554&lt;=600,(AI554-490)*0.05,IF(AI554&lt;=730,5.5+(AI554-600)*0.10,IF(AI554&lt;=3896.67,18.5+(AI554-730)*0.175,IF(AI554&lt;=19896.67,572.67+(AI554-3896.67)*0.25,IF(AI554&lt;=50416.67,4572.67+(AI554-19896.67)*0.30,13728.67+(AI554-50416.67)*0.35))))))</f>
        <v/>
      </c>
      <c r="AK554" s="3" t="n"/>
      <c r="AL554" s="3" t="n"/>
      <c r="AM554" s="3" t="n"/>
      <c r="AN554" s="3" t="n"/>
      <c r="AO554" s="3" t="n"/>
      <c r="AP554" s="3">
        <f>SUM(AF554,AJ554,AK554,AL554,AM554,AN554,AO554,AG554,AH554)</f>
        <v/>
      </c>
      <c r="AQ554" s="3">
        <f>AE554-AP554</f>
        <v/>
      </c>
      <c r="AR554" s="3" t="n"/>
      <c r="AS554" s="3" t="n"/>
      <c r="AT554" s="3">
        <f>AR554-AS554</f>
        <v/>
      </c>
    </row>
    <row r="555">
      <c r="A555" s="2" t="n"/>
      <c r="B555" s="3" t="n"/>
      <c r="C555" s="4" t="n"/>
      <c r="D555" s="5" t="n"/>
      <c r="E555" s="3" t="n"/>
      <c r="F555" s="3">
        <f>IF(C555=0,0,IF(E555="",B555*D555/100,E555))</f>
        <v/>
      </c>
      <c r="G555" s="4" t="n"/>
      <c r="H555" s="5" t="n"/>
      <c r="I555" s="3" t="n"/>
      <c r="J555" s="3">
        <f>IF(G555=0,0,IF(I555="",B555*H555/100,I555))</f>
        <v/>
      </c>
      <c r="K555" s="4" t="n"/>
      <c r="L555" s="5" t="n"/>
      <c r="M555" s="3" t="n"/>
      <c r="N555" s="3">
        <f>IF(K555=0,0,IF(M555="",B555*L555/100,M555))</f>
        <v/>
      </c>
      <c r="O555" s="4" t="n"/>
      <c r="P555" s="5" t="n"/>
      <c r="Q555" s="3" t="n"/>
      <c r="R555" s="3">
        <f>IF(O555=0,0,IF(Q555="",B555*P555/100,Q555))</f>
        <v/>
      </c>
      <c r="S555" s="4" t="n"/>
      <c r="T555" s="5" t="n"/>
      <c r="U555" s="3" t="n"/>
      <c r="V555" s="3">
        <f>IF(S555=0,0,IF(U555="",B555*T555/100,U555))</f>
        <v/>
      </c>
      <c r="W555" s="4" t="n"/>
      <c r="X555" s="5" t="n"/>
      <c r="Y555" s="3" t="n"/>
      <c r="Z555" s="3">
        <f>IF(W555=0,0,IF(Y555="",B555*X555/100,Y555))</f>
        <v/>
      </c>
      <c r="AA555" s="3" t="n"/>
      <c r="AB555" s="3" t="n"/>
      <c r="AC555" s="3">
        <f>B555*0.035</f>
        <v/>
      </c>
      <c r="AD555" s="3">
        <f>B555*0.065</f>
        <v/>
      </c>
      <c r="AE555" s="3">
        <f>SUM(B555,F555,J555,N555,R555,V555,Z555,AA555,AB555,AC555,AD555)</f>
        <v/>
      </c>
      <c r="AF555" s="3">
        <f>B555*0.055</f>
        <v/>
      </c>
      <c r="AG555" s="3">
        <f>B555*0.035</f>
        <v/>
      </c>
      <c r="AH555" s="3">
        <f>B555*0.165</f>
        <v/>
      </c>
      <c r="AI555" s="3">
        <f>MAX(0,AE555-AF555-AH555)</f>
        <v/>
      </c>
      <c r="AJ555" s="3">
        <f>IF(AI555&lt;=490,0,IF(AI555&lt;=600,(AI555-490)*0.05,IF(AI555&lt;=730,5.5+(AI555-600)*0.10,IF(AI555&lt;=3896.67,18.5+(AI555-730)*0.175,IF(AI555&lt;=19896.67,572.67+(AI555-3896.67)*0.25,IF(AI555&lt;=50416.67,4572.67+(AI555-19896.67)*0.30,13728.67+(AI555-50416.67)*0.35))))))</f>
        <v/>
      </c>
      <c r="AK555" s="3" t="n"/>
      <c r="AL555" s="3" t="n"/>
      <c r="AM555" s="3" t="n"/>
      <c r="AN555" s="3" t="n"/>
      <c r="AO555" s="3" t="n"/>
      <c r="AP555" s="3">
        <f>SUM(AF555,AJ555,AK555,AL555,AM555,AN555,AO555,AG555,AH555)</f>
        <v/>
      </c>
      <c r="AQ555" s="3">
        <f>AE555-AP555</f>
        <v/>
      </c>
      <c r="AR555" s="3" t="n"/>
      <c r="AS555" s="3" t="n"/>
      <c r="AT555" s="3">
        <f>AR555-AS555</f>
        <v/>
      </c>
    </row>
    <row r="556">
      <c r="A556" s="2" t="n"/>
      <c r="B556" s="3" t="n"/>
      <c r="C556" s="4" t="n"/>
      <c r="D556" s="5" t="n"/>
      <c r="E556" s="3" t="n"/>
      <c r="F556" s="3">
        <f>IF(C556=0,0,IF(E556="",B556*D556/100,E556))</f>
        <v/>
      </c>
      <c r="G556" s="4" t="n"/>
      <c r="H556" s="5" t="n"/>
      <c r="I556" s="3" t="n"/>
      <c r="J556" s="3">
        <f>IF(G556=0,0,IF(I556="",B556*H556/100,I556))</f>
        <v/>
      </c>
      <c r="K556" s="4" t="n"/>
      <c r="L556" s="5" t="n"/>
      <c r="M556" s="3" t="n"/>
      <c r="N556" s="3">
        <f>IF(K556=0,0,IF(M556="",B556*L556/100,M556))</f>
        <v/>
      </c>
      <c r="O556" s="4" t="n"/>
      <c r="P556" s="5" t="n"/>
      <c r="Q556" s="3" t="n"/>
      <c r="R556" s="3">
        <f>IF(O556=0,0,IF(Q556="",B556*P556/100,Q556))</f>
        <v/>
      </c>
      <c r="S556" s="4" t="n"/>
      <c r="T556" s="5" t="n"/>
      <c r="U556" s="3" t="n"/>
      <c r="V556" s="3">
        <f>IF(S556=0,0,IF(U556="",B556*T556/100,U556))</f>
        <v/>
      </c>
      <c r="W556" s="4" t="n"/>
      <c r="X556" s="5" t="n"/>
      <c r="Y556" s="3" t="n"/>
      <c r="Z556" s="3">
        <f>IF(W556=0,0,IF(Y556="",B556*X556/100,Y556))</f>
        <v/>
      </c>
      <c r="AA556" s="3" t="n"/>
      <c r="AB556" s="3" t="n"/>
      <c r="AC556" s="3">
        <f>B556*0.035</f>
        <v/>
      </c>
      <c r="AD556" s="3">
        <f>B556*0.065</f>
        <v/>
      </c>
      <c r="AE556" s="3">
        <f>SUM(B556,F556,J556,N556,R556,V556,Z556,AA556,AB556,AC556,AD556)</f>
        <v/>
      </c>
      <c r="AF556" s="3">
        <f>B556*0.055</f>
        <v/>
      </c>
      <c r="AG556" s="3">
        <f>B556*0.035</f>
        <v/>
      </c>
      <c r="AH556" s="3">
        <f>B556*0.165</f>
        <v/>
      </c>
      <c r="AI556" s="3">
        <f>MAX(0,AE556-AF556-AH556)</f>
        <v/>
      </c>
      <c r="AJ556" s="3">
        <f>IF(AI556&lt;=490,0,IF(AI556&lt;=600,(AI556-490)*0.05,IF(AI556&lt;=730,5.5+(AI556-600)*0.10,IF(AI556&lt;=3896.67,18.5+(AI556-730)*0.175,IF(AI556&lt;=19896.67,572.67+(AI556-3896.67)*0.25,IF(AI556&lt;=50416.67,4572.67+(AI556-19896.67)*0.30,13728.67+(AI556-50416.67)*0.35))))))</f>
        <v/>
      </c>
      <c r="AK556" s="3" t="n"/>
      <c r="AL556" s="3" t="n"/>
      <c r="AM556" s="3" t="n"/>
      <c r="AN556" s="3" t="n"/>
      <c r="AO556" s="3" t="n"/>
      <c r="AP556" s="3">
        <f>SUM(AF556,AJ556,AK556,AL556,AM556,AN556,AO556,AG556,AH556)</f>
        <v/>
      </c>
      <c r="AQ556" s="3">
        <f>AE556-AP556</f>
        <v/>
      </c>
      <c r="AR556" s="3" t="n"/>
      <c r="AS556" s="3" t="n"/>
      <c r="AT556" s="3">
        <f>AR556-AS556</f>
        <v/>
      </c>
    </row>
    <row r="557">
      <c r="A557" s="2" t="n"/>
      <c r="B557" s="3" t="n"/>
      <c r="C557" s="4" t="n"/>
      <c r="D557" s="5" t="n"/>
      <c r="E557" s="3" t="n"/>
      <c r="F557" s="3">
        <f>IF(C557=0,0,IF(E557="",B557*D557/100,E557))</f>
        <v/>
      </c>
      <c r="G557" s="4" t="n"/>
      <c r="H557" s="5" t="n"/>
      <c r="I557" s="3" t="n"/>
      <c r="J557" s="3">
        <f>IF(G557=0,0,IF(I557="",B557*H557/100,I557))</f>
        <v/>
      </c>
      <c r="K557" s="4" t="n"/>
      <c r="L557" s="5" t="n"/>
      <c r="M557" s="3" t="n"/>
      <c r="N557" s="3">
        <f>IF(K557=0,0,IF(M557="",B557*L557/100,M557))</f>
        <v/>
      </c>
      <c r="O557" s="4" t="n"/>
      <c r="P557" s="5" t="n"/>
      <c r="Q557" s="3" t="n"/>
      <c r="R557" s="3">
        <f>IF(O557=0,0,IF(Q557="",B557*P557/100,Q557))</f>
        <v/>
      </c>
      <c r="S557" s="4" t="n"/>
      <c r="T557" s="5" t="n"/>
      <c r="U557" s="3" t="n"/>
      <c r="V557" s="3">
        <f>IF(S557=0,0,IF(U557="",B557*T557/100,U557))</f>
        <v/>
      </c>
      <c r="W557" s="4" t="n"/>
      <c r="X557" s="5" t="n"/>
      <c r="Y557" s="3" t="n"/>
      <c r="Z557" s="3">
        <f>IF(W557=0,0,IF(Y557="",B557*X557/100,Y557))</f>
        <v/>
      </c>
      <c r="AA557" s="3" t="n"/>
      <c r="AB557" s="3" t="n"/>
      <c r="AC557" s="3">
        <f>B557*0.035</f>
        <v/>
      </c>
      <c r="AD557" s="3">
        <f>B557*0.065</f>
        <v/>
      </c>
      <c r="AE557" s="3">
        <f>SUM(B557,F557,J557,N557,R557,V557,Z557,AA557,AB557,AC557,AD557)</f>
        <v/>
      </c>
      <c r="AF557" s="3">
        <f>B557*0.055</f>
        <v/>
      </c>
      <c r="AG557" s="3">
        <f>B557*0.035</f>
        <v/>
      </c>
      <c r="AH557" s="3">
        <f>B557*0.165</f>
        <v/>
      </c>
      <c r="AI557" s="3">
        <f>MAX(0,AE557-AF557-AH557)</f>
        <v/>
      </c>
      <c r="AJ557" s="3">
        <f>IF(AI557&lt;=490,0,IF(AI557&lt;=600,(AI557-490)*0.05,IF(AI557&lt;=730,5.5+(AI557-600)*0.10,IF(AI557&lt;=3896.67,18.5+(AI557-730)*0.175,IF(AI557&lt;=19896.67,572.67+(AI557-3896.67)*0.25,IF(AI557&lt;=50416.67,4572.67+(AI557-19896.67)*0.30,13728.67+(AI557-50416.67)*0.35))))))</f>
        <v/>
      </c>
      <c r="AK557" s="3" t="n"/>
      <c r="AL557" s="3" t="n"/>
      <c r="AM557" s="3" t="n"/>
      <c r="AN557" s="3" t="n"/>
      <c r="AO557" s="3" t="n"/>
      <c r="AP557" s="3">
        <f>SUM(AF557,AJ557,AK557,AL557,AM557,AN557,AO557,AG557,AH557)</f>
        <v/>
      </c>
      <c r="AQ557" s="3">
        <f>AE557-AP557</f>
        <v/>
      </c>
      <c r="AR557" s="3" t="n"/>
      <c r="AS557" s="3" t="n"/>
      <c r="AT557" s="3">
        <f>AR557-AS557</f>
        <v/>
      </c>
    </row>
    <row r="558">
      <c r="A558" s="2" t="n"/>
      <c r="B558" s="3" t="n"/>
      <c r="C558" s="4" t="n"/>
      <c r="D558" s="5" t="n"/>
      <c r="E558" s="3" t="n"/>
      <c r="F558" s="3">
        <f>IF(C558=0,0,IF(E558="",B558*D558/100,E558))</f>
        <v/>
      </c>
      <c r="G558" s="4" t="n"/>
      <c r="H558" s="5" t="n"/>
      <c r="I558" s="3" t="n"/>
      <c r="J558" s="3">
        <f>IF(G558=0,0,IF(I558="",B558*H558/100,I558))</f>
        <v/>
      </c>
      <c r="K558" s="4" t="n"/>
      <c r="L558" s="5" t="n"/>
      <c r="M558" s="3" t="n"/>
      <c r="N558" s="3">
        <f>IF(K558=0,0,IF(M558="",B558*L558/100,M558))</f>
        <v/>
      </c>
      <c r="O558" s="4" t="n"/>
      <c r="P558" s="5" t="n"/>
      <c r="Q558" s="3" t="n"/>
      <c r="R558" s="3">
        <f>IF(O558=0,0,IF(Q558="",B558*P558/100,Q558))</f>
        <v/>
      </c>
      <c r="S558" s="4" t="n"/>
      <c r="T558" s="5" t="n"/>
      <c r="U558" s="3" t="n"/>
      <c r="V558" s="3">
        <f>IF(S558=0,0,IF(U558="",B558*T558/100,U558))</f>
        <v/>
      </c>
      <c r="W558" s="4" t="n"/>
      <c r="X558" s="5" t="n"/>
      <c r="Y558" s="3" t="n"/>
      <c r="Z558" s="3">
        <f>IF(W558=0,0,IF(Y558="",B558*X558/100,Y558))</f>
        <v/>
      </c>
      <c r="AA558" s="3" t="n"/>
      <c r="AB558" s="3" t="n"/>
      <c r="AC558" s="3">
        <f>B558*0.035</f>
        <v/>
      </c>
      <c r="AD558" s="3">
        <f>B558*0.065</f>
        <v/>
      </c>
      <c r="AE558" s="3">
        <f>SUM(B558,F558,J558,N558,R558,V558,Z558,AA558,AB558,AC558,AD558)</f>
        <v/>
      </c>
      <c r="AF558" s="3">
        <f>B558*0.055</f>
        <v/>
      </c>
      <c r="AG558" s="3">
        <f>B558*0.035</f>
        <v/>
      </c>
      <c r="AH558" s="3">
        <f>B558*0.165</f>
        <v/>
      </c>
      <c r="AI558" s="3">
        <f>MAX(0,AE558-AF558-AH558)</f>
        <v/>
      </c>
      <c r="AJ558" s="3">
        <f>IF(AI558&lt;=490,0,IF(AI558&lt;=600,(AI558-490)*0.05,IF(AI558&lt;=730,5.5+(AI558-600)*0.10,IF(AI558&lt;=3896.67,18.5+(AI558-730)*0.175,IF(AI558&lt;=19896.67,572.67+(AI558-3896.67)*0.25,IF(AI558&lt;=50416.67,4572.67+(AI558-19896.67)*0.30,13728.67+(AI558-50416.67)*0.35))))))</f>
        <v/>
      </c>
      <c r="AK558" s="3" t="n"/>
      <c r="AL558" s="3" t="n"/>
      <c r="AM558" s="3" t="n"/>
      <c r="AN558" s="3" t="n"/>
      <c r="AO558" s="3" t="n"/>
      <c r="AP558" s="3">
        <f>SUM(AF558,AJ558,AK558,AL558,AM558,AN558,AO558,AG558,AH558)</f>
        <v/>
      </c>
      <c r="AQ558" s="3">
        <f>AE558-AP558</f>
        <v/>
      </c>
      <c r="AR558" s="3" t="n"/>
      <c r="AS558" s="3" t="n"/>
      <c r="AT558" s="3">
        <f>AR558-AS558</f>
        <v/>
      </c>
    </row>
    <row r="559">
      <c r="A559" s="2" t="n"/>
      <c r="B559" s="3" t="n"/>
      <c r="C559" s="4" t="n"/>
      <c r="D559" s="5" t="n"/>
      <c r="E559" s="3" t="n"/>
      <c r="F559" s="3">
        <f>IF(C559=0,0,IF(E559="",B559*D559/100,E559))</f>
        <v/>
      </c>
      <c r="G559" s="4" t="n"/>
      <c r="H559" s="5" t="n"/>
      <c r="I559" s="3" t="n"/>
      <c r="J559" s="3">
        <f>IF(G559=0,0,IF(I559="",B559*H559/100,I559))</f>
        <v/>
      </c>
      <c r="K559" s="4" t="n"/>
      <c r="L559" s="5" t="n"/>
      <c r="M559" s="3" t="n"/>
      <c r="N559" s="3">
        <f>IF(K559=0,0,IF(M559="",B559*L559/100,M559))</f>
        <v/>
      </c>
      <c r="O559" s="4" t="n"/>
      <c r="P559" s="5" t="n"/>
      <c r="Q559" s="3" t="n"/>
      <c r="R559" s="3">
        <f>IF(O559=0,0,IF(Q559="",B559*P559/100,Q559))</f>
        <v/>
      </c>
      <c r="S559" s="4" t="n"/>
      <c r="T559" s="5" t="n"/>
      <c r="U559" s="3" t="n"/>
      <c r="V559" s="3">
        <f>IF(S559=0,0,IF(U559="",B559*T559/100,U559))</f>
        <v/>
      </c>
      <c r="W559" s="4" t="n"/>
      <c r="X559" s="5" t="n"/>
      <c r="Y559" s="3" t="n"/>
      <c r="Z559" s="3">
        <f>IF(W559=0,0,IF(Y559="",B559*X559/100,Y559))</f>
        <v/>
      </c>
      <c r="AA559" s="3" t="n"/>
      <c r="AB559" s="3" t="n"/>
      <c r="AC559" s="3">
        <f>B559*0.035</f>
        <v/>
      </c>
      <c r="AD559" s="3">
        <f>B559*0.065</f>
        <v/>
      </c>
      <c r="AE559" s="3">
        <f>SUM(B559,F559,J559,N559,R559,V559,Z559,AA559,AB559,AC559,AD559)</f>
        <v/>
      </c>
      <c r="AF559" s="3">
        <f>B559*0.055</f>
        <v/>
      </c>
      <c r="AG559" s="3">
        <f>B559*0.035</f>
        <v/>
      </c>
      <c r="AH559" s="3">
        <f>B559*0.165</f>
        <v/>
      </c>
      <c r="AI559" s="3">
        <f>MAX(0,AE559-AF559-AH559)</f>
        <v/>
      </c>
      <c r="AJ559" s="3">
        <f>IF(AI559&lt;=490,0,IF(AI559&lt;=600,(AI559-490)*0.05,IF(AI559&lt;=730,5.5+(AI559-600)*0.10,IF(AI559&lt;=3896.67,18.5+(AI559-730)*0.175,IF(AI559&lt;=19896.67,572.67+(AI559-3896.67)*0.25,IF(AI559&lt;=50416.67,4572.67+(AI559-19896.67)*0.30,13728.67+(AI559-50416.67)*0.35))))))</f>
        <v/>
      </c>
      <c r="AK559" s="3" t="n"/>
      <c r="AL559" s="3" t="n"/>
      <c r="AM559" s="3" t="n"/>
      <c r="AN559" s="3" t="n"/>
      <c r="AO559" s="3" t="n"/>
      <c r="AP559" s="3">
        <f>SUM(AF559,AJ559,AK559,AL559,AM559,AN559,AO559,AG559,AH559)</f>
        <v/>
      </c>
      <c r="AQ559" s="3">
        <f>AE559-AP559</f>
        <v/>
      </c>
      <c r="AR559" s="3" t="n"/>
      <c r="AS559" s="3" t="n"/>
      <c r="AT559" s="3">
        <f>AR559-AS559</f>
        <v/>
      </c>
    </row>
    <row r="560">
      <c r="A560" s="2" t="n"/>
      <c r="B560" s="3" t="n"/>
      <c r="C560" s="4" t="n"/>
      <c r="D560" s="5" t="n"/>
      <c r="E560" s="3" t="n"/>
      <c r="F560" s="3">
        <f>IF(C560=0,0,IF(E560="",B560*D560/100,E560))</f>
        <v/>
      </c>
      <c r="G560" s="4" t="n"/>
      <c r="H560" s="5" t="n"/>
      <c r="I560" s="3" t="n"/>
      <c r="J560" s="3">
        <f>IF(G560=0,0,IF(I560="",B560*H560/100,I560))</f>
        <v/>
      </c>
      <c r="K560" s="4" t="n"/>
      <c r="L560" s="5" t="n"/>
      <c r="M560" s="3" t="n"/>
      <c r="N560" s="3">
        <f>IF(K560=0,0,IF(M560="",B560*L560/100,M560))</f>
        <v/>
      </c>
      <c r="O560" s="4" t="n"/>
      <c r="P560" s="5" t="n"/>
      <c r="Q560" s="3" t="n"/>
      <c r="R560" s="3">
        <f>IF(O560=0,0,IF(Q560="",B560*P560/100,Q560))</f>
        <v/>
      </c>
      <c r="S560" s="4" t="n"/>
      <c r="T560" s="5" t="n"/>
      <c r="U560" s="3" t="n"/>
      <c r="V560" s="3">
        <f>IF(S560=0,0,IF(U560="",B560*T560/100,U560))</f>
        <v/>
      </c>
      <c r="W560" s="4" t="n"/>
      <c r="X560" s="5" t="n"/>
      <c r="Y560" s="3" t="n"/>
      <c r="Z560" s="3">
        <f>IF(W560=0,0,IF(Y560="",B560*X560/100,Y560))</f>
        <v/>
      </c>
      <c r="AA560" s="3" t="n"/>
      <c r="AB560" s="3" t="n"/>
      <c r="AC560" s="3">
        <f>B560*0.035</f>
        <v/>
      </c>
      <c r="AD560" s="3">
        <f>B560*0.065</f>
        <v/>
      </c>
      <c r="AE560" s="3">
        <f>SUM(B560,F560,J560,N560,R560,V560,Z560,AA560,AB560,AC560,AD560)</f>
        <v/>
      </c>
      <c r="AF560" s="3">
        <f>B560*0.055</f>
        <v/>
      </c>
      <c r="AG560" s="3">
        <f>B560*0.035</f>
        <v/>
      </c>
      <c r="AH560" s="3">
        <f>B560*0.165</f>
        <v/>
      </c>
      <c r="AI560" s="3">
        <f>MAX(0,AE560-AF560-AH560)</f>
        <v/>
      </c>
      <c r="AJ560" s="3">
        <f>IF(AI560&lt;=490,0,IF(AI560&lt;=600,(AI560-490)*0.05,IF(AI560&lt;=730,5.5+(AI560-600)*0.10,IF(AI560&lt;=3896.67,18.5+(AI560-730)*0.175,IF(AI560&lt;=19896.67,572.67+(AI560-3896.67)*0.25,IF(AI560&lt;=50416.67,4572.67+(AI560-19896.67)*0.30,13728.67+(AI560-50416.67)*0.35))))))</f>
        <v/>
      </c>
      <c r="AK560" s="3" t="n"/>
      <c r="AL560" s="3" t="n"/>
      <c r="AM560" s="3" t="n"/>
      <c r="AN560" s="3" t="n"/>
      <c r="AO560" s="3" t="n"/>
      <c r="AP560" s="3">
        <f>SUM(AF560,AJ560,AK560,AL560,AM560,AN560,AO560,AG560,AH560)</f>
        <v/>
      </c>
      <c r="AQ560" s="3">
        <f>AE560-AP560</f>
        <v/>
      </c>
      <c r="AR560" s="3" t="n"/>
      <c r="AS560" s="3" t="n"/>
      <c r="AT560" s="3">
        <f>AR560-AS560</f>
        <v/>
      </c>
    </row>
    <row r="561">
      <c r="A561" s="2" t="n"/>
      <c r="B561" s="3" t="n"/>
      <c r="C561" s="4" t="n"/>
      <c r="D561" s="5" t="n"/>
      <c r="E561" s="3" t="n"/>
      <c r="F561" s="3">
        <f>IF(C561=0,0,IF(E561="",B561*D561/100,E561))</f>
        <v/>
      </c>
      <c r="G561" s="4" t="n"/>
      <c r="H561" s="5" t="n"/>
      <c r="I561" s="3" t="n"/>
      <c r="J561" s="3">
        <f>IF(G561=0,0,IF(I561="",B561*H561/100,I561))</f>
        <v/>
      </c>
      <c r="K561" s="4" t="n"/>
      <c r="L561" s="5" t="n"/>
      <c r="M561" s="3" t="n"/>
      <c r="N561" s="3">
        <f>IF(K561=0,0,IF(M561="",B561*L561/100,M561))</f>
        <v/>
      </c>
      <c r="O561" s="4" t="n"/>
      <c r="P561" s="5" t="n"/>
      <c r="Q561" s="3" t="n"/>
      <c r="R561" s="3">
        <f>IF(O561=0,0,IF(Q561="",B561*P561/100,Q561))</f>
        <v/>
      </c>
      <c r="S561" s="4" t="n"/>
      <c r="T561" s="5" t="n"/>
      <c r="U561" s="3" t="n"/>
      <c r="V561" s="3">
        <f>IF(S561=0,0,IF(U561="",B561*T561/100,U561))</f>
        <v/>
      </c>
      <c r="W561" s="4" t="n"/>
      <c r="X561" s="5" t="n"/>
      <c r="Y561" s="3" t="n"/>
      <c r="Z561" s="3">
        <f>IF(W561=0,0,IF(Y561="",B561*X561/100,Y561))</f>
        <v/>
      </c>
      <c r="AA561" s="3" t="n"/>
      <c r="AB561" s="3" t="n"/>
      <c r="AC561" s="3">
        <f>B561*0.035</f>
        <v/>
      </c>
      <c r="AD561" s="3">
        <f>B561*0.065</f>
        <v/>
      </c>
      <c r="AE561" s="3">
        <f>SUM(B561,F561,J561,N561,R561,V561,Z561,AA561,AB561,AC561,AD561)</f>
        <v/>
      </c>
      <c r="AF561" s="3">
        <f>B561*0.055</f>
        <v/>
      </c>
      <c r="AG561" s="3">
        <f>B561*0.035</f>
        <v/>
      </c>
      <c r="AH561" s="3">
        <f>B561*0.165</f>
        <v/>
      </c>
      <c r="AI561" s="3">
        <f>MAX(0,AE561-AF561-AH561)</f>
        <v/>
      </c>
      <c r="AJ561" s="3">
        <f>IF(AI561&lt;=490,0,IF(AI561&lt;=600,(AI561-490)*0.05,IF(AI561&lt;=730,5.5+(AI561-600)*0.10,IF(AI561&lt;=3896.67,18.5+(AI561-730)*0.175,IF(AI561&lt;=19896.67,572.67+(AI561-3896.67)*0.25,IF(AI561&lt;=50416.67,4572.67+(AI561-19896.67)*0.30,13728.67+(AI561-50416.67)*0.35))))))</f>
        <v/>
      </c>
      <c r="AK561" s="3" t="n"/>
      <c r="AL561" s="3" t="n"/>
      <c r="AM561" s="3" t="n"/>
      <c r="AN561" s="3" t="n"/>
      <c r="AO561" s="3" t="n"/>
      <c r="AP561" s="3">
        <f>SUM(AF561,AJ561,AK561,AL561,AM561,AN561,AO561,AG561,AH561)</f>
        <v/>
      </c>
      <c r="AQ561" s="3">
        <f>AE561-AP561</f>
        <v/>
      </c>
      <c r="AR561" s="3" t="n"/>
      <c r="AS561" s="3" t="n"/>
      <c r="AT561" s="3">
        <f>AR561-AS561</f>
        <v/>
      </c>
    </row>
    <row r="562">
      <c r="A562" s="2" t="n"/>
      <c r="B562" s="3" t="n"/>
      <c r="C562" s="4" t="n"/>
      <c r="D562" s="5" t="n"/>
      <c r="E562" s="3" t="n"/>
      <c r="F562" s="3">
        <f>IF(C562=0,0,IF(E562="",B562*D562/100,E562))</f>
        <v/>
      </c>
      <c r="G562" s="4" t="n"/>
      <c r="H562" s="5" t="n"/>
      <c r="I562" s="3" t="n"/>
      <c r="J562" s="3">
        <f>IF(G562=0,0,IF(I562="",B562*H562/100,I562))</f>
        <v/>
      </c>
      <c r="K562" s="4" t="n"/>
      <c r="L562" s="5" t="n"/>
      <c r="M562" s="3" t="n"/>
      <c r="N562" s="3">
        <f>IF(K562=0,0,IF(M562="",B562*L562/100,M562))</f>
        <v/>
      </c>
      <c r="O562" s="4" t="n"/>
      <c r="P562" s="5" t="n"/>
      <c r="Q562" s="3" t="n"/>
      <c r="R562" s="3">
        <f>IF(O562=0,0,IF(Q562="",B562*P562/100,Q562))</f>
        <v/>
      </c>
      <c r="S562" s="4" t="n"/>
      <c r="T562" s="5" t="n"/>
      <c r="U562" s="3" t="n"/>
      <c r="V562" s="3">
        <f>IF(S562=0,0,IF(U562="",B562*T562/100,U562))</f>
        <v/>
      </c>
      <c r="W562" s="4" t="n"/>
      <c r="X562" s="5" t="n"/>
      <c r="Y562" s="3" t="n"/>
      <c r="Z562" s="3">
        <f>IF(W562=0,0,IF(Y562="",B562*X562/100,Y562))</f>
        <v/>
      </c>
      <c r="AA562" s="3" t="n"/>
      <c r="AB562" s="3" t="n"/>
      <c r="AC562" s="3">
        <f>B562*0.035</f>
        <v/>
      </c>
      <c r="AD562" s="3">
        <f>B562*0.065</f>
        <v/>
      </c>
      <c r="AE562" s="3">
        <f>SUM(B562,F562,J562,N562,R562,V562,Z562,AA562,AB562,AC562,AD562)</f>
        <v/>
      </c>
      <c r="AF562" s="3">
        <f>B562*0.055</f>
        <v/>
      </c>
      <c r="AG562" s="3">
        <f>B562*0.035</f>
        <v/>
      </c>
      <c r="AH562" s="3">
        <f>B562*0.165</f>
        <v/>
      </c>
      <c r="AI562" s="3">
        <f>MAX(0,AE562-AF562-AH562)</f>
        <v/>
      </c>
      <c r="AJ562" s="3">
        <f>IF(AI562&lt;=490,0,IF(AI562&lt;=600,(AI562-490)*0.05,IF(AI562&lt;=730,5.5+(AI562-600)*0.10,IF(AI562&lt;=3896.67,18.5+(AI562-730)*0.175,IF(AI562&lt;=19896.67,572.67+(AI562-3896.67)*0.25,IF(AI562&lt;=50416.67,4572.67+(AI562-19896.67)*0.30,13728.67+(AI562-50416.67)*0.35))))))</f>
        <v/>
      </c>
      <c r="AK562" s="3" t="n"/>
      <c r="AL562" s="3" t="n"/>
      <c r="AM562" s="3" t="n"/>
      <c r="AN562" s="3" t="n"/>
      <c r="AO562" s="3" t="n"/>
      <c r="AP562" s="3">
        <f>SUM(AF562,AJ562,AK562,AL562,AM562,AN562,AO562,AG562,AH562)</f>
        <v/>
      </c>
      <c r="AQ562" s="3">
        <f>AE562-AP562</f>
        <v/>
      </c>
      <c r="AR562" s="3" t="n"/>
      <c r="AS562" s="3" t="n"/>
      <c r="AT562" s="3">
        <f>AR562-AS562</f>
        <v/>
      </c>
    </row>
    <row r="563">
      <c r="A563" s="2" t="n"/>
      <c r="B563" s="3" t="n"/>
      <c r="C563" s="4" t="n"/>
      <c r="D563" s="5" t="n"/>
      <c r="E563" s="3" t="n"/>
      <c r="F563" s="3">
        <f>IF(C563=0,0,IF(E563="",B563*D563/100,E563))</f>
        <v/>
      </c>
      <c r="G563" s="4" t="n"/>
      <c r="H563" s="5" t="n"/>
      <c r="I563" s="3" t="n"/>
      <c r="J563" s="3">
        <f>IF(G563=0,0,IF(I563="",B563*H563/100,I563))</f>
        <v/>
      </c>
      <c r="K563" s="4" t="n"/>
      <c r="L563" s="5" t="n"/>
      <c r="M563" s="3" t="n"/>
      <c r="N563" s="3">
        <f>IF(K563=0,0,IF(M563="",B563*L563/100,M563))</f>
        <v/>
      </c>
      <c r="O563" s="4" t="n"/>
      <c r="P563" s="5" t="n"/>
      <c r="Q563" s="3" t="n"/>
      <c r="R563" s="3">
        <f>IF(O563=0,0,IF(Q563="",B563*P563/100,Q563))</f>
        <v/>
      </c>
      <c r="S563" s="4" t="n"/>
      <c r="T563" s="5" t="n"/>
      <c r="U563" s="3" t="n"/>
      <c r="V563" s="3">
        <f>IF(S563=0,0,IF(U563="",B563*T563/100,U563))</f>
        <v/>
      </c>
      <c r="W563" s="4" t="n"/>
      <c r="X563" s="5" t="n"/>
      <c r="Y563" s="3" t="n"/>
      <c r="Z563" s="3">
        <f>IF(W563=0,0,IF(Y563="",B563*X563/100,Y563))</f>
        <v/>
      </c>
      <c r="AA563" s="3" t="n"/>
      <c r="AB563" s="3" t="n"/>
      <c r="AC563" s="3">
        <f>B563*0.035</f>
        <v/>
      </c>
      <c r="AD563" s="3">
        <f>B563*0.065</f>
        <v/>
      </c>
      <c r="AE563" s="3">
        <f>SUM(B563,F563,J563,N563,R563,V563,Z563,AA563,AB563,AC563,AD563)</f>
        <v/>
      </c>
      <c r="AF563" s="3">
        <f>B563*0.055</f>
        <v/>
      </c>
      <c r="AG563" s="3">
        <f>B563*0.035</f>
        <v/>
      </c>
      <c r="AH563" s="3">
        <f>B563*0.165</f>
        <v/>
      </c>
      <c r="AI563" s="3">
        <f>MAX(0,AE563-AF563-AH563)</f>
        <v/>
      </c>
      <c r="AJ563" s="3">
        <f>IF(AI563&lt;=490,0,IF(AI563&lt;=600,(AI563-490)*0.05,IF(AI563&lt;=730,5.5+(AI563-600)*0.10,IF(AI563&lt;=3896.67,18.5+(AI563-730)*0.175,IF(AI563&lt;=19896.67,572.67+(AI563-3896.67)*0.25,IF(AI563&lt;=50416.67,4572.67+(AI563-19896.67)*0.30,13728.67+(AI563-50416.67)*0.35))))))</f>
        <v/>
      </c>
      <c r="AK563" s="3" t="n"/>
      <c r="AL563" s="3" t="n"/>
      <c r="AM563" s="3" t="n"/>
      <c r="AN563" s="3" t="n"/>
      <c r="AO563" s="3" t="n"/>
      <c r="AP563" s="3">
        <f>SUM(AF563,AJ563,AK563,AL563,AM563,AN563,AO563,AG563,AH563)</f>
        <v/>
      </c>
      <c r="AQ563" s="3">
        <f>AE563-AP563</f>
        <v/>
      </c>
      <c r="AR563" s="3" t="n"/>
      <c r="AS563" s="3" t="n"/>
      <c r="AT563" s="3">
        <f>AR563-AS563</f>
        <v/>
      </c>
    </row>
    <row r="564">
      <c r="A564" s="2" t="n"/>
      <c r="B564" s="3" t="n"/>
      <c r="C564" s="4" t="n"/>
      <c r="D564" s="5" t="n"/>
      <c r="E564" s="3" t="n"/>
      <c r="F564" s="3">
        <f>IF(C564=0,0,IF(E564="",B564*D564/100,E564))</f>
        <v/>
      </c>
      <c r="G564" s="4" t="n"/>
      <c r="H564" s="5" t="n"/>
      <c r="I564" s="3" t="n"/>
      <c r="J564" s="3">
        <f>IF(G564=0,0,IF(I564="",B564*H564/100,I564))</f>
        <v/>
      </c>
      <c r="K564" s="4" t="n"/>
      <c r="L564" s="5" t="n"/>
      <c r="M564" s="3" t="n"/>
      <c r="N564" s="3">
        <f>IF(K564=0,0,IF(M564="",B564*L564/100,M564))</f>
        <v/>
      </c>
      <c r="O564" s="4" t="n"/>
      <c r="P564" s="5" t="n"/>
      <c r="Q564" s="3" t="n"/>
      <c r="R564" s="3">
        <f>IF(O564=0,0,IF(Q564="",B564*P564/100,Q564))</f>
        <v/>
      </c>
      <c r="S564" s="4" t="n"/>
      <c r="T564" s="5" t="n"/>
      <c r="U564" s="3" t="n"/>
      <c r="V564" s="3">
        <f>IF(S564=0,0,IF(U564="",B564*T564/100,U564))</f>
        <v/>
      </c>
      <c r="W564" s="4" t="n"/>
      <c r="X564" s="5" t="n"/>
      <c r="Y564" s="3" t="n"/>
      <c r="Z564" s="3">
        <f>IF(W564=0,0,IF(Y564="",B564*X564/100,Y564))</f>
        <v/>
      </c>
      <c r="AA564" s="3" t="n"/>
      <c r="AB564" s="3" t="n"/>
      <c r="AC564" s="3">
        <f>B564*0.035</f>
        <v/>
      </c>
      <c r="AD564" s="3">
        <f>B564*0.065</f>
        <v/>
      </c>
      <c r="AE564" s="3">
        <f>SUM(B564,F564,J564,N564,R564,V564,Z564,AA564,AB564,AC564,AD564)</f>
        <v/>
      </c>
      <c r="AF564" s="3">
        <f>B564*0.055</f>
        <v/>
      </c>
      <c r="AG564" s="3">
        <f>B564*0.035</f>
        <v/>
      </c>
      <c r="AH564" s="3">
        <f>B564*0.165</f>
        <v/>
      </c>
      <c r="AI564" s="3">
        <f>MAX(0,AE564-AF564-AH564)</f>
        <v/>
      </c>
      <c r="AJ564" s="3">
        <f>IF(AI564&lt;=490,0,IF(AI564&lt;=600,(AI564-490)*0.05,IF(AI564&lt;=730,5.5+(AI564-600)*0.10,IF(AI564&lt;=3896.67,18.5+(AI564-730)*0.175,IF(AI564&lt;=19896.67,572.67+(AI564-3896.67)*0.25,IF(AI564&lt;=50416.67,4572.67+(AI564-19896.67)*0.30,13728.67+(AI564-50416.67)*0.35))))))</f>
        <v/>
      </c>
      <c r="AK564" s="3" t="n"/>
      <c r="AL564" s="3" t="n"/>
      <c r="AM564" s="3" t="n"/>
      <c r="AN564" s="3" t="n"/>
      <c r="AO564" s="3" t="n"/>
      <c r="AP564" s="3">
        <f>SUM(AF564,AJ564,AK564,AL564,AM564,AN564,AO564,AG564,AH564)</f>
        <v/>
      </c>
      <c r="AQ564" s="3">
        <f>AE564-AP564</f>
        <v/>
      </c>
      <c r="AR564" s="3" t="n"/>
      <c r="AS564" s="3" t="n"/>
      <c r="AT564" s="3">
        <f>AR564-AS564</f>
        <v/>
      </c>
    </row>
    <row r="565">
      <c r="A565" s="2" t="n"/>
      <c r="B565" s="3" t="n"/>
      <c r="C565" s="4" t="n"/>
      <c r="D565" s="5" t="n"/>
      <c r="E565" s="3" t="n"/>
      <c r="F565" s="3">
        <f>IF(C565=0,0,IF(E565="",B565*D565/100,E565))</f>
        <v/>
      </c>
      <c r="G565" s="4" t="n"/>
      <c r="H565" s="5" t="n"/>
      <c r="I565" s="3" t="n"/>
      <c r="J565" s="3">
        <f>IF(G565=0,0,IF(I565="",B565*H565/100,I565))</f>
        <v/>
      </c>
      <c r="K565" s="4" t="n"/>
      <c r="L565" s="5" t="n"/>
      <c r="M565" s="3" t="n"/>
      <c r="N565" s="3">
        <f>IF(K565=0,0,IF(M565="",B565*L565/100,M565))</f>
        <v/>
      </c>
      <c r="O565" s="4" t="n"/>
      <c r="P565" s="5" t="n"/>
      <c r="Q565" s="3" t="n"/>
      <c r="R565" s="3">
        <f>IF(O565=0,0,IF(Q565="",B565*P565/100,Q565))</f>
        <v/>
      </c>
      <c r="S565" s="4" t="n"/>
      <c r="T565" s="5" t="n"/>
      <c r="U565" s="3" t="n"/>
      <c r="V565" s="3">
        <f>IF(S565=0,0,IF(U565="",B565*T565/100,U565))</f>
        <v/>
      </c>
      <c r="W565" s="4" t="n"/>
      <c r="X565" s="5" t="n"/>
      <c r="Y565" s="3" t="n"/>
      <c r="Z565" s="3">
        <f>IF(W565=0,0,IF(Y565="",B565*X565/100,Y565))</f>
        <v/>
      </c>
      <c r="AA565" s="3" t="n"/>
      <c r="AB565" s="3" t="n"/>
      <c r="AC565" s="3">
        <f>B565*0.035</f>
        <v/>
      </c>
      <c r="AD565" s="3">
        <f>B565*0.065</f>
        <v/>
      </c>
      <c r="AE565" s="3">
        <f>SUM(B565,F565,J565,N565,R565,V565,Z565,AA565,AB565,AC565,AD565)</f>
        <v/>
      </c>
      <c r="AF565" s="3">
        <f>B565*0.055</f>
        <v/>
      </c>
      <c r="AG565" s="3">
        <f>B565*0.035</f>
        <v/>
      </c>
      <c r="AH565" s="3">
        <f>B565*0.165</f>
        <v/>
      </c>
      <c r="AI565" s="3">
        <f>MAX(0,AE565-AF565-AH565)</f>
        <v/>
      </c>
      <c r="AJ565" s="3">
        <f>IF(AI565&lt;=490,0,IF(AI565&lt;=600,(AI565-490)*0.05,IF(AI565&lt;=730,5.5+(AI565-600)*0.10,IF(AI565&lt;=3896.67,18.5+(AI565-730)*0.175,IF(AI565&lt;=19896.67,572.67+(AI565-3896.67)*0.25,IF(AI565&lt;=50416.67,4572.67+(AI565-19896.67)*0.30,13728.67+(AI565-50416.67)*0.35))))))</f>
        <v/>
      </c>
      <c r="AK565" s="3" t="n"/>
      <c r="AL565" s="3" t="n"/>
      <c r="AM565" s="3" t="n"/>
      <c r="AN565" s="3" t="n"/>
      <c r="AO565" s="3" t="n"/>
      <c r="AP565" s="3">
        <f>SUM(AF565,AJ565,AK565,AL565,AM565,AN565,AO565,AG565,AH565)</f>
        <v/>
      </c>
      <c r="AQ565" s="3">
        <f>AE565-AP565</f>
        <v/>
      </c>
      <c r="AR565" s="3" t="n"/>
      <c r="AS565" s="3" t="n"/>
      <c r="AT565" s="3">
        <f>AR565-AS565</f>
        <v/>
      </c>
    </row>
    <row r="566">
      <c r="A566" s="2" t="n"/>
      <c r="B566" s="3" t="n"/>
      <c r="C566" s="4" t="n"/>
      <c r="D566" s="5" t="n"/>
      <c r="E566" s="3" t="n"/>
      <c r="F566" s="3">
        <f>IF(C566=0,0,IF(E566="",B566*D566/100,E566))</f>
        <v/>
      </c>
      <c r="G566" s="4" t="n"/>
      <c r="H566" s="5" t="n"/>
      <c r="I566" s="3" t="n"/>
      <c r="J566" s="3">
        <f>IF(G566=0,0,IF(I566="",B566*H566/100,I566))</f>
        <v/>
      </c>
      <c r="K566" s="4" t="n"/>
      <c r="L566" s="5" t="n"/>
      <c r="M566" s="3" t="n"/>
      <c r="N566" s="3">
        <f>IF(K566=0,0,IF(M566="",B566*L566/100,M566))</f>
        <v/>
      </c>
      <c r="O566" s="4" t="n"/>
      <c r="P566" s="5" t="n"/>
      <c r="Q566" s="3" t="n"/>
      <c r="R566" s="3">
        <f>IF(O566=0,0,IF(Q566="",B566*P566/100,Q566))</f>
        <v/>
      </c>
      <c r="S566" s="4" t="n"/>
      <c r="T566" s="5" t="n"/>
      <c r="U566" s="3" t="n"/>
      <c r="V566" s="3">
        <f>IF(S566=0,0,IF(U566="",B566*T566/100,U566))</f>
        <v/>
      </c>
      <c r="W566" s="4" t="n"/>
      <c r="X566" s="5" t="n"/>
      <c r="Y566" s="3" t="n"/>
      <c r="Z566" s="3">
        <f>IF(W566=0,0,IF(Y566="",B566*X566/100,Y566))</f>
        <v/>
      </c>
      <c r="AA566" s="3" t="n"/>
      <c r="AB566" s="3" t="n"/>
      <c r="AC566" s="3">
        <f>B566*0.035</f>
        <v/>
      </c>
      <c r="AD566" s="3">
        <f>B566*0.065</f>
        <v/>
      </c>
      <c r="AE566" s="3">
        <f>SUM(B566,F566,J566,N566,R566,V566,Z566,AA566,AB566,AC566,AD566)</f>
        <v/>
      </c>
      <c r="AF566" s="3">
        <f>B566*0.055</f>
        <v/>
      </c>
      <c r="AG566" s="3">
        <f>B566*0.035</f>
        <v/>
      </c>
      <c r="AH566" s="3">
        <f>B566*0.165</f>
        <v/>
      </c>
      <c r="AI566" s="3">
        <f>MAX(0,AE566-AF566-AH566)</f>
        <v/>
      </c>
      <c r="AJ566" s="3">
        <f>IF(AI566&lt;=490,0,IF(AI566&lt;=600,(AI566-490)*0.05,IF(AI566&lt;=730,5.5+(AI566-600)*0.10,IF(AI566&lt;=3896.67,18.5+(AI566-730)*0.175,IF(AI566&lt;=19896.67,572.67+(AI566-3896.67)*0.25,IF(AI566&lt;=50416.67,4572.67+(AI566-19896.67)*0.30,13728.67+(AI566-50416.67)*0.35))))))</f>
        <v/>
      </c>
      <c r="AK566" s="3" t="n"/>
      <c r="AL566" s="3" t="n"/>
      <c r="AM566" s="3" t="n"/>
      <c r="AN566" s="3" t="n"/>
      <c r="AO566" s="3" t="n"/>
      <c r="AP566" s="3">
        <f>SUM(AF566,AJ566,AK566,AL566,AM566,AN566,AO566,AG566,AH566)</f>
        <v/>
      </c>
      <c r="AQ566" s="3">
        <f>AE566-AP566</f>
        <v/>
      </c>
      <c r="AR566" s="3" t="n"/>
      <c r="AS566" s="3" t="n"/>
      <c r="AT566" s="3">
        <f>AR566-AS566</f>
        <v/>
      </c>
    </row>
    <row r="567">
      <c r="A567" s="2" t="n"/>
      <c r="B567" s="3" t="n"/>
      <c r="C567" s="4" t="n"/>
      <c r="D567" s="5" t="n"/>
      <c r="E567" s="3" t="n"/>
      <c r="F567" s="3">
        <f>IF(C567=0,0,IF(E567="",B567*D567/100,E567))</f>
        <v/>
      </c>
      <c r="G567" s="4" t="n"/>
      <c r="H567" s="5" t="n"/>
      <c r="I567" s="3" t="n"/>
      <c r="J567" s="3">
        <f>IF(G567=0,0,IF(I567="",B567*H567/100,I567))</f>
        <v/>
      </c>
      <c r="K567" s="4" t="n"/>
      <c r="L567" s="5" t="n"/>
      <c r="M567" s="3" t="n"/>
      <c r="N567" s="3">
        <f>IF(K567=0,0,IF(M567="",B567*L567/100,M567))</f>
        <v/>
      </c>
      <c r="O567" s="4" t="n"/>
      <c r="P567" s="5" t="n"/>
      <c r="Q567" s="3" t="n"/>
      <c r="R567" s="3">
        <f>IF(O567=0,0,IF(Q567="",B567*P567/100,Q567))</f>
        <v/>
      </c>
      <c r="S567" s="4" t="n"/>
      <c r="T567" s="5" t="n"/>
      <c r="U567" s="3" t="n"/>
      <c r="V567" s="3">
        <f>IF(S567=0,0,IF(U567="",B567*T567/100,U567))</f>
        <v/>
      </c>
      <c r="W567" s="4" t="n"/>
      <c r="X567" s="5" t="n"/>
      <c r="Y567" s="3" t="n"/>
      <c r="Z567" s="3">
        <f>IF(W567=0,0,IF(Y567="",B567*X567/100,Y567))</f>
        <v/>
      </c>
      <c r="AA567" s="3" t="n"/>
      <c r="AB567" s="3" t="n"/>
      <c r="AC567" s="3">
        <f>B567*0.035</f>
        <v/>
      </c>
      <c r="AD567" s="3">
        <f>B567*0.065</f>
        <v/>
      </c>
      <c r="AE567" s="3">
        <f>SUM(B567,F567,J567,N567,R567,V567,Z567,AA567,AB567,AC567,AD567)</f>
        <v/>
      </c>
      <c r="AF567" s="3">
        <f>B567*0.055</f>
        <v/>
      </c>
      <c r="AG567" s="3">
        <f>B567*0.035</f>
        <v/>
      </c>
      <c r="AH567" s="3">
        <f>B567*0.165</f>
        <v/>
      </c>
      <c r="AI567" s="3">
        <f>MAX(0,AE567-AF567-AH567)</f>
        <v/>
      </c>
      <c r="AJ567" s="3">
        <f>IF(AI567&lt;=490,0,IF(AI567&lt;=600,(AI567-490)*0.05,IF(AI567&lt;=730,5.5+(AI567-600)*0.10,IF(AI567&lt;=3896.67,18.5+(AI567-730)*0.175,IF(AI567&lt;=19896.67,572.67+(AI567-3896.67)*0.25,IF(AI567&lt;=50416.67,4572.67+(AI567-19896.67)*0.30,13728.67+(AI567-50416.67)*0.35))))))</f>
        <v/>
      </c>
      <c r="AK567" s="3" t="n"/>
      <c r="AL567" s="3" t="n"/>
      <c r="AM567" s="3" t="n"/>
      <c r="AN567" s="3" t="n"/>
      <c r="AO567" s="3" t="n"/>
      <c r="AP567" s="3">
        <f>SUM(AF567,AJ567,AK567,AL567,AM567,AN567,AO567,AG567,AH567)</f>
        <v/>
      </c>
      <c r="AQ567" s="3">
        <f>AE567-AP567</f>
        <v/>
      </c>
      <c r="AR567" s="3" t="n"/>
      <c r="AS567" s="3" t="n"/>
      <c r="AT567" s="3">
        <f>AR567-AS567</f>
        <v/>
      </c>
    </row>
    <row r="568">
      <c r="A568" s="2" t="n"/>
      <c r="B568" s="3" t="n"/>
      <c r="C568" s="4" t="n"/>
      <c r="D568" s="5" t="n"/>
      <c r="E568" s="3" t="n"/>
      <c r="F568" s="3">
        <f>IF(C568=0,0,IF(E568="",B568*D568/100,E568))</f>
        <v/>
      </c>
      <c r="G568" s="4" t="n"/>
      <c r="H568" s="5" t="n"/>
      <c r="I568" s="3" t="n"/>
      <c r="J568" s="3">
        <f>IF(G568=0,0,IF(I568="",B568*H568/100,I568))</f>
        <v/>
      </c>
      <c r="K568" s="4" t="n"/>
      <c r="L568" s="5" t="n"/>
      <c r="M568" s="3" t="n"/>
      <c r="N568" s="3">
        <f>IF(K568=0,0,IF(M568="",B568*L568/100,M568))</f>
        <v/>
      </c>
      <c r="O568" s="4" t="n"/>
      <c r="P568" s="5" t="n"/>
      <c r="Q568" s="3" t="n"/>
      <c r="R568" s="3">
        <f>IF(O568=0,0,IF(Q568="",B568*P568/100,Q568))</f>
        <v/>
      </c>
      <c r="S568" s="4" t="n"/>
      <c r="T568" s="5" t="n"/>
      <c r="U568" s="3" t="n"/>
      <c r="V568" s="3">
        <f>IF(S568=0,0,IF(U568="",B568*T568/100,U568))</f>
        <v/>
      </c>
      <c r="W568" s="4" t="n"/>
      <c r="X568" s="5" t="n"/>
      <c r="Y568" s="3" t="n"/>
      <c r="Z568" s="3">
        <f>IF(W568=0,0,IF(Y568="",B568*X568/100,Y568))</f>
        <v/>
      </c>
      <c r="AA568" s="3" t="n"/>
      <c r="AB568" s="3" t="n"/>
      <c r="AC568" s="3">
        <f>B568*0.035</f>
        <v/>
      </c>
      <c r="AD568" s="3">
        <f>B568*0.065</f>
        <v/>
      </c>
      <c r="AE568" s="3">
        <f>SUM(B568,F568,J568,N568,R568,V568,Z568,AA568,AB568,AC568,AD568)</f>
        <v/>
      </c>
      <c r="AF568" s="3">
        <f>B568*0.055</f>
        <v/>
      </c>
      <c r="AG568" s="3">
        <f>B568*0.035</f>
        <v/>
      </c>
      <c r="AH568" s="3">
        <f>B568*0.165</f>
        <v/>
      </c>
      <c r="AI568" s="3">
        <f>MAX(0,AE568-AF568-AH568)</f>
        <v/>
      </c>
      <c r="AJ568" s="3">
        <f>IF(AI568&lt;=490,0,IF(AI568&lt;=600,(AI568-490)*0.05,IF(AI568&lt;=730,5.5+(AI568-600)*0.10,IF(AI568&lt;=3896.67,18.5+(AI568-730)*0.175,IF(AI568&lt;=19896.67,572.67+(AI568-3896.67)*0.25,IF(AI568&lt;=50416.67,4572.67+(AI568-19896.67)*0.30,13728.67+(AI568-50416.67)*0.35))))))</f>
        <v/>
      </c>
      <c r="AK568" s="3" t="n"/>
      <c r="AL568" s="3" t="n"/>
      <c r="AM568" s="3" t="n"/>
      <c r="AN568" s="3" t="n"/>
      <c r="AO568" s="3" t="n"/>
      <c r="AP568" s="3">
        <f>SUM(AF568,AJ568,AK568,AL568,AM568,AN568,AO568,AG568,AH568)</f>
        <v/>
      </c>
      <c r="AQ568" s="3">
        <f>AE568-AP568</f>
        <v/>
      </c>
      <c r="AR568" s="3" t="n"/>
      <c r="AS568" s="3" t="n"/>
      <c r="AT568" s="3">
        <f>AR568-AS568</f>
        <v/>
      </c>
    </row>
    <row r="569">
      <c r="A569" s="2" t="n"/>
      <c r="B569" s="3" t="n"/>
      <c r="C569" s="4" t="n"/>
      <c r="D569" s="5" t="n"/>
      <c r="E569" s="3" t="n"/>
      <c r="F569" s="3">
        <f>IF(C569=0,0,IF(E569="",B569*D569/100,E569))</f>
        <v/>
      </c>
      <c r="G569" s="4" t="n"/>
      <c r="H569" s="5" t="n"/>
      <c r="I569" s="3" t="n"/>
      <c r="J569" s="3">
        <f>IF(G569=0,0,IF(I569="",B569*H569/100,I569))</f>
        <v/>
      </c>
      <c r="K569" s="4" t="n"/>
      <c r="L569" s="5" t="n"/>
      <c r="M569" s="3" t="n"/>
      <c r="N569" s="3">
        <f>IF(K569=0,0,IF(M569="",B569*L569/100,M569))</f>
        <v/>
      </c>
      <c r="O569" s="4" t="n"/>
      <c r="P569" s="5" t="n"/>
      <c r="Q569" s="3" t="n"/>
      <c r="R569" s="3">
        <f>IF(O569=0,0,IF(Q569="",B569*P569/100,Q569))</f>
        <v/>
      </c>
      <c r="S569" s="4" t="n"/>
      <c r="T569" s="5" t="n"/>
      <c r="U569" s="3" t="n"/>
      <c r="V569" s="3">
        <f>IF(S569=0,0,IF(U569="",B569*T569/100,U569))</f>
        <v/>
      </c>
      <c r="W569" s="4" t="n"/>
      <c r="X569" s="5" t="n"/>
      <c r="Y569" s="3" t="n"/>
      <c r="Z569" s="3">
        <f>IF(W569=0,0,IF(Y569="",B569*X569/100,Y569))</f>
        <v/>
      </c>
      <c r="AA569" s="3" t="n"/>
      <c r="AB569" s="3" t="n"/>
      <c r="AC569" s="3">
        <f>B569*0.035</f>
        <v/>
      </c>
      <c r="AD569" s="3">
        <f>B569*0.065</f>
        <v/>
      </c>
      <c r="AE569" s="3">
        <f>SUM(B569,F569,J569,N569,R569,V569,Z569,AA569,AB569,AC569,AD569)</f>
        <v/>
      </c>
      <c r="AF569" s="3">
        <f>B569*0.055</f>
        <v/>
      </c>
      <c r="AG569" s="3">
        <f>B569*0.035</f>
        <v/>
      </c>
      <c r="AH569" s="3">
        <f>B569*0.165</f>
        <v/>
      </c>
      <c r="AI569" s="3">
        <f>MAX(0,AE569-AF569-AH569)</f>
        <v/>
      </c>
      <c r="AJ569" s="3">
        <f>IF(AI569&lt;=490,0,IF(AI569&lt;=600,(AI569-490)*0.05,IF(AI569&lt;=730,5.5+(AI569-600)*0.10,IF(AI569&lt;=3896.67,18.5+(AI569-730)*0.175,IF(AI569&lt;=19896.67,572.67+(AI569-3896.67)*0.25,IF(AI569&lt;=50416.67,4572.67+(AI569-19896.67)*0.30,13728.67+(AI569-50416.67)*0.35))))))</f>
        <v/>
      </c>
      <c r="AK569" s="3" t="n"/>
      <c r="AL569" s="3" t="n"/>
      <c r="AM569" s="3" t="n"/>
      <c r="AN569" s="3" t="n"/>
      <c r="AO569" s="3" t="n"/>
      <c r="AP569" s="3">
        <f>SUM(AF569,AJ569,AK569,AL569,AM569,AN569,AO569,AG569,AH569)</f>
        <v/>
      </c>
      <c r="AQ569" s="3">
        <f>AE569-AP569</f>
        <v/>
      </c>
      <c r="AR569" s="3" t="n"/>
      <c r="AS569" s="3" t="n"/>
      <c r="AT569" s="3">
        <f>AR569-AS569</f>
        <v/>
      </c>
    </row>
    <row r="570">
      <c r="A570" s="2" t="n"/>
      <c r="B570" s="3" t="n"/>
      <c r="C570" s="4" t="n"/>
      <c r="D570" s="5" t="n"/>
      <c r="E570" s="3" t="n"/>
      <c r="F570" s="3">
        <f>IF(C570=0,0,IF(E570="",B570*D570/100,E570))</f>
        <v/>
      </c>
      <c r="G570" s="4" t="n"/>
      <c r="H570" s="5" t="n"/>
      <c r="I570" s="3" t="n"/>
      <c r="J570" s="3">
        <f>IF(G570=0,0,IF(I570="",B570*H570/100,I570))</f>
        <v/>
      </c>
      <c r="K570" s="4" t="n"/>
      <c r="L570" s="5" t="n"/>
      <c r="M570" s="3" t="n"/>
      <c r="N570" s="3">
        <f>IF(K570=0,0,IF(M570="",B570*L570/100,M570))</f>
        <v/>
      </c>
      <c r="O570" s="4" t="n"/>
      <c r="P570" s="5" t="n"/>
      <c r="Q570" s="3" t="n"/>
      <c r="R570" s="3">
        <f>IF(O570=0,0,IF(Q570="",B570*P570/100,Q570))</f>
        <v/>
      </c>
      <c r="S570" s="4" t="n"/>
      <c r="T570" s="5" t="n"/>
      <c r="U570" s="3" t="n"/>
      <c r="V570" s="3">
        <f>IF(S570=0,0,IF(U570="",B570*T570/100,U570))</f>
        <v/>
      </c>
      <c r="W570" s="4" t="n"/>
      <c r="X570" s="5" t="n"/>
      <c r="Y570" s="3" t="n"/>
      <c r="Z570" s="3">
        <f>IF(W570=0,0,IF(Y570="",B570*X570/100,Y570))</f>
        <v/>
      </c>
      <c r="AA570" s="3" t="n"/>
      <c r="AB570" s="3" t="n"/>
      <c r="AC570" s="3">
        <f>B570*0.035</f>
        <v/>
      </c>
      <c r="AD570" s="3">
        <f>B570*0.065</f>
        <v/>
      </c>
      <c r="AE570" s="3">
        <f>SUM(B570,F570,J570,N570,R570,V570,Z570,AA570,AB570,AC570,AD570)</f>
        <v/>
      </c>
      <c r="AF570" s="3">
        <f>B570*0.055</f>
        <v/>
      </c>
      <c r="AG570" s="3">
        <f>B570*0.035</f>
        <v/>
      </c>
      <c r="AH570" s="3">
        <f>B570*0.165</f>
        <v/>
      </c>
      <c r="AI570" s="3">
        <f>MAX(0,AE570-AF570-AH570)</f>
        <v/>
      </c>
      <c r="AJ570" s="3">
        <f>IF(AI570&lt;=490,0,IF(AI570&lt;=600,(AI570-490)*0.05,IF(AI570&lt;=730,5.5+(AI570-600)*0.10,IF(AI570&lt;=3896.67,18.5+(AI570-730)*0.175,IF(AI570&lt;=19896.67,572.67+(AI570-3896.67)*0.25,IF(AI570&lt;=50416.67,4572.67+(AI570-19896.67)*0.30,13728.67+(AI570-50416.67)*0.35))))))</f>
        <v/>
      </c>
      <c r="AK570" s="3" t="n"/>
      <c r="AL570" s="3" t="n"/>
      <c r="AM570" s="3" t="n"/>
      <c r="AN570" s="3" t="n"/>
      <c r="AO570" s="3" t="n"/>
      <c r="AP570" s="3">
        <f>SUM(AF570,AJ570,AK570,AL570,AM570,AN570,AO570,AG570,AH570)</f>
        <v/>
      </c>
      <c r="AQ570" s="3">
        <f>AE570-AP570</f>
        <v/>
      </c>
      <c r="AR570" s="3" t="n"/>
      <c r="AS570" s="3" t="n"/>
      <c r="AT570" s="3">
        <f>AR570-AS570</f>
        <v/>
      </c>
    </row>
    <row r="571">
      <c r="A571" s="2" t="n"/>
      <c r="B571" s="3" t="n"/>
      <c r="C571" s="4" t="n"/>
      <c r="D571" s="5" t="n"/>
      <c r="E571" s="3" t="n"/>
      <c r="F571" s="3">
        <f>IF(C571=0,0,IF(E571="",B571*D571/100,E571))</f>
        <v/>
      </c>
      <c r="G571" s="4" t="n"/>
      <c r="H571" s="5" t="n"/>
      <c r="I571" s="3" t="n"/>
      <c r="J571" s="3">
        <f>IF(G571=0,0,IF(I571="",B571*H571/100,I571))</f>
        <v/>
      </c>
      <c r="K571" s="4" t="n"/>
      <c r="L571" s="5" t="n"/>
      <c r="M571" s="3" t="n"/>
      <c r="N571" s="3">
        <f>IF(K571=0,0,IF(M571="",B571*L571/100,M571))</f>
        <v/>
      </c>
      <c r="O571" s="4" t="n"/>
      <c r="P571" s="5" t="n"/>
      <c r="Q571" s="3" t="n"/>
      <c r="R571" s="3">
        <f>IF(O571=0,0,IF(Q571="",B571*P571/100,Q571))</f>
        <v/>
      </c>
      <c r="S571" s="4" t="n"/>
      <c r="T571" s="5" t="n"/>
      <c r="U571" s="3" t="n"/>
      <c r="V571" s="3">
        <f>IF(S571=0,0,IF(U571="",B571*T571/100,U571))</f>
        <v/>
      </c>
      <c r="W571" s="4" t="n"/>
      <c r="X571" s="5" t="n"/>
      <c r="Y571" s="3" t="n"/>
      <c r="Z571" s="3">
        <f>IF(W571=0,0,IF(Y571="",B571*X571/100,Y571))</f>
        <v/>
      </c>
      <c r="AA571" s="3" t="n"/>
      <c r="AB571" s="3" t="n"/>
      <c r="AC571" s="3">
        <f>B571*0.035</f>
        <v/>
      </c>
      <c r="AD571" s="3">
        <f>B571*0.065</f>
        <v/>
      </c>
      <c r="AE571" s="3">
        <f>SUM(B571,F571,J571,N571,R571,V571,Z571,AA571,AB571,AC571,AD571)</f>
        <v/>
      </c>
      <c r="AF571" s="3">
        <f>B571*0.055</f>
        <v/>
      </c>
      <c r="AG571" s="3">
        <f>B571*0.035</f>
        <v/>
      </c>
      <c r="AH571" s="3">
        <f>B571*0.165</f>
        <v/>
      </c>
      <c r="AI571" s="3">
        <f>MAX(0,AE571-AF571-AH571)</f>
        <v/>
      </c>
      <c r="AJ571" s="3">
        <f>IF(AI571&lt;=490,0,IF(AI571&lt;=600,(AI571-490)*0.05,IF(AI571&lt;=730,5.5+(AI571-600)*0.10,IF(AI571&lt;=3896.67,18.5+(AI571-730)*0.175,IF(AI571&lt;=19896.67,572.67+(AI571-3896.67)*0.25,IF(AI571&lt;=50416.67,4572.67+(AI571-19896.67)*0.30,13728.67+(AI571-50416.67)*0.35))))))</f>
        <v/>
      </c>
      <c r="AK571" s="3" t="n"/>
      <c r="AL571" s="3" t="n"/>
      <c r="AM571" s="3" t="n"/>
      <c r="AN571" s="3" t="n"/>
      <c r="AO571" s="3" t="n"/>
      <c r="AP571" s="3">
        <f>SUM(AF571,AJ571,AK571,AL571,AM571,AN571,AO571,AG571,AH571)</f>
        <v/>
      </c>
      <c r="AQ571" s="3">
        <f>AE571-AP571</f>
        <v/>
      </c>
      <c r="AR571" s="3" t="n"/>
      <c r="AS571" s="3" t="n"/>
      <c r="AT571" s="3">
        <f>AR571-AS571</f>
        <v/>
      </c>
    </row>
    <row r="572">
      <c r="A572" s="2" t="n"/>
      <c r="B572" s="3" t="n"/>
      <c r="C572" s="4" t="n"/>
      <c r="D572" s="5" t="n"/>
      <c r="E572" s="3" t="n"/>
      <c r="F572" s="3">
        <f>IF(C572=0,0,IF(E572="",B572*D572/100,E572))</f>
        <v/>
      </c>
      <c r="G572" s="4" t="n"/>
      <c r="H572" s="5" t="n"/>
      <c r="I572" s="3" t="n"/>
      <c r="J572" s="3">
        <f>IF(G572=0,0,IF(I572="",B572*H572/100,I572))</f>
        <v/>
      </c>
      <c r="K572" s="4" t="n"/>
      <c r="L572" s="5" t="n"/>
      <c r="M572" s="3" t="n"/>
      <c r="N572" s="3">
        <f>IF(K572=0,0,IF(M572="",B572*L572/100,M572))</f>
        <v/>
      </c>
      <c r="O572" s="4" t="n"/>
      <c r="P572" s="5" t="n"/>
      <c r="Q572" s="3" t="n"/>
      <c r="R572" s="3">
        <f>IF(O572=0,0,IF(Q572="",B572*P572/100,Q572))</f>
        <v/>
      </c>
      <c r="S572" s="4" t="n"/>
      <c r="T572" s="5" t="n"/>
      <c r="U572" s="3" t="n"/>
      <c r="V572" s="3">
        <f>IF(S572=0,0,IF(U572="",B572*T572/100,U572))</f>
        <v/>
      </c>
      <c r="W572" s="4" t="n"/>
      <c r="X572" s="5" t="n"/>
      <c r="Y572" s="3" t="n"/>
      <c r="Z572" s="3">
        <f>IF(W572=0,0,IF(Y572="",B572*X572/100,Y572))</f>
        <v/>
      </c>
      <c r="AA572" s="3" t="n"/>
      <c r="AB572" s="3" t="n"/>
      <c r="AC572" s="3">
        <f>B572*0.035</f>
        <v/>
      </c>
      <c r="AD572" s="3">
        <f>B572*0.065</f>
        <v/>
      </c>
      <c r="AE572" s="3">
        <f>SUM(B572,F572,J572,N572,R572,V572,Z572,AA572,AB572,AC572,AD572)</f>
        <v/>
      </c>
      <c r="AF572" s="3">
        <f>B572*0.055</f>
        <v/>
      </c>
      <c r="AG572" s="3">
        <f>B572*0.035</f>
        <v/>
      </c>
      <c r="AH572" s="3">
        <f>B572*0.165</f>
        <v/>
      </c>
      <c r="AI572" s="3">
        <f>MAX(0,AE572-AF572-AH572)</f>
        <v/>
      </c>
      <c r="AJ572" s="3">
        <f>IF(AI572&lt;=490,0,IF(AI572&lt;=600,(AI572-490)*0.05,IF(AI572&lt;=730,5.5+(AI572-600)*0.10,IF(AI572&lt;=3896.67,18.5+(AI572-730)*0.175,IF(AI572&lt;=19896.67,572.67+(AI572-3896.67)*0.25,IF(AI572&lt;=50416.67,4572.67+(AI572-19896.67)*0.30,13728.67+(AI572-50416.67)*0.35))))))</f>
        <v/>
      </c>
      <c r="AK572" s="3" t="n"/>
      <c r="AL572" s="3" t="n"/>
      <c r="AM572" s="3" t="n"/>
      <c r="AN572" s="3" t="n"/>
      <c r="AO572" s="3" t="n"/>
      <c r="AP572" s="3">
        <f>SUM(AF572,AJ572,AK572,AL572,AM572,AN572,AO572,AG572,AH572)</f>
        <v/>
      </c>
      <c r="AQ572" s="3">
        <f>AE572-AP572</f>
        <v/>
      </c>
      <c r="AR572" s="3" t="n"/>
      <c r="AS572" s="3" t="n"/>
      <c r="AT572" s="3">
        <f>AR572-AS572</f>
        <v/>
      </c>
    </row>
    <row r="573">
      <c r="A573" s="2" t="n"/>
      <c r="B573" s="3" t="n"/>
      <c r="C573" s="4" t="n"/>
      <c r="D573" s="5" t="n"/>
      <c r="E573" s="3" t="n"/>
      <c r="F573" s="3">
        <f>IF(C573=0,0,IF(E573="",B573*D573/100,E573))</f>
        <v/>
      </c>
      <c r="G573" s="4" t="n"/>
      <c r="H573" s="5" t="n"/>
      <c r="I573" s="3" t="n"/>
      <c r="J573" s="3">
        <f>IF(G573=0,0,IF(I573="",B573*H573/100,I573))</f>
        <v/>
      </c>
      <c r="K573" s="4" t="n"/>
      <c r="L573" s="5" t="n"/>
      <c r="M573" s="3" t="n"/>
      <c r="N573" s="3">
        <f>IF(K573=0,0,IF(M573="",B573*L573/100,M573))</f>
        <v/>
      </c>
      <c r="O573" s="4" t="n"/>
      <c r="P573" s="5" t="n"/>
      <c r="Q573" s="3" t="n"/>
      <c r="R573" s="3">
        <f>IF(O573=0,0,IF(Q573="",B573*P573/100,Q573))</f>
        <v/>
      </c>
      <c r="S573" s="4" t="n"/>
      <c r="T573" s="5" t="n"/>
      <c r="U573" s="3" t="n"/>
      <c r="V573" s="3">
        <f>IF(S573=0,0,IF(U573="",B573*T573/100,U573))</f>
        <v/>
      </c>
      <c r="W573" s="4" t="n"/>
      <c r="X573" s="5" t="n"/>
      <c r="Y573" s="3" t="n"/>
      <c r="Z573" s="3">
        <f>IF(W573=0,0,IF(Y573="",B573*X573/100,Y573))</f>
        <v/>
      </c>
      <c r="AA573" s="3" t="n"/>
      <c r="AB573" s="3" t="n"/>
      <c r="AC573" s="3">
        <f>B573*0.035</f>
        <v/>
      </c>
      <c r="AD573" s="3">
        <f>B573*0.065</f>
        <v/>
      </c>
      <c r="AE573" s="3">
        <f>SUM(B573,F573,J573,N573,R573,V573,Z573,AA573,AB573,AC573,AD573)</f>
        <v/>
      </c>
      <c r="AF573" s="3">
        <f>B573*0.055</f>
        <v/>
      </c>
      <c r="AG573" s="3">
        <f>B573*0.035</f>
        <v/>
      </c>
      <c r="AH573" s="3">
        <f>B573*0.165</f>
        <v/>
      </c>
      <c r="AI573" s="3">
        <f>MAX(0,AE573-AF573-AH573)</f>
        <v/>
      </c>
      <c r="AJ573" s="3">
        <f>IF(AI573&lt;=490,0,IF(AI573&lt;=600,(AI573-490)*0.05,IF(AI573&lt;=730,5.5+(AI573-600)*0.10,IF(AI573&lt;=3896.67,18.5+(AI573-730)*0.175,IF(AI573&lt;=19896.67,572.67+(AI573-3896.67)*0.25,IF(AI573&lt;=50416.67,4572.67+(AI573-19896.67)*0.30,13728.67+(AI573-50416.67)*0.35))))))</f>
        <v/>
      </c>
      <c r="AK573" s="3" t="n"/>
      <c r="AL573" s="3" t="n"/>
      <c r="AM573" s="3" t="n"/>
      <c r="AN573" s="3" t="n"/>
      <c r="AO573" s="3" t="n"/>
      <c r="AP573" s="3">
        <f>SUM(AF573,AJ573,AK573,AL573,AM573,AN573,AO573,AG573,AH573)</f>
        <v/>
      </c>
      <c r="AQ573" s="3">
        <f>AE573-AP573</f>
        <v/>
      </c>
      <c r="AR573" s="3" t="n"/>
      <c r="AS573" s="3" t="n"/>
      <c r="AT573" s="3">
        <f>AR573-AS573</f>
        <v/>
      </c>
    </row>
    <row r="574">
      <c r="A574" s="2" t="n"/>
      <c r="B574" s="3" t="n"/>
      <c r="C574" s="4" t="n"/>
      <c r="D574" s="5" t="n"/>
      <c r="E574" s="3" t="n"/>
      <c r="F574" s="3">
        <f>IF(C574=0,0,IF(E574="",B574*D574/100,E574))</f>
        <v/>
      </c>
      <c r="G574" s="4" t="n"/>
      <c r="H574" s="5" t="n"/>
      <c r="I574" s="3" t="n"/>
      <c r="J574" s="3">
        <f>IF(G574=0,0,IF(I574="",B574*H574/100,I574))</f>
        <v/>
      </c>
      <c r="K574" s="4" t="n"/>
      <c r="L574" s="5" t="n"/>
      <c r="M574" s="3" t="n"/>
      <c r="N574" s="3">
        <f>IF(K574=0,0,IF(M574="",B574*L574/100,M574))</f>
        <v/>
      </c>
      <c r="O574" s="4" t="n"/>
      <c r="P574" s="5" t="n"/>
      <c r="Q574" s="3" t="n"/>
      <c r="R574" s="3">
        <f>IF(O574=0,0,IF(Q574="",B574*P574/100,Q574))</f>
        <v/>
      </c>
      <c r="S574" s="4" t="n"/>
      <c r="T574" s="5" t="n"/>
      <c r="U574" s="3" t="n"/>
      <c r="V574" s="3">
        <f>IF(S574=0,0,IF(U574="",B574*T574/100,U574))</f>
        <v/>
      </c>
      <c r="W574" s="4" t="n"/>
      <c r="X574" s="5" t="n"/>
      <c r="Y574" s="3" t="n"/>
      <c r="Z574" s="3">
        <f>IF(W574=0,0,IF(Y574="",B574*X574/100,Y574))</f>
        <v/>
      </c>
      <c r="AA574" s="3" t="n"/>
      <c r="AB574" s="3" t="n"/>
      <c r="AC574" s="3">
        <f>B574*0.035</f>
        <v/>
      </c>
      <c r="AD574" s="3">
        <f>B574*0.065</f>
        <v/>
      </c>
      <c r="AE574" s="3">
        <f>SUM(B574,F574,J574,N574,R574,V574,Z574,AA574,AB574,AC574,AD574)</f>
        <v/>
      </c>
      <c r="AF574" s="3">
        <f>B574*0.055</f>
        <v/>
      </c>
      <c r="AG574" s="3">
        <f>B574*0.035</f>
        <v/>
      </c>
      <c r="AH574" s="3">
        <f>B574*0.165</f>
        <v/>
      </c>
      <c r="AI574" s="3">
        <f>MAX(0,AE574-AF574-AH574)</f>
        <v/>
      </c>
      <c r="AJ574" s="3">
        <f>IF(AI574&lt;=490,0,IF(AI574&lt;=600,(AI574-490)*0.05,IF(AI574&lt;=730,5.5+(AI574-600)*0.10,IF(AI574&lt;=3896.67,18.5+(AI574-730)*0.175,IF(AI574&lt;=19896.67,572.67+(AI574-3896.67)*0.25,IF(AI574&lt;=50416.67,4572.67+(AI574-19896.67)*0.30,13728.67+(AI574-50416.67)*0.35))))))</f>
        <v/>
      </c>
      <c r="AK574" s="3" t="n"/>
      <c r="AL574" s="3" t="n"/>
      <c r="AM574" s="3" t="n"/>
      <c r="AN574" s="3" t="n"/>
      <c r="AO574" s="3" t="n"/>
      <c r="AP574" s="3">
        <f>SUM(AF574,AJ574,AK574,AL574,AM574,AN574,AO574,AG574,AH574)</f>
        <v/>
      </c>
      <c r="AQ574" s="3">
        <f>AE574-AP574</f>
        <v/>
      </c>
      <c r="AR574" s="3" t="n"/>
      <c r="AS574" s="3" t="n"/>
      <c r="AT574" s="3">
        <f>AR574-AS574</f>
        <v/>
      </c>
    </row>
    <row r="575">
      <c r="A575" s="2" t="n"/>
      <c r="B575" s="3" t="n"/>
      <c r="C575" s="4" t="n"/>
      <c r="D575" s="5" t="n"/>
      <c r="E575" s="3" t="n"/>
      <c r="F575" s="3">
        <f>IF(C575=0,0,IF(E575="",B575*D575/100,E575))</f>
        <v/>
      </c>
      <c r="G575" s="4" t="n"/>
      <c r="H575" s="5" t="n"/>
      <c r="I575" s="3" t="n"/>
      <c r="J575" s="3">
        <f>IF(G575=0,0,IF(I575="",B575*H575/100,I575))</f>
        <v/>
      </c>
      <c r="K575" s="4" t="n"/>
      <c r="L575" s="5" t="n"/>
      <c r="M575" s="3" t="n"/>
      <c r="N575" s="3">
        <f>IF(K575=0,0,IF(M575="",B575*L575/100,M575))</f>
        <v/>
      </c>
      <c r="O575" s="4" t="n"/>
      <c r="P575" s="5" t="n"/>
      <c r="Q575" s="3" t="n"/>
      <c r="R575" s="3">
        <f>IF(O575=0,0,IF(Q575="",B575*P575/100,Q575))</f>
        <v/>
      </c>
      <c r="S575" s="4" t="n"/>
      <c r="T575" s="5" t="n"/>
      <c r="U575" s="3" t="n"/>
      <c r="V575" s="3">
        <f>IF(S575=0,0,IF(U575="",B575*T575/100,U575))</f>
        <v/>
      </c>
      <c r="W575" s="4" t="n"/>
      <c r="X575" s="5" t="n"/>
      <c r="Y575" s="3" t="n"/>
      <c r="Z575" s="3">
        <f>IF(W575=0,0,IF(Y575="",B575*X575/100,Y575))</f>
        <v/>
      </c>
      <c r="AA575" s="3" t="n"/>
      <c r="AB575" s="3" t="n"/>
      <c r="AC575" s="3">
        <f>B575*0.035</f>
        <v/>
      </c>
      <c r="AD575" s="3">
        <f>B575*0.065</f>
        <v/>
      </c>
      <c r="AE575" s="3">
        <f>SUM(B575,F575,J575,N575,R575,V575,Z575,AA575,AB575,AC575,AD575)</f>
        <v/>
      </c>
      <c r="AF575" s="3">
        <f>B575*0.055</f>
        <v/>
      </c>
      <c r="AG575" s="3">
        <f>B575*0.035</f>
        <v/>
      </c>
      <c r="AH575" s="3">
        <f>B575*0.165</f>
        <v/>
      </c>
      <c r="AI575" s="3">
        <f>MAX(0,AE575-AF575-AH575)</f>
        <v/>
      </c>
      <c r="AJ575" s="3">
        <f>IF(AI575&lt;=490,0,IF(AI575&lt;=600,(AI575-490)*0.05,IF(AI575&lt;=730,5.5+(AI575-600)*0.10,IF(AI575&lt;=3896.67,18.5+(AI575-730)*0.175,IF(AI575&lt;=19896.67,572.67+(AI575-3896.67)*0.25,IF(AI575&lt;=50416.67,4572.67+(AI575-19896.67)*0.30,13728.67+(AI575-50416.67)*0.35))))))</f>
        <v/>
      </c>
      <c r="AK575" s="3" t="n"/>
      <c r="AL575" s="3" t="n"/>
      <c r="AM575" s="3" t="n"/>
      <c r="AN575" s="3" t="n"/>
      <c r="AO575" s="3" t="n"/>
      <c r="AP575" s="3">
        <f>SUM(AF575,AJ575,AK575,AL575,AM575,AN575,AO575,AG575,AH575)</f>
        <v/>
      </c>
      <c r="AQ575" s="3">
        <f>AE575-AP575</f>
        <v/>
      </c>
      <c r="AR575" s="3" t="n"/>
      <c r="AS575" s="3" t="n"/>
      <c r="AT575" s="3">
        <f>AR575-AS575</f>
        <v/>
      </c>
    </row>
    <row r="576">
      <c r="A576" s="2" t="n"/>
      <c r="B576" s="3" t="n"/>
      <c r="C576" s="4" t="n"/>
      <c r="D576" s="5" t="n"/>
      <c r="E576" s="3" t="n"/>
      <c r="F576" s="3">
        <f>IF(C576=0,0,IF(E576="",B576*D576/100,E576))</f>
        <v/>
      </c>
      <c r="G576" s="4" t="n"/>
      <c r="H576" s="5" t="n"/>
      <c r="I576" s="3" t="n"/>
      <c r="J576" s="3">
        <f>IF(G576=0,0,IF(I576="",B576*H576/100,I576))</f>
        <v/>
      </c>
      <c r="K576" s="4" t="n"/>
      <c r="L576" s="5" t="n"/>
      <c r="M576" s="3" t="n"/>
      <c r="N576" s="3">
        <f>IF(K576=0,0,IF(M576="",B576*L576/100,M576))</f>
        <v/>
      </c>
      <c r="O576" s="4" t="n"/>
      <c r="P576" s="5" t="n"/>
      <c r="Q576" s="3" t="n"/>
      <c r="R576" s="3">
        <f>IF(O576=0,0,IF(Q576="",B576*P576/100,Q576))</f>
        <v/>
      </c>
      <c r="S576" s="4" t="n"/>
      <c r="T576" s="5" t="n"/>
      <c r="U576" s="3" t="n"/>
      <c r="V576" s="3">
        <f>IF(S576=0,0,IF(U576="",B576*T576/100,U576))</f>
        <v/>
      </c>
      <c r="W576" s="4" t="n"/>
      <c r="X576" s="5" t="n"/>
      <c r="Y576" s="3" t="n"/>
      <c r="Z576" s="3">
        <f>IF(W576=0,0,IF(Y576="",B576*X576/100,Y576))</f>
        <v/>
      </c>
      <c r="AA576" s="3" t="n"/>
      <c r="AB576" s="3" t="n"/>
      <c r="AC576" s="3">
        <f>B576*0.035</f>
        <v/>
      </c>
      <c r="AD576" s="3">
        <f>B576*0.065</f>
        <v/>
      </c>
      <c r="AE576" s="3">
        <f>SUM(B576,F576,J576,N576,R576,V576,Z576,AA576,AB576,AC576,AD576)</f>
        <v/>
      </c>
      <c r="AF576" s="3">
        <f>B576*0.055</f>
        <v/>
      </c>
      <c r="AG576" s="3">
        <f>B576*0.035</f>
        <v/>
      </c>
      <c r="AH576" s="3">
        <f>B576*0.165</f>
        <v/>
      </c>
      <c r="AI576" s="3">
        <f>MAX(0,AE576-AF576-AH576)</f>
        <v/>
      </c>
      <c r="AJ576" s="3">
        <f>IF(AI576&lt;=490,0,IF(AI576&lt;=600,(AI576-490)*0.05,IF(AI576&lt;=730,5.5+(AI576-600)*0.10,IF(AI576&lt;=3896.67,18.5+(AI576-730)*0.175,IF(AI576&lt;=19896.67,572.67+(AI576-3896.67)*0.25,IF(AI576&lt;=50416.67,4572.67+(AI576-19896.67)*0.30,13728.67+(AI576-50416.67)*0.35))))))</f>
        <v/>
      </c>
      <c r="AK576" s="3" t="n"/>
      <c r="AL576" s="3" t="n"/>
      <c r="AM576" s="3" t="n"/>
      <c r="AN576" s="3" t="n"/>
      <c r="AO576" s="3" t="n"/>
      <c r="AP576" s="3">
        <f>SUM(AF576,AJ576,AK576,AL576,AM576,AN576,AO576,AG576,AH576)</f>
        <v/>
      </c>
      <c r="AQ576" s="3">
        <f>AE576-AP576</f>
        <v/>
      </c>
      <c r="AR576" s="3" t="n"/>
      <c r="AS576" s="3" t="n"/>
      <c r="AT576" s="3">
        <f>AR576-AS576</f>
        <v/>
      </c>
    </row>
    <row r="577">
      <c r="A577" s="2" t="n"/>
      <c r="B577" s="3" t="n"/>
      <c r="C577" s="4" t="n"/>
      <c r="D577" s="5" t="n"/>
      <c r="E577" s="3" t="n"/>
      <c r="F577" s="3">
        <f>IF(C577=0,0,IF(E577="",B577*D577/100,E577))</f>
        <v/>
      </c>
      <c r="G577" s="4" t="n"/>
      <c r="H577" s="5" t="n"/>
      <c r="I577" s="3" t="n"/>
      <c r="J577" s="3">
        <f>IF(G577=0,0,IF(I577="",B577*H577/100,I577))</f>
        <v/>
      </c>
      <c r="K577" s="4" t="n"/>
      <c r="L577" s="5" t="n"/>
      <c r="M577" s="3" t="n"/>
      <c r="N577" s="3">
        <f>IF(K577=0,0,IF(M577="",B577*L577/100,M577))</f>
        <v/>
      </c>
      <c r="O577" s="4" t="n"/>
      <c r="P577" s="5" t="n"/>
      <c r="Q577" s="3" t="n"/>
      <c r="R577" s="3">
        <f>IF(O577=0,0,IF(Q577="",B577*P577/100,Q577))</f>
        <v/>
      </c>
      <c r="S577" s="4" t="n"/>
      <c r="T577" s="5" t="n"/>
      <c r="U577" s="3" t="n"/>
      <c r="V577" s="3">
        <f>IF(S577=0,0,IF(U577="",B577*T577/100,U577))</f>
        <v/>
      </c>
      <c r="W577" s="4" t="n"/>
      <c r="X577" s="5" t="n"/>
      <c r="Y577" s="3" t="n"/>
      <c r="Z577" s="3">
        <f>IF(W577=0,0,IF(Y577="",B577*X577/100,Y577))</f>
        <v/>
      </c>
      <c r="AA577" s="3" t="n"/>
      <c r="AB577" s="3" t="n"/>
      <c r="AC577" s="3">
        <f>B577*0.035</f>
        <v/>
      </c>
      <c r="AD577" s="3">
        <f>B577*0.065</f>
        <v/>
      </c>
      <c r="AE577" s="3">
        <f>SUM(B577,F577,J577,N577,R577,V577,Z577,AA577,AB577,AC577,AD577)</f>
        <v/>
      </c>
      <c r="AF577" s="3">
        <f>B577*0.055</f>
        <v/>
      </c>
      <c r="AG577" s="3">
        <f>B577*0.035</f>
        <v/>
      </c>
      <c r="AH577" s="3">
        <f>B577*0.165</f>
        <v/>
      </c>
      <c r="AI577" s="3">
        <f>MAX(0,AE577-AF577-AH577)</f>
        <v/>
      </c>
      <c r="AJ577" s="3">
        <f>IF(AI577&lt;=490,0,IF(AI577&lt;=600,(AI577-490)*0.05,IF(AI577&lt;=730,5.5+(AI577-600)*0.10,IF(AI577&lt;=3896.67,18.5+(AI577-730)*0.175,IF(AI577&lt;=19896.67,572.67+(AI577-3896.67)*0.25,IF(AI577&lt;=50416.67,4572.67+(AI577-19896.67)*0.30,13728.67+(AI577-50416.67)*0.35))))))</f>
        <v/>
      </c>
      <c r="AK577" s="3" t="n"/>
      <c r="AL577" s="3" t="n"/>
      <c r="AM577" s="3" t="n"/>
      <c r="AN577" s="3" t="n"/>
      <c r="AO577" s="3" t="n"/>
      <c r="AP577" s="3">
        <f>SUM(AF577,AJ577,AK577,AL577,AM577,AN577,AO577,AG577,AH577)</f>
        <v/>
      </c>
      <c r="AQ577" s="3">
        <f>AE577-AP577</f>
        <v/>
      </c>
      <c r="AR577" s="3" t="n"/>
      <c r="AS577" s="3" t="n"/>
      <c r="AT577" s="3">
        <f>AR577-AS577</f>
        <v/>
      </c>
    </row>
    <row r="578">
      <c r="A578" s="2" t="n"/>
      <c r="B578" s="3" t="n"/>
      <c r="C578" s="4" t="n"/>
      <c r="D578" s="5" t="n"/>
      <c r="E578" s="3" t="n"/>
      <c r="F578" s="3">
        <f>IF(C578=0,0,IF(E578="",B578*D578/100,E578))</f>
        <v/>
      </c>
      <c r="G578" s="4" t="n"/>
      <c r="H578" s="5" t="n"/>
      <c r="I578" s="3" t="n"/>
      <c r="J578" s="3">
        <f>IF(G578=0,0,IF(I578="",B578*H578/100,I578))</f>
        <v/>
      </c>
      <c r="K578" s="4" t="n"/>
      <c r="L578" s="5" t="n"/>
      <c r="M578" s="3" t="n"/>
      <c r="N578" s="3">
        <f>IF(K578=0,0,IF(M578="",B578*L578/100,M578))</f>
        <v/>
      </c>
      <c r="O578" s="4" t="n"/>
      <c r="P578" s="5" t="n"/>
      <c r="Q578" s="3" t="n"/>
      <c r="R578" s="3">
        <f>IF(O578=0,0,IF(Q578="",B578*P578/100,Q578))</f>
        <v/>
      </c>
      <c r="S578" s="4" t="n"/>
      <c r="T578" s="5" t="n"/>
      <c r="U578" s="3" t="n"/>
      <c r="V578" s="3">
        <f>IF(S578=0,0,IF(U578="",B578*T578/100,U578))</f>
        <v/>
      </c>
      <c r="W578" s="4" t="n"/>
      <c r="X578" s="5" t="n"/>
      <c r="Y578" s="3" t="n"/>
      <c r="Z578" s="3">
        <f>IF(W578=0,0,IF(Y578="",B578*X578/100,Y578))</f>
        <v/>
      </c>
      <c r="AA578" s="3" t="n"/>
      <c r="AB578" s="3" t="n"/>
      <c r="AC578" s="3">
        <f>B578*0.035</f>
        <v/>
      </c>
      <c r="AD578" s="3">
        <f>B578*0.065</f>
        <v/>
      </c>
      <c r="AE578" s="3">
        <f>SUM(B578,F578,J578,N578,R578,V578,Z578,AA578,AB578,AC578,AD578)</f>
        <v/>
      </c>
      <c r="AF578" s="3">
        <f>B578*0.055</f>
        <v/>
      </c>
      <c r="AG578" s="3">
        <f>B578*0.035</f>
        <v/>
      </c>
      <c r="AH578" s="3">
        <f>B578*0.165</f>
        <v/>
      </c>
      <c r="AI578" s="3">
        <f>MAX(0,AE578-AF578-AH578)</f>
        <v/>
      </c>
      <c r="AJ578" s="3">
        <f>IF(AI578&lt;=490,0,IF(AI578&lt;=600,(AI578-490)*0.05,IF(AI578&lt;=730,5.5+(AI578-600)*0.10,IF(AI578&lt;=3896.67,18.5+(AI578-730)*0.175,IF(AI578&lt;=19896.67,572.67+(AI578-3896.67)*0.25,IF(AI578&lt;=50416.67,4572.67+(AI578-19896.67)*0.30,13728.67+(AI578-50416.67)*0.35))))))</f>
        <v/>
      </c>
      <c r="AK578" s="3" t="n"/>
      <c r="AL578" s="3" t="n"/>
      <c r="AM578" s="3" t="n"/>
      <c r="AN578" s="3" t="n"/>
      <c r="AO578" s="3" t="n"/>
      <c r="AP578" s="3">
        <f>SUM(AF578,AJ578,AK578,AL578,AM578,AN578,AO578,AG578,AH578)</f>
        <v/>
      </c>
      <c r="AQ578" s="3">
        <f>AE578-AP578</f>
        <v/>
      </c>
      <c r="AR578" s="3" t="n"/>
      <c r="AS578" s="3" t="n"/>
      <c r="AT578" s="3">
        <f>AR578-AS578</f>
        <v/>
      </c>
    </row>
    <row r="579">
      <c r="A579" s="2" t="n"/>
      <c r="B579" s="3" t="n"/>
      <c r="C579" s="4" t="n"/>
      <c r="D579" s="5" t="n"/>
      <c r="E579" s="3" t="n"/>
      <c r="F579" s="3">
        <f>IF(C579=0,0,IF(E579="",B579*D579/100,E579))</f>
        <v/>
      </c>
      <c r="G579" s="4" t="n"/>
      <c r="H579" s="5" t="n"/>
      <c r="I579" s="3" t="n"/>
      <c r="J579" s="3">
        <f>IF(G579=0,0,IF(I579="",B579*H579/100,I579))</f>
        <v/>
      </c>
      <c r="K579" s="4" t="n"/>
      <c r="L579" s="5" t="n"/>
      <c r="M579" s="3" t="n"/>
      <c r="N579" s="3">
        <f>IF(K579=0,0,IF(M579="",B579*L579/100,M579))</f>
        <v/>
      </c>
      <c r="O579" s="4" t="n"/>
      <c r="P579" s="5" t="n"/>
      <c r="Q579" s="3" t="n"/>
      <c r="R579" s="3">
        <f>IF(O579=0,0,IF(Q579="",B579*P579/100,Q579))</f>
        <v/>
      </c>
      <c r="S579" s="4" t="n"/>
      <c r="T579" s="5" t="n"/>
      <c r="U579" s="3" t="n"/>
      <c r="V579" s="3">
        <f>IF(S579=0,0,IF(U579="",B579*T579/100,U579))</f>
        <v/>
      </c>
      <c r="W579" s="4" t="n"/>
      <c r="X579" s="5" t="n"/>
      <c r="Y579" s="3" t="n"/>
      <c r="Z579" s="3">
        <f>IF(W579=0,0,IF(Y579="",B579*X579/100,Y579))</f>
        <v/>
      </c>
      <c r="AA579" s="3" t="n"/>
      <c r="AB579" s="3" t="n"/>
      <c r="AC579" s="3">
        <f>B579*0.035</f>
        <v/>
      </c>
      <c r="AD579" s="3">
        <f>B579*0.065</f>
        <v/>
      </c>
      <c r="AE579" s="3">
        <f>SUM(B579,F579,J579,N579,R579,V579,Z579,AA579,AB579,AC579,AD579)</f>
        <v/>
      </c>
      <c r="AF579" s="3">
        <f>B579*0.055</f>
        <v/>
      </c>
      <c r="AG579" s="3">
        <f>B579*0.035</f>
        <v/>
      </c>
      <c r="AH579" s="3">
        <f>B579*0.165</f>
        <v/>
      </c>
      <c r="AI579" s="3">
        <f>MAX(0,AE579-AF579-AH579)</f>
        <v/>
      </c>
      <c r="AJ579" s="3">
        <f>IF(AI579&lt;=490,0,IF(AI579&lt;=600,(AI579-490)*0.05,IF(AI579&lt;=730,5.5+(AI579-600)*0.10,IF(AI579&lt;=3896.67,18.5+(AI579-730)*0.175,IF(AI579&lt;=19896.67,572.67+(AI579-3896.67)*0.25,IF(AI579&lt;=50416.67,4572.67+(AI579-19896.67)*0.30,13728.67+(AI579-50416.67)*0.35))))))</f>
        <v/>
      </c>
      <c r="AK579" s="3" t="n"/>
      <c r="AL579" s="3" t="n"/>
      <c r="AM579" s="3" t="n"/>
      <c r="AN579" s="3" t="n"/>
      <c r="AO579" s="3" t="n"/>
      <c r="AP579" s="3">
        <f>SUM(AF579,AJ579,AK579,AL579,AM579,AN579,AO579,AG579,AH579)</f>
        <v/>
      </c>
      <c r="AQ579" s="3">
        <f>AE579-AP579</f>
        <v/>
      </c>
      <c r="AR579" s="3" t="n"/>
      <c r="AS579" s="3" t="n"/>
      <c r="AT579" s="3">
        <f>AR579-AS579</f>
        <v/>
      </c>
    </row>
    <row r="580">
      <c r="A580" s="2" t="n"/>
      <c r="B580" s="3" t="n"/>
      <c r="C580" s="4" t="n"/>
      <c r="D580" s="5" t="n"/>
      <c r="E580" s="3" t="n"/>
      <c r="F580" s="3">
        <f>IF(C580=0,0,IF(E580="",B580*D580/100,E580))</f>
        <v/>
      </c>
      <c r="G580" s="4" t="n"/>
      <c r="H580" s="5" t="n"/>
      <c r="I580" s="3" t="n"/>
      <c r="J580" s="3">
        <f>IF(G580=0,0,IF(I580="",B580*H580/100,I580))</f>
        <v/>
      </c>
      <c r="K580" s="4" t="n"/>
      <c r="L580" s="5" t="n"/>
      <c r="M580" s="3" t="n"/>
      <c r="N580" s="3">
        <f>IF(K580=0,0,IF(M580="",B580*L580/100,M580))</f>
        <v/>
      </c>
      <c r="O580" s="4" t="n"/>
      <c r="P580" s="5" t="n"/>
      <c r="Q580" s="3" t="n"/>
      <c r="R580" s="3">
        <f>IF(O580=0,0,IF(Q580="",B580*P580/100,Q580))</f>
        <v/>
      </c>
      <c r="S580" s="4" t="n"/>
      <c r="T580" s="5" t="n"/>
      <c r="U580" s="3" t="n"/>
      <c r="V580" s="3">
        <f>IF(S580=0,0,IF(U580="",B580*T580/100,U580))</f>
        <v/>
      </c>
      <c r="W580" s="4" t="n"/>
      <c r="X580" s="5" t="n"/>
      <c r="Y580" s="3" t="n"/>
      <c r="Z580" s="3">
        <f>IF(W580=0,0,IF(Y580="",B580*X580/100,Y580))</f>
        <v/>
      </c>
      <c r="AA580" s="3" t="n"/>
      <c r="AB580" s="3" t="n"/>
      <c r="AC580" s="3">
        <f>B580*0.035</f>
        <v/>
      </c>
      <c r="AD580" s="3">
        <f>B580*0.065</f>
        <v/>
      </c>
      <c r="AE580" s="3">
        <f>SUM(B580,F580,J580,N580,R580,V580,Z580,AA580,AB580,AC580,AD580)</f>
        <v/>
      </c>
      <c r="AF580" s="3">
        <f>B580*0.055</f>
        <v/>
      </c>
      <c r="AG580" s="3">
        <f>B580*0.035</f>
        <v/>
      </c>
      <c r="AH580" s="3">
        <f>B580*0.165</f>
        <v/>
      </c>
      <c r="AI580" s="3">
        <f>MAX(0,AE580-AF580-AH580)</f>
        <v/>
      </c>
      <c r="AJ580" s="3">
        <f>IF(AI580&lt;=490,0,IF(AI580&lt;=600,(AI580-490)*0.05,IF(AI580&lt;=730,5.5+(AI580-600)*0.10,IF(AI580&lt;=3896.67,18.5+(AI580-730)*0.175,IF(AI580&lt;=19896.67,572.67+(AI580-3896.67)*0.25,IF(AI580&lt;=50416.67,4572.67+(AI580-19896.67)*0.30,13728.67+(AI580-50416.67)*0.35))))))</f>
        <v/>
      </c>
      <c r="AK580" s="3" t="n"/>
      <c r="AL580" s="3" t="n"/>
      <c r="AM580" s="3" t="n"/>
      <c r="AN580" s="3" t="n"/>
      <c r="AO580" s="3" t="n"/>
      <c r="AP580" s="3">
        <f>SUM(AF580,AJ580,AK580,AL580,AM580,AN580,AO580,AG580,AH580)</f>
        <v/>
      </c>
      <c r="AQ580" s="3">
        <f>AE580-AP580</f>
        <v/>
      </c>
      <c r="AR580" s="3" t="n"/>
      <c r="AS580" s="3" t="n"/>
      <c r="AT580" s="3">
        <f>AR580-AS580</f>
        <v/>
      </c>
    </row>
    <row r="581">
      <c r="A581" s="2" t="n"/>
      <c r="B581" s="3" t="n"/>
      <c r="C581" s="4" t="n"/>
      <c r="D581" s="5" t="n"/>
      <c r="E581" s="3" t="n"/>
      <c r="F581" s="3">
        <f>IF(C581=0,0,IF(E581="",B581*D581/100,E581))</f>
        <v/>
      </c>
      <c r="G581" s="4" t="n"/>
      <c r="H581" s="5" t="n"/>
      <c r="I581" s="3" t="n"/>
      <c r="J581" s="3">
        <f>IF(G581=0,0,IF(I581="",B581*H581/100,I581))</f>
        <v/>
      </c>
      <c r="K581" s="4" t="n"/>
      <c r="L581" s="5" t="n"/>
      <c r="M581" s="3" t="n"/>
      <c r="N581" s="3">
        <f>IF(K581=0,0,IF(M581="",B581*L581/100,M581))</f>
        <v/>
      </c>
      <c r="O581" s="4" t="n"/>
      <c r="P581" s="5" t="n"/>
      <c r="Q581" s="3" t="n"/>
      <c r="R581" s="3">
        <f>IF(O581=0,0,IF(Q581="",B581*P581/100,Q581))</f>
        <v/>
      </c>
      <c r="S581" s="4" t="n"/>
      <c r="T581" s="5" t="n"/>
      <c r="U581" s="3" t="n"/>
      <c r="V581" s="3">
        <f>IF(S581=0,0,IF(U581="",B581*T581/100,U581))</f>
        <v/>
      </c>
      <c r="W581" s="4" t="n"/>
      <c r="X581" s="5" t="n"/>
      <c r="Y581" s="3" t="n"/>
      <c r="Z581" s="3">
        <f>IF(W581=0,0,IF(Y581="",B581*X581/100,Y581))</f>
        <v/>
      </c>
      <c r="AA581" s="3" t="n"/>
      <c r="AB581" s="3" t="n"/>
      <c r="AC581" s="3">
        <f>B581*0.035</f>
        <v/>
      </c>
      <c r="AD581" s="3">
        <f>B581*0.065</f>
        <v/>
      </c>
      <c r="AE581" s="3">
        <f>SUM(B581,F581,J581,N581,R581,V581,Z581,AA581,AB581,AC581,AD581)</f>
        <v/>
      </c>
      <c r="AF581" s="3">
        <f>B581*0.055</f>
        <v/>
      </c>
      <c r="AG581" s="3">
        <f>B581*0.035</f>
        <v/>
      </c>
      <c r="AH581" s="3">
        <f>B581*0.165</f>
        <v/>
      </c>
      <c r="AI581" s="3">
        <f>MAX(0,AE581-AF581-AH581)</f>
        <v/>
      </c>
      <c r="AJ581" s="3">
        <f>IF(AI581&lt;=490,0,IF(AI581&lt;=600,(AI581-490)*0.05,IF(AI581&lt;=730,5.5+(AI581-600)*0.10,IF(AI581&lt;=3896.67,18.5+(AI581-730)*0.175,IF(AI581&lt;=19896.67,572.67+(AI581-3896.67)*0.25,IF(AI581&lt;=50416.67,4572.67+(AI581-19896.67)*0.30,13728.67+(AI581-50416.67)*0.35))))))</f>
        <v/>
      </c>
      <c r="AK581" s="3" t="n"/>
      <c r="AL581" s="3" t="n"/>
      <c r="AM581" s="3" t="n"/>
      <c r="AN581" s="3" t="n"/>
      <c r="AO581" s="3" t="n"/>
      <c r="AP581" s="3">
        <f>SUM(AF581,AJ581,AK581,AL581,AM581,AN581,AO581,AG581,AH581)</f>
        <v/>
      </c>
      <c r="AQ581" s="3">
        <f>AE581-AP581</f>
        <v/>
      </c>
      <c r="AR581" s="3" t="n"/>
      <c r="AS581" s="3" t="n"/>
      <c r="AT581" s="3">
        <f>AR581-AS581</f>
        <v/>
      </c>
    </row>
    <row r="582">
      <c r="A582" s="2" t="n"/>
      <c r="B582" s="3" t="n"/>
      <c r="C582" s="4" t="n"/>
      <c r="D582" s="5" t="n"/>
      <c r="E582" s="3" t="n"/>
      <c r="F582" s="3">
        <f>IF(C582=0,0,IF(E582="",B582*D582/100,E582))</f>
        <v/>
      </c>
      <c r="G582" s="4" t="n"/>
      <c r="H582" s="5" t="n"/>
      <c r="I582" s="3" t="n"/>
      <c r="J582" s="3">
        <f>IF(G582=0,0,IF(I582="",B582*H582/100,I582))</f>
        <v/>
      </c>
      <c r="K582" s="4" t="n"/>
      <c r="L582" s="5" t="n"/>
      <c r="M582" s="3" t="n"/>
      <c r="N582" s="3">
        <f>IF(K582=0,0,IF(M582="",B582*L582/100,M582))</f>
        <v/>
      </c>
      <c r="O582" s="4" t="n"/>
      <c r="P582" s="5" t="n"/>
      <c r="Q582" s="3" t="n"/>
      <c r="R582" s="3">
        <f>IF(O582=0,0,IF(Q582="",B582*P582/100,Q582))</f>
        <v/>
      </c>
      <c r="S582" s="4" t="n"/>
      <c r="T582" s="5" t="n"/>
      <c r="U582" s="3" t="n"/>
      <c r="V582" s="3">
        <f>IF(S582=0,0,IF(U582="",B582*T582/100,U582))</f>
        <v/>
      </c>
      <c r="W582" s="4" t="n"/>
      <c r="X582" s="5" t="n"/>
      <c r="Y582" s="3" t="n"/>
      <c r="Z582" s="3">
        <f>IF(W582=0,0,IF(Y582="",B582*X582/100,Y582))</f>
        <v/>
      </c>
      <c r="AA582" s="3" t="n"/>
      <c r="AB582" s="3" t="n"/>
      <c r="AC582" s="3">
        <f>B582*0.035</f>
        <v/>
      </c>
      <c r="AD582" s="3">
        <f>B582*0.065</f>
        <v/>
      </c>
      <c r="AE582" s="3">
        <f>SUM(B582,F582,J582,N582,R582,V582,Z582,AA582,AB582,AC582,AD582)</f>
        <v/>
      </c>
      <c r="AF582" s="3">
        <f>B582*0.055</f>
        <v/>
      </c>
      <c r="AG582" s="3">
        <f>B582*0.035</f>
        <v/>
      </c>
      <c r="AH582" s="3">
        <f>B582*0.165</f>
        <v/>
      </c>
      <c r="AI582" s="3">
        <f>MAX(0,AE582-AF582-AH582)</f>
        <v/>
      </c>
      <c r="AJ582" s="3">
        <f>IF(AI582&lt;=490,0,IF(AI582&lt;=600,(AI582-490)*0.05,IF(AI582&lt;=730,5.5+(AI582-600)*0.10,IF(AI582&lt;=3896.67,18.5+(AI582-730)*0.175,IF(AI582&lt;=19896.67,572.67+(AI582-3896.67)*0.25,IF(AI582&lt;=50416.67,4572.67+(AI582-19896.67)*0.30,13728.67+(AI582-50416.67)*0.35))))))</f>
        <v/>
      </c>
      <c r="AK582" s="3" t="n"/>
      <c r="AL582" s="3" t="n"/>
      <c r="AM582" s="3" t="n"/>
      <c r="AN582" s="3" t="n"/>
      <c r="AO582" s="3" t="n"/>
      <c r="AP582" s="3">
        <f>SUM(AF582,AJ582,AK582,AL582,AM582,AN582,AO582,AG582,AH582)</f>
        <v/>
      </c>
      <c r="AQ582" s="3">
        <f>AE582-AP582</f>
        <v/>
      </c>
      <c r="AR582" s="3" t="n"/>
      <c r="AS582" s="3" t="n"/>
      <c r="AT582" s="3">
        <f>AR582-AS582</f>
        <v/>
      </c>
    </row>
    <row r="583">
      <c r="A583" s="2" t="n"/>
      <c r="B583" s="3" t="n"/>
      <c r="C583" s="4" t="n"/>
      <c r="D583" s="5" t="n"/>
      <c r="E583" s="3" t="n"/>
      <c r="F583" s="3">
        <f>IF(C583=0,0,IF(E583="",B583*D583/100,E583))</f>
        <v/>
      </c>
      <c r="G583" s="4" t="n"/>
      <c r="H583" s="5" t="n"/>
      <c r="I583" s="3" t="n"/>
      <c r="J583" s="3">
        <f>IF(G583=0,0,IF(I583="",B583*H583/100,I583))</f>
        <v/>
      </c>
      <c r="K583" s="4" t="n"/>
      <c r="L583" s="5" t="n"/>
      <c r="M583" s="3" t="n"/>
      <c r="N583" s="3">
        <f>IF(K583=0,0,IF(M583="",B583*L583/100,M583))</f>
        <v/>
      </c>
      <c r="O583" s="4" t="n"/>
      <c r="P583" s="5" t="n"/>
      <c r="Q583" s="3" t="n"/>
      <c r="R583" s="3">
        <f>IF(O583=0,0,IF(Q583="",B583*P583/100,Q583))</f>
        <v/>
      </c>
      <c r="S583" s="4" t="n"/>
      <c r="T583" s="5" t="n"/>
      <c r="U583" s="3" t="n"/>
      <c r="V583" s="3">
        <f>IF(S583=0,0,IF(U583="",B583*T583/100,U583))</f>
        <v/>
      </c>
      <c r="W583" s="4" t="n"/>
      <c r="X583" s="5" t="n"/>
      <c r="Y583" s="3" t="n"/>
      <c r="Z583" s="3">
        <f>IF(W583=0,0,IF(Y583="",B583*X583/100,Y583))</f>
        <v/>
      </c>
      <c r="AA583" s="3" t="n"/>
      <c r="AB583" s="3" t="n"/>
      <c r="AC583" s="3">
        <f>B583*0.035</f>
        <v/>
      </c>
      <c r="AD583" s="3">
        <f>B583*0.065</f>
        <v/>
      </c>
      <c r="AE583" s="3">
        <f>SUM(B583,F583,J583,N583,R583,V583,Z583,AA583,AB583,AC583,AD583)</f>
        <v/>
      </c>
      <c r="AF583" s="3">
        <f>B583*0.055</f>
        <v/>
      </c>
      <c r="AG583" s="3">
        <f>B583*0.035</f>
        <v/>
      </c>
      <c r="AH583" s="3">
        <f>B583*0.165</f>
        <v/>
      </c>
      <c r="AI583" s="3">
        <f>MAX(0,AE583-AF583-AH583)</f>
        <v/>
      </c>
      <c r="AJ583" s="3">
        <f>IF(AI583&lt;=490,0,IF(AI583&lt;=600,(AI583-490)*0.05,IF(AI583&lt;=730,5.5+(AI583-600)*0.10,IF(AI583&lt;=3896.67,18.5+(AI583-730)*0.175,IF(AI583&lt;=19896.67,572.67+(AI583-3896.67)*0.25,IF(AI583&lt;=50416.67,4572.67+(AI583-19896.67)*0.30,13728.67+(AI583-50416.67)*0.35))))))</f>
        <v/>
      </c>
      <c r="AK583" s="3" t="n"/>
      <c r="AL583" s="3" t="n"/>
      <c r="AM583" s="3" t="n"/>
      <c r="AN583" s="3" t="n"/>
      <c r="AO583" s="3" t="n"/>
      <c r="AP583" s="3">
        <f>SUM(AF583,AJ583,AK583,AL583,AM583,AN583,AO583,AG583,AH583)</f>
        <v/>
      </c>
      <c r="AQ583" s="3">
        <f>AE583-AP583</f>
        <v/>
      </c>
      <c r="AR583" s="3" t="n"/>
      <c r="AS583" s="3" t="n"/>
      <c r="AT583" s="3">
        <f>AR583-AS583</f>
        <v/>
      </c>
    </row>
    <row r="584">
      <c r="A584" s="2" t="n"/>
      <c r="B584" s="3" t="n"/>
      <c r="C584" s="4" t="n"/>
      <c r="D584" s="5" t="n"/>
      <c r="E584" s="3" t="n"/>
      <c r="F584" s="3">
        <f>IF(C584=0,0,IF(E584="",B584*D584/100,E584))</f>
        <v/>
      </c>
      <c r="G584" s="4" t="n"/>
      <c r="H584" s="5" t="n"/>
      <c r="I584" s="3" t="n"/>
      <c r="J584" s="3">
        <f>IF(G584=0,0,IF(I584="",B584*H584/100,I584))</f>
        <v/>
      </c>
      <c r="K584" s="4" t="n"/>
      <c r="L584" s="5" t="n"/>
      <c r="M584" s="3" t="n"/>
      <c r="N584" s="3">
        <f>IF(K584=0,0,IF(M584="",B584*L584/100,M584))</f>
        <v/>
      </c>
      <c r="O584" s="4" t="n"/>
      <c r="P584" s="5" t="n"/>
      <c r="Q584" s="3" t="n"/>
      <c r="R584" s="3">
        <f>IF(O584=0,0,IF(Q584="",B584*P584/100,Q584))</f>
        <v/>
      </c>
      <c r="S584" s="4" t="n"/>
      <c r="T584" s="5" t="n"/>
      <c r="U584" s="3" t="n"/>
      <c r="V584" s="3">
        <f>IF(S584=0,0,IF(U584="",B584*T584/100,U584))</f>
        <v/>
      </c>
      <c r="W584" s="4" t="n"/>
      <c r="X584" s="5" t="n"/>
      <c r="Y584" s="3" t="n"/>
      <c r="Z584" s="3">
        <f>IF(W584=0,0,IF(Y584="",B584*X584/100,Y584))</f>
        <v/>
      </c>
      <c r="AA584" s="3" t="n"/>
      <c r="AB584" s="3" t="n"/>
      <c r="AC584" s="3">
        <f>B584*0.035</f>
        <v/>
      </c>
      <c r="AD584" s="3">
        <f>B584*0.065</f>
        <v/>
      </c>
      <c r="AE584" s="3">
        <f>SUM(B584,F584,J584,N584,R584,V584,Z584,AA584,AB584,AC584,AD584)</f>
        <v/>
      </c>
      <c r="AF584" s="3">
        <f>B584*0.055</f>
        <v/>
      </c>
      <c r="AG584" s="3">
        <f>B584*0.035</f>
        <v/>
      </c>
      <c r="AH584" s="3">
        <f>B584*0.165</f>
        <v/>
      </c>
      <c r="AI584" s="3">
        <f>MAX(0,AE584-AF584-AH584)</f>
        <v/>
      </c>
      <c r="AJ584" s="3">
        <f>IF(AI584&lt;=490,0,IF(AI584&lt;=600,(AI584-490)*0.05,IF(AI584&lt;=730,5.5+(AI584-600)*0.10,IF(AI584&lt;=3896.67,18.5+(AI584-730)*0.175,IF(AI584&lt;=19896.67,572.67+(AI584-3896.67)*0.25,IF(AI584&lt;=50416.67,4572.67+(AI584-19896.67)*0.30,13728.67+(AI584-50416.67)*0.35))))))</f>
        <v/>
      </c>
      <c r="AK584" s="3" t="n"/>
      <c r="AL584" s="3" t="n"/>
      <c r="AM584" s="3" t="n"/>
      <c r="AN584" s="3" t="n"/>
      <c r="AO584" s="3" t="n"/>
      <c r="AP584" s="3">
        <f>SUM(AF584,AJ584,AK584,AL584,AM584,AN584,AO584,AG584,AH584)</f>
        <v/>
      </c>
      <c r="AQ584" s="3">
        <f>AE584-AP584</f>
        <v/>
      </c>
      <c r="AR584" s="3" t="n"/>
      <c r="AS584" s="3" t="n"/>
      <c r="AT584" s="3">
        <f>AR584-AS584</f>
        <v/>
      </c>
    </row>
    <row r="585">
      <c r="A585" s="2" t="n"/>
      <c r="B585" s="3" t="n"/>
      <c r="C585" s="4" t="n"/>
      <c r="D585" s="5" t="n"/>
      <c r="E585" s="3" t="n"/>
      <c r="F585" s="3">
        <f>IF(C585=0,0,IF(E585="",B585*D585/100,E585))</f>
        <v/>
      </c>
      <c r="G585" s="4" t="n"/>
      <c r="H585" s="5" t="n"/>
      <c r="I585" s="3" t="n"/>
      <c r="J585" s="3">
        <f>IF(G585=0,0,IF(I585="",B585*H585/100,I585))</f>
        <v/>
      </c>
      <c r="K585" s="4" t="n"/>
      <c r="L585" s="5" t="n"/>
      <c r="M585" s="3" t="n"/>
      <c r="N585" s="3">
        <f>IF(K585=0,0,IF(M585="",B585*L585/100,M585))</f>
        <v/>
      </c>
      <c r="O585" s="4" t="n"/>
      <c r="P585" s="5" t="n"/>
      <c r="Q585" s="3" t="n"/>
      <c r="R585" s="3">
        <f>IF(O585=0,0,IF(Q585="",B585*P585/100,Q585))</f>
        <v/>
      </c>
      <c r="S585" s="4" t="n"/>
      <c r="T585" s="5" t="n"/>
      <c r="U585" s="3" t="n"/>
      <c r="V585" s="3">
        <f>IF(S585=0,0,IF(U585="",B585*T585/100,U585))</f>
        <v/>
      </c>
      <c r="W585" s="4" t="n"/>
      <c r="X585" s="5" t="n"/>
      <c r="Y585" s="3" t="n"/>
      <c r="Z585" s="3">
        <f>IF(W585=0,0,IF(Y585="",B585*X585/100,Y585))</f>
        <v/>
      </c>
      <c r="AA585" s="3" t="n"/>
      <c r="AB585" s="3" t="n"/>
      <c r="AC585" s="3">
        <f>B585*0.035</f>
        <v/>
      </c>
      <c r="AD585" s="3">
        <f>B585*0.065</f>
        <v/>
      </c>
      <c r="AE585" s="3">
        <f>SUM(B585,F585,J585,N585,R585,V585,Z585,AA585,AB585,AC585,AD585)</f>
        <v/>
      </c>
      <c r="AF585" s="3">
        <f>B585*0.055</f>
        <v/>
      </c>
      <c r="AG585" s="3">
        <f>B585*0.035</f>
        <v/>
      </c>
      <c r="AH585" s="3">
        <f>B585*0.165</f>
        <v/>
      </c>
      <c r="AI585" s="3">
        <f>MAX(0,AE585-AF585-AH585)</f>
        <v/>
      </c>
      <c r="AJ585" s="3">
        <f>IF(AI585&lt;=490,0,IF(AI585&lt;=600,(AI585-490)*0.05,IF(AI585&lt;=730,5.5+(AI585-600)*0.10,IF(AI585&lt;=3896.67,18.5+(AI585-730)*0.175,IF(AI585&lt;=19896.67,572.67+(AI585-3896.67)*0.25,IF(AI585&lt;=50416.67,4572.67+(AI585-19896.67)*0.30,13728.67+(AI585-50416.67)*0.35))))))</f>
        <v/>
      </c>
      <c r="AK585" s="3" t="n"/>
      <c r="AL585" s="3" t="n"/>
      <c r="AM585" s="3" t="n"/>
      <c r="AN585" s="3" t="n"/>
      <c r="AO585" s="3" t="n"/>
      <c r="AP585" s="3">
        <f>SUM(AF585,AJ585,AK585,AL585,AM585,AN585,AO585,AG585,AH585)</f>
        <v/>
      </c>
      <c r="AQ585" s="3">
        <f>AE585-AP585</f>
        <v/>
      </c>
      <c r="AR585" s="3" t="n"/>
      <c r="AS585" s="3" t="n"/>
      <c r="AT585" s="3">
        <f>AR585-AS585</f>
        <v/>
      </c>
    </row>
    <row r="586">
      <c r="A586" s="2" t="n"/>
      <c r="B586" s="3" t="n"/>
      <c r="C586" s="4" t="n"/>
      <c r="D586" s="5" t="n"/>
      <c r="E586" s="3" t="n"/>
      <c r="F586" s="3">
        <f>IF(C586=0,0,IF(E586="",B586*D586/100,E586))</f>
        <v/>
      </c>
      <c r="G586" s="4" t="n"/>
      <c r="H586" s="5" t="n"/>
      <c r="I586" s="3" t="n"/>
      <c r="J586" s="3">
        <f>IF(G586=0,0,IF(I586="",B586*H586/100,I586))</f>
        <v/>
      </c>
      <c r="K586" s="4" t="n"/>
      <c r="L586" s="5" t="n"/>
      <c r="M586" s="3" t="n"/>
      <c r="N586" s="3">
        <f>IF(K586=0,0,IF(M586="",B586*L586/100,M586))</f>
        <v/>
      </c>
      <c r="O586" s="4" t="n"/>
      <c r="P586" s="5" t="n"/>
      <c r="Q586" s="3" t="n"/>
      <c r="R586" s="3">
        <f>IF(O586=0,0,IF(Q586="",B586*P586/100,Q586))</f>
        <v/>
      </c>
      <c r="S586" s="4" t="n"/>
      <c r="T586" s="5" t="n"/>
      <c r="U586" s="3" t="n"/>
      <c r="V586" s="3">
        <f>IF(S586=0,0,IF(U586="",B586*T586/100,U586))</f>
        <v/>
      </c>
      <c r="W586" s="4" t="n"/>
      <c r="X586" s="5" t="n"/>
      <c r="Y586" s="3" t="n"/>
      <c r="Z586" s="3">
        <f>IF(W586=0,0,IF(Y586="",B586*X586/100,Y586))</f>
        <v/>
      </c>
      <c r="AA586" s="3" t="n"/>
      <c r="AB586" s="3" t="n"/>
      <c r="AC586" s="3">
        <f>B586*0.035</f>
        <v/>
      </c>
      <c r="AD586" s="3">
        <f>B586*0.065</f>
        <v/>
      </c>
      <c r="AE586" s="3">
        <f>SUM(B586,F586,J586,N586,R586,V586,Z586,AA586,AB586,AC586,AD586)</f>
        <v/>
      </c>
      <c r="AF586" s="3">
        <f>B586*0.055</f>
        <v/>
      </c>
      <c r="AG586" s="3">
        <f>B586*0.035</f>
        <v/>
      </c>
      <c r="AH586" s="3">
        <f>B586*0.165</f>
        <v/>
      </c>
      <c r="AI586" s="3">
        <f>MAX(0,AE586-AF586-AH586)</f>
        <v/>
      </c>
      <c r="AJ586" s="3">
        <f>IF(AI586&lt;=490,0,IF(AI586&lt;=600,(AI586-490)*0.05,IF(AI586&lt;=730,5.5+(AI586-600)*0.10,IF(AI586&lt;=3896.67,18.5+(AI586-730)*0.175,IF(AI586&lt;=19896.67,572.67+(AI586-3896.67)*0.25,IF(AI586&lt;=50416.67,4572.67+(AI586-19896.67)*0.30,13728.67+(AI586-50416.67)*0.35))))))</f>
        <v/>
      </c>
      <c r="AK586" s="3" t="n"/>
      <c r="AL586" s="3" t="n"/>
      <c r="AM586" s="3" t="n"/>
      <c r="AN586" s="3" t="n"/>
      <c r="AO586" s="3" t="n"/>
      <c r="AP586" s="3">
        <f>SUM(AF586,AJ586,AK586,AL586,AM586,AN586,AO586,AG586,AH586)</f>
        <v/>
      </c>
      <c r="AQ586" s="3">
        <f>AE586-AP586</f>
        <v/>
      </c>
      <c r="AR586" s="3" t="n"/>
      <c r="AS586" s="3" t="n"/>
      <c r="AT586" s="3">
        <f>AR586-AS586</f>
        <v/>
      </c>
    </row>
    <row r="587">
      <c r="A587" s="2" t="n"/>
      <c r="B587" s="3" t="n"/>
      <c r="C587" s="4" t="n"/>
      <c r="D587" s="5" t="n"/>
      <c r="E587" s="3" t="n"/>
      <c r="F587" s="3">
        <f>IF(C587=0,0,IF(E587="",B587*D587/100,E587))</f>
        <v/>
      </c>
      <c r="G587" s="4" t="n"/>
      <c r="H587" s="5" t="n"/>
      <c r="I587" s="3" t="n"/>
      <c r="J587" s="3">
        <f>IF(G587=0,0,IF(I587="",B587*H587/100,I587))</f>
        <v/>
      </c>
      <c r="K587" s="4" t="n"/>
      <c r="L587" s="5" t="n"/>
      <c r="M587" s="3" t="n"/>
      <c r="N587" s="3">
        <f>IF(K587=0,0,IF(M587="",B587*L587/100,M587))</f>
        <v/>
      </c>
      <c r="O587" s="4" t="n"/>
      <c r="P587" s="5" t="n"/>
      <c r="Q587" s="3" t="n"/>
      <c r="R587" s="3">
        <f>IF(O587=0,0,IF(Q587="",B587*P587/100,Q587))</f>
        <v/>
      </c>
      <c r="S587" s="4" t="n"/>
      <c r="T587" s="5" t="n"/>
      <c r="U587" s="3" t="n"/>
      <c r="V587" s="3">
        <f>IF(S587=0,0,IF(U587="",B587*T587/100,U587))</f>
        <v/>
      </c>
      <c r="W587" s="4" t="n"/>
      <c r="X587" s="5" t="n"/>
      <c r="Y587" s="3" t="n"/>
      <c r="Z587" s="3">
        <f>IF(W587=0,0,IF(Y587="",B587*X587/100,Y587))</f>
        <v/>
      </c>
      <c r="AA587" s="3" t="n"/>
      <c r="AB587" s="3" t="n"/>
      <c r="AC587" s="3">
        <f>B587*0.035</f>
        <v/>
      </c>
      <c r="AD587" s="3">
        <f>B587*0.065</f>
        <v/>
      </c>
      <c r="AE587" s="3">
        <f>SUM(B587,F587,J587,N587,R587,V587,Z587,AA587,AB587,AC587,AD587)</f>
        <v/>
      </c>
      <c r="AF587" s="3">
        <f>B587*0.055</f>
        <v/>
      </c>
      <c r="AG587" s="3">
        <f>B587*0.035</f>
        <v/>
      </c>
      <c r="AH587" s="3">
        <f>B587*0.165</f>
        <v/>
      </c>
      <c r="AI587" s="3">
        <f>MAX(0,AE587-AF587-AH587)</f>
        <v/>
      </c>
      <c r="AJ587" s="3">
        <f>IF(AI587&lt;=490,0,IF(AI587&lt;=600,(AI587-490)*0.05,IF(AI587&lt;=730,5.5+(AI587-600)*0.10,IF(AI587&lt;=3896.67,18.5+(AI587-730)*0.175,IF(AI587&lt;=19896.67,572.67+(AI587-3896.67)*0.25,IF(AI587&lt;=50416.67,4572.67+(AI587-19896.67)*0.30,13728.67+(AI587-50416.67)*0.35))))))</f>
        <v/>
      </c>
      <c r="AK587" s="3" t="n"/>
      <c r="AL587" s="3" t="n"/>
      <c r="AM587" s="3" t="n"/>
      <c r="AN587" s="3" t="n"/>
      <c r="AO587" s="3" t="n"/>
      <c r="AP587" s="3">
        <f>SUM(AF587,AJ587,AK587,AL587,AM587,AN587,AO587,AG587,AH587)</f>
        <v/>
      </c>
      <c r="AQ587" s="3">
        <f>AE587-AP587</f>
        <v/>
      </c>
      <c r="AR587" s="3" t="n"/>
      <c r="AS587" s="3" t="n"/>
      <c r="AT587" s="3">
        <f>AR587-AS587</f>
        <v/>
      </c>
    </row>
    <row r="588">
      <c r="A588" s="2" t="n"/>
      <c r="B588" s="3" t="n"/>
      <c r="C588" s="4" t="n"/>
      <c r="D588" s="5" t="n"/>
      <c r="E588" s="3" t="n"/>
      <c r="F588" s="3">
        <f>IF(C588=0,0,IF(E588="",B588*D588/100,E588))</f>
        <v/>
      </c>
      <c r="G588" s="4" t="n"/>
      <c r="H588" s="5" t="n"/>
      <c r="I588" s="3" t="n"/>
      <c r="J588" s="3">
        <f>IF(G588=0,0,IF(I588="",B588*H588/100,I588))</f>
        <v/>
      </c>
      <c r="K588" s="4" t="n"/>
      <c r="L588" s="5" t="n"/>
      <c r="M588" s="3" t="n"/>
      <c r="N588" s="3">
        <f>IF(K588=0,0,IF(M588="",B588*L588/100,M588))</f>
        <v/>
      </c>
      <c r="O588" s="4" t="n"/>
      <c r="P588" s="5" t="n"/>
      <c r="Q588" s="3" t="n"/>
      <c r="R588" s="3">
        <f>IF(O588=0,0,IF(Q588="",B588*P588/100,Q588))</f>
        <v/>
      </c>
      <c r="S588" s="4" t="n"/>
      <c r="T588" s="5" t="n"/>
      <c r="U588" s="3" t="n"/>
      <c r="V588" s="3">
        <f>IF(S588=0,0,IF(U588="",B588*T588/100,U588))</f>
        <v/>
      </c>
      <c r="W588" s="4" t="n"/>
      <c r="X588" s="5" t="n"/>
      <c r="Y588" s="3" t="n"/>
      <c r="Z588" s="3">
        <f>IF(W588=0,0,IF(Y588="",B588*X588/100,Y588))</f>
        <v/>
      </c>
      <c r="AA588" s="3" t="n"/>
      <c r="AB588" s="3" t="n"/>
      <c r="AC588" s="3">
        <f>B588*0.035</f>
        <v/>
      </c>
      <c r="AD588" s="3">
        <f>B588*0.065</f>
        <v/>
      </c>
      <c r="AE588" s="3">
        <f>SUM(B588,F588,J588,N588,R588,V588,Z588,AA588,AB588,AC588,AD588)</f>
        <v/>
      </c>
      <c r="AF588" s="3">
        <f>B588*0.055</f>
        <v/>
      </c>
      <c r="AG588" s="3">
        <f>B588*0.035</f>
        <v/>
      </c>
      <c r="AH588" s="3">
        <f>B588*0.165</f>
        <v/>
      </c>
      <c r="AI588" s="3">
        <f>MAX(0,AE588-AF588-AH588)</f>
        <v/>
      </c>
      <c r="AJ588" s="3">
        <f>IF(AI588&lt;=490,0,IF(AI588&lt;=600,(AI588-490)*0.05,IF(AI588&lt;=730,5.5+(AI588-600)*0.10,IF(AI588&lt;=3896.67,18.5+(AI588-730)*0.175,IF(AI588&lt;=19896.67,572.67+(AI588-3896.67)*0.25,IF(AI588&lt;=50416.67,4572.67+(AI588-19896.67)*0.30,13728.67+(AI588-50416.67)*0.35))))))</f>
        <v/>
      </c>
      <c r="AK588" s="3" t="n"/>
      <c r="AL588" s="3" t="n"/>
      <c r="AM588" s="3" t="n"/>
      <c r="AN588" s="3" t="n"/>
      <c r="AO588" s="3" t="n"/>
      <c r="AP588" s="3">
        <f>SUM(AF588,AJ588,AK588,AL588,AM588,AN588,AO588,AG588,AH588)</f>
        <v/>
      </c>
      <c r="AQ588" s="3">
        <f>AE588-AP588</f>
        <v/>
      </c>
      <c r="AR588" s="3" t="n"/>
      <c r="AS588" s="3" t="n"/>
      <c r="AT588" s="3">
        <f>AR588-AS588</f>
        <v/>
      </c>
    </row>
    <row r="589">
      <c r="A589" s="2" t="n"/>
      <c r="B589" s="3" t="n"/>
      <c r="C589" s="4" t="n"/>
      <c r="D589" s="5" t="n"/>
      <c r="E589" s="3" t="n"/>
      <c r="F589" s="3">
        <f>IF(C589=0,0,IF(E589="",B589*D589/100,E589))</f>
        <v/>
      </c>
      <c r="G589" s="4" t="n"/>
      <c r="H589" s="5" t="n"/>
      <c r="I589" s="3" t="n"/>
      <c r="J589" s="3">
        <f>IF(G589=0,0,IF(I589="",B589*H589/100,I589))</f>
        <v/>
      </c>
      <c r="K589" s="4" t="n"/>
      <c r="L589" s="5" t="n"/>
      <c r="M589" s="3" t="n"/>
      <c r="N589" s="3">
        <f>IF(K589=0,0,IF(M589="",B589*L589/100,M589))</f>
        <v/>
      </c>
      <c r="O589" s="4" t="n"/>
      <c r="P589" s="5" t="n"/>
      <c r="Q589" s="3" t="n"/>
      <c r="R589" s="3">
        <f>IF(O589=0,0,IF(Q589="",B589*P589/100,Q589))</f>
        <v/>
      </c>
      <c r="S589" s="4" t="n"/>
      <c r="T589" s="5" t="n"/>
      <c r="U589" s="3" t="n"/>
      <c r="V589" s="3">
        <f>IF(S589=0,0,IF(U589="",B589*T589/100,U589))</f>
        <v/>
      </c>
      <c r="W589" s="4" t="n"/>
      <c r="X589" s="5" t="n"/>
      <c r="Y589" s="3" t="n"/>
      <c r="Z589" s="3">
        <f>IF(W589=0,0,IF(Y589="",B589*X589/100,Y589))</f>
        <v/>
      </c>
      <c r="AA589" s="3" t="n"/>
      <c r="AB589" s="3" t="n"/>
      <c r="AC589" s="3">
        <f>B589*0.035</f>
        <v/>
      </c>
      <c r="AD589" s="3">
        <f>B589*0.065</f>
        <v/>
      </c>
      <c r="AE589" s="3">
        <f>SUM(B589,F589,J589,N589,R589,V589,Z589,AA589,AB589,AC589,AD589)</f>
        <v/>
      </c>
      <c r="AF589" s="3">
        <f>B589*0.055</f>
        <v/>
      </c>
      <c r="AG589" s="3">
        <f>B589*0.035</f>
        <v/>
      </c>
      <c r="AH589" s="3">
        <f>B589*0.165</f>
        <v/>
      </c>
      <c r="AI589" s="3">
        <f>MAX(0,AE589-AF589-AH589)</f>
        <v/>
      </c>
      <c r="AJ589" s="3">
        <f>IF(AI589&lt;=490,0,IF(AI589&lt;=600,(AI589-490)*0.05,IF(AI589&lt;=730,5.5+(AI589-600)*0.10,IF(AI589&lt;=3896.67,18.5+(AI589-730)*0.175,IF(AI589&lt;=19896.67,572.67+(AI589-3896.67)*0.25,IF(AI589&lt;=50416.67,4572.67+(AI589-19896.67)*0.30,13728.67+(AI589-50416.67)*0.35))))))</f>
        <v/>
      </c>
      <c r="AK589" s="3" t="n"/>
      <c r="AL589" s="3" t="n"/>
      <c r="AM589" s="3" t="n"/>
      <c r="AN589" s="3" t="n"/>
      <c r="AO589" s="3" t="n"/>
      <c r="AP589" s="3">
        <f>SUM(AF589,AJ589,AK589,AL589,AM589,AN589,AO589,AG589,AH589)</f>
        <v/>
      </c>
      <c r="AQ589" s="3">
        <f>AE589-AP589</f>
        <v/>
      </c>
      <c r="AR589" s="3" t="n"/>
      <c r="AS589" s="3" t="n"/>
      <c r="AT589" s="3">
        <f>AR589-AS589</f>
        <v/>
      </c>
    </row>
    <row r="590">
      <c r="A590" s="2" t="n"/>
      <c r="B590" s="3" t="n"/>
      <c r="C590" s="4" t="n"/>
      <c r="D590" s="5" t="n"/>
      <c r="E590" s="3" t="n"/>
      <c r="F590" s="3">
        <f>IF(C590=0,0,IF(E590="",B590*D590/100,E590))</f>
        <v/>
      </c>
      <c r="G590" s="4" t="n"/>
      <c r="H590" s="5" t="n"/>
      <c r="I590" s="3" t="n"/>
      <c r="J590" s="3">
        <f>IF(G590=0,0,IF(I590="",B590*H590/100,I590))</f>
        <v/>
      </c>
      <c r="K590" s="4" t="n"/>
      <c r="L590" s="5" t="n"/>
      <c r="M590" s="3" t="n"/>
      <c r="N590" s="3">
        <f>IF(K590=0,0,IF(M590="",B590*L590/100,M590))</f>
        <v/>
      </c>
      <c r="O590" s="4" t="n"/>
      <c r="P590" s="5" t="n"/>
      <c r="Q590" s="3" t="n"/>
      <c r="R590" s="3">
        <f>IF(O590=0,0,IF(Q590="",B590*P590/100,Q590))</f>
        <v/>
      </c>
      <c r="S590" s="4" t="n"/>
      <c r="T590" s="5" t="n"/>
      <c r="U590" s="3" t="n"/>
      <c r="V590" s="3">
        <f>IF(S590=0,0,IF(U590="",B590*T590/100,U590))</f>
        <v/>
      </c>
      <c r="W590" s="4" t="n"/>
      <c r="X590" s="5" t="n"/>
      <c r="Y590" s="3" t="n"/>
      <c r="Z590" s="3">
        <f>IF(W590=0,0,IF(Y590="",B590*X590/100,Y590))</f>
        <v/>
      </c>
      <c r="AA590" s="3" t="n"/>
      <c r="AB590" s="3" t="n"/>
      <c r="AC590" s="3">
        <f>B590*0.035</f>
        <v/>
      </c>
      <c r="AD590" s="3">
        <f>B590*0.065</f>
        <v/>
      </c>
      <c r="AE590" s="3">
        <f>SUM(B590,F590,J590,N590,R590,V590,Z590,AA590,AB590,AC590,AD590)</f>
        <v/>
      </c>
      <c r="AF590" s="3">
        <f>B590*0.055</f>
        <v/>
      </c>
      <c r="AG590" s="3">
        <f>B590*0.035</f>
        <v/>
      </c>
      <c r="AH590" s="3">
        <f>B590*0.165</f>
        <v/>
      </c>
      <c r="AI590" s="3">
        <f>MAX(0,AE590-AF590-AH590)</f>
        <v/>
      </c>
      <c r="AJ590" s="3">
        <f>IF(AI590&lt;=490,0,IF(AI590&lt;=600,(AI590-490)*0.05,IF(AI590&lt;=730,5.5+(AI590-600)*0.10,IF(AI590&lt;=3896.67,18.5+(AI590-730)*0.175,IF(AI590&lt;=19896.67,572.67+(AI590-3896.67)*0.25,IF(AI590&lt;=50416.67,4572.67+(AI590-19896.67)*0.30,13728.67+(AI590-50416.67)*0.35))))))</f>
        <v/>
      </c>
      <c r="AK590" s="3" t="n"/>
      <c r="AL590" s="3" t="n"/>
      <c r="AM590" s="3" t="n"/>
      <c r="AN590" s="3" t="n"/>
      <c r="AO590" s="3" t="n"/>
      <c r="AP590" s="3">
        <f>SUM(AF590,AJ590,AK590,AL590,AM590,AN590,AO590,AG590,AH590)</f>
        <v/>
      </c>
      <c r="AQ590" s="3">
        <f>AE590-AP590</f>
        <v/>
      </c>
      <c r="AR590" s="3" t="n"/>
      <c r="AS590" s="3" t="n"/>
      <c r="AT590" s="3">
        <f>AR590-AS590</f>
        <v/>
      </c>
    </row>
    <row r="591">
      <c r="A591" s="2" t="n"/>
      <c r="B591" s="3" t="n"/>
      <c r="C591" s="4" t="n"/>
      <c r="D591" s="5" t="n"/>
      <c r="E591" s="3" t="n"/>
      <c r="F591" s="3">
        <f>IF(C591=0,0,IF(E591="",B591*D591/100,E591))</f>
        <v/>
      </c>
      <c r="G591" s="4" t="n"/>
      <c r="H591" s="5" t="n"/>
      <c r="I591" s="3" t="n"/>
      <c r="J591" s="3">
        <f>IF(G591=0,0,IF(I591="",B591*H591/100,I591))</f>
        <v/>
      </c>
      <c r="K591" s="4" t="n"/>
      <c r="L591" s="5" t="n"/>
      <c r="M591" s="3" t="n"/>
      <c r="N591" s="3">
        <f>IF(K591=0,0,IF(M591="",B591*L591/100,M591))</f>
        <v/>
      </c>
      <c r="O591" s="4" t="n"/>
      <c r="P591" s="5" t="n"/>
      <c r="Q591" s="3" t="n"/>
      <c r="R591" s="3">
        <f>IF(O591=0,0,IF(Q591="",B591*P591/100,Q591))</f>
        <v/>
      </c>
      <c r="S591" s="4" t="n"/>
      <c r="T591" s="5" t="n"/>
      <c r="U591" s="3" t="n"/>
      <c r="V591" s="3">
        <f>IF(S591=0,0,IF(U591="",B591*T591/100,U591))</f>
        <v/>
      </c>
      <c r="W591" s="4" t="n"/>
      <c r="X591" s="5" t="n"/>
      <c r="Y591" s="3" t="n"/>
      <c r="Z591" s="3">
        <f>IF(W591=0,0,IF(Y591="",B591*X591/100,Y591))</f>
        <v/>
      </c>
      <c r="AA591" s="3" t="n"/>
      <c r="AB591" s="3" t="n"/>
      <c r="AC591" s="3">
        <f>B591*0.035</f>
        <v/>
      </c>
      <c r="AD591" s="3">
        <f>B591*0.065</f>
        <v/>
      </c>
      <c r="AE591" s="3">
        <f>SUM(B591,F591,J591,N591,R591,V591,Z591,AA591,AB591,AC591,AD591)</f>
        <v/>
      </c>
      <c r="AF591" s="3">
        <f>B591*0.055</f>
        <v/>
      </c>
      <c r="AG591" s="3">
        <f>B591*0.035</f>
        <v/>
      </c>
      <c r="AH591" s="3">
        <f>B591*0.165</f>
        <v/>
      </c>
      <c r="AI591" s="3">
        <f>MAX(0,AE591-AF591-AH591)</f>
        <v/>
      </c>
      <c r="AJ591" s="3">
        <f>IF(AI591&lt;=490,0,IF(AI591&lt;=600,(AI591-490)*0.05,IF(AI591&lt;=730,5.5+(AI591-600)*0.10,IF(AI591&lt;=3896.67,18.5+(AI591-730)*0.175,IF(AI591&lt;=19896.67,572.67+(AI591-3896.67)*0.25,IF(AI591&lt;=50416.67,4572.67+(AI591-19896.67)*0.30,13728.67+(AI591-50416.67)*0.35))))))</f>
        <v/>
      </c>
      <c r="AK591" s="3" t="n"/>
      <c r="AL591" s="3" t="n"/>
      <c r="AM591" s="3" t="n"/>
      <c r="AN591" s="3" t="n"/>
      <c r="AO591" s="3" t="n"/>
      <c r="AP591" s="3">
        <f>SUM(AF591,AJ591,AK591,AL591,AM591,AN591,AO591,AG591,AH591)</f>
        <v/>
      </c>
      <c r="AQ591" s="3">
        <f>AE591-AP591</f>
        <v/>
      </c>
      <c r="AR591" s="3" t="n"/>
      <c r="AS591" s="3" t="n"/>
      <c r="AT591" s="3">
        <f>AR591-AS591</f>
        <v/>
      </c>
    </row>
    <row r="592">
      <c r="A592" s="2" t="n"/>
      <c r="B592" s="3" t="n"/>
      <c r="C592" s="4" t="n"/>
      <c r="D592" s="5" t="n"/>
      <c r="E592" s="3" t="n"/>
      <c r="F592" s="3">
        <f>IF(C592=0,0,IF(E592="",B592*D592/100,E592))</f>
        <v/>
      </c>
      <c r="G592" s="4" t="n"/>
      <c r="H592" s="5" t="n"/>
      <c r="I592" s="3" t="n"/>
      <c r="J592" s="3">
        <f>IF(G592=0,0,IF(I592="",B592*H592/100,I592))</f>
        <v/>
      </c>
      <c r="K592" s="4" t="n"/>
      <c r="L592" s="5" t="n"/>
      <c r="M592" s="3" t="n"/>
      <c r="N592" s="3">
        <f>IF(K592=0,0,IF(M592="",B592*L592/100,M592))</f>
        <v/>
      </c>
      <c r="O592" s="4" t="n"/>
      <c r="P592" s="5" t="n"/>
      <c r="Q592" s="3" t="n"/>
      <c r="R592" s="3">
        <f>IF(O592=0,0,IF(Q592="",B592*P592/100,Q592))</f>
        <v/>
      </c>
      <c r="S592" s="4" t="n"/>
      <c r="T592" s="5" t="n"/>
      <c r="U592" s="3" t="n"/>
      <c r="V592" s="3">
        <f>IF(S592=0,0,IF(U592="",B592*T592/100,U592))</f>
        <v/>
      </c>
      <c r="W592" s="4" t="n"/>
      <c r="X592" s="5" t="n"/>
      <c r="Y592" s="3" t="n"/>
      <c r="Z592" s="3">
        <f>IF(W592=0,0,IF(Y592="",B592*X592/100,Y592))</f>
        <v/>
      </c>
      <c r="AA592" s="3" t="n"/>
      <c r="AB592" s="3" t="n"/>
      <c r="AC592" s="3">
        <f>B592*0.035</f>
        <v/>
      </c>
      <c r="AD592" s="3">
        <f>B592*0.065</f>
        <v/>
      </c>
      <c r="AE592" s="3">
        <f>SUM(B592,F592,J592,N592,R592,V592,Z592,AA592,AB592,AC592,AD592)</f>
        <v/>
      </c>
      <c r="AF592" s="3">
        <f>B592*0.055</f>
        <v/>
      </c>
      <c r="AG592" s="3">
        <f>B592*0.035</f>
        <v/>
      </c>
      <c r="AH592" s="3">
        <f>B592*0.165</f>
        <v/>
      </c>
      <c r="AI592" s="3">
        <f>MAX(0,AE592-AF592-AH592)</f>
        <v/>
      </c>
      <c r="AJ592" s="3">
        <f>IF(AI592&lt;=490,0,IF(AI592&lt;=600,(AI592-490)*0.05,IF(AI592&lt;=730,5.5+(AI592-600)*0.10,IF(AI592&lt;=3896.67,18.5+(AI592-730)*0.175,IF(AI592&lt;=19896.67,572.67+(AI592-3896.67)*0.25,IF(AI592&lt;=50416.67,4572.67+(AI592-19896.67)*0.30,13728.67+(AI592-50416.67)*0.35))))))</f>
        <v/>
      </c>
      <c r="AK592" s="3" t="n"/>
      <c r="AL592" s="3" t="n"/>
      <c r="AM592" s="3" t="n"/>
      <c r="AN592" s="3" t="n"/>
      <c r="AO592" s="3" t="n"/>
      <c r="AP592" s="3">
        <f>SUM(AF592,AJ592,AK592,AL592,AM592,AN592,AO592,AG592,AH592)</f>
        <v/>
      </c>
      <c r="AQ592" s="3">
        <f>AE592-AP592</f>
        <v/>
      </c>
      <c r="AR592" s="3" t="n"/>
      <c r="AS592" s="3" t="n"/>
      <c r="AT592" s="3">
        <f>AR592-AS592</f>
        <v/>
      </c>
    </row>
    <row r="593">
      <c r="A593" s="2" t="n"/>
      <c r="B593" s="3" t="n"/>
      <c r="C593" s="4" t="n"/>
      <c r="D593" s="5" t="n"/>
      <c r="E593" s="3" t="n"/>
      <c r="F593" s="3">
        <f>IF(C593=0,0,IF(E593="",B593*D593/100,E593))</f>
        <v/>
      </c>
      <c r="G593" s="4" t="n"/>
      <c r="H593" s="5" t="n"/>
      <c r="I593" s="3" t="n"/>
      <c r="J593" s="3">
        <f>IF(G593=0,0,IF(I593="",B593*H593/100,I593))</f>
        <v/>
      </c>
      <c r="K593" s="4" t="n"/>
      <c r="L593" s="5" t="n"/>
      <c r="M593" s="3" t="n"/>
      <c r="N593" s="3">
        <f>IF(K593=0,0,IF(M593="",B593*L593/100,M593))</f>
        <v/>
      </c>
      <c r="O593" s="4" t="n"/>
      <c r="P593" s="5" t="n"/>
      <c r="Q593" s="3" t="n"/>
      <c r="R593" s="3">
        <f>IF(O593=0,0,IF(Q593="",B593*P593/100,Q593))</f>
        <v/>
      </c>
      <c r="S593" s="4" t="n"/>
      <c r="T593" s="5" t="n"/>
      <c r="U593" s="3" t="n"/>
      <c r="V593" s="3">
        <f>IF(S593=0,0,IF(U593="",B593*T593/100,U593))</f>
        <v/>
      </c>
      <c r="W593" s="4" t="n"/>
      <c r="X593" s="5" t="n"/>
      <c r="Y593" s="3" t="n"/>
      <c r="Z593" s="3">
        <f>IF(W593=0,0,IF(Y593="",B593*X593/100,Y593))</f>
        <v/>
      </c>
      <c r="AA593" s="3" t="n"/>
      <c r="AB593" s="3" t="n"/>
      <c r="AC593" s="3">
        <f>B593*0.035</f>
        <v/>
      </c>
      <c r="AD593" s="3">
        <f>B593*0.065</f>
        <v/>
      </c>
      <c r="AE593" s="3">
        <f>SUM(B593,F593,J593,N593,R593,V593,Z593,AA593,AB593,AC593,AD593)</f>
        <v/>
      </c>
      <c r="AF593" s="3">
        <f>B593*0.055</f>
        <v/>
      </c>
      <c r="AG593" s="3">
        <f>B593*0.035</f>
        <v/>
      </c>
      <c r="AH593" s="3">
        <f>B593*0.165</f>
        <v/>
      </c>
      <c r="AI593" s="3">
        <f>MAX(0,AE593-AF593-AH593)</f>
        <v/>
      </c>
      <c r="AJ593" s="3">
        <f>IF(AI593&lt;=490,0,IF(AI593&lt;=600,(AI593-490)*0.05,IF(AI593&lt;=730,5.5+(AI593-600)*0.10,IF(AI593&lt;=3896.67,18.5+(AI593-730)*0.175,IF(AI593&lt;=19896.67,572.67+(AI593-3896.67)*0.25,IF(AI593&lt;=50416.67,4572.67+(AI593-19896.67)*0.30,13728.67+(AI593-50416.67)*0.35))))))</f>
        <v/>
      </c>
      <c r="AK593" s="3" t="n"/>
      <c r="AL593" s="3" t="n"/>
      <c r="AM593" s="3" t="n"/>
      <c r="AN593" s="3" t="n"/>
      <c r="AO593" s="3" t="n"/>
      <c r="AP593" s="3">
        <f>SUM(AF593,AJ593,AK593,AL593,AM593,AN593,AO593,AG593,AH593)</f>
        <v/>
      </c>
      <c r="AQ593" s="3">
        <f>AE593-AP593</f>
        <v/>
      </c>
      <c r="AR593" s="3" t="n"/>
      <c r="AS593" s="3" t="n"/>
      <c r="AT593" s="3">
        <f>AR593-AS593</f>
        <v/>
      </c>
    </row>
    <row r="594">
      <c r="A594" s="2" t="n"/>
      <c r="B594" s="3" t="n"/>
      <c r="C594" s="4" t="n"/>
      <c r="D594" s="5" t="n"/>
      <c r="E594" s="3" t="n"/>
      <c r="F594" s="3">
        <f>IF(C594=0,0,IF(E594="",B594*D594/100,E594))</f>
        <v/>
      </c>
      <c r="G594" s="4" t="n"/>
      <c r="H594" s="5" t="n"/>
      <c r="I594" s="3" t="n"/>
      <c r="J594" s="3">
        <f>IF(G594=0,0,IF(I594="",B594*H594/100,I594))</f>
        <v/>
      </c>
      <c r="K594" s="4" t="n"/>
      <c r="L594" s="5" t="n"/>
      <c r="M594" s="3" t="n"/>
      <c r="N594" s="3">
        <f>IF(K594=0,0,IF(M594="",B594*L594/100,M594))</f>
        <v/>
      </c>
      <c r="O594" s="4" t="n"/>
      <c r="P594" s="5" t="n"/>
      <c r="Q594" s="3" t="n"/>
      <c r="R594" s="3">
        <f>IF(O594=0,0,IF(Q594="",B594*P594/100,Q594))</f>
        <v/>
      </c>
      <c r="S594" s="4" t="n"/>
      <c r="T594" s="5" t="n"/>
      <c r="U594" s="3" t="n"/>
      <c r="V594" s="3">
        <f>IF(S594=0,0,IF(U594="",B594*T594/100,U594))</f>
        <v/>
      </c>
      <c r="W594" s="4" t="n"/>
      <c r="X594" s="5" t="n"/>
      <c r="Y594" s="3" t="n"/>
      <c r="Z594" s="3">
        <f>IF(W594=0,0,IF(Y594="",B594*X594/100,Y594))</f>
        <v/>
      </c>
      <c r="AA594" s="3" t="n"/>
      <c r="AB594" s="3" t="n"/>
      <c r="AC594" s="3">
        <f>B594*0.035</f>
        <v/>
      </c>
      <c r="AD594" s="3">
        <f>B594*0.065</f>
        <v/>
      </c>
      <c r="AE594" s="3">
        <f>SUM(B594,F594,J594,N594,R594,V594,Z594,AA594,AB594,AC594,AD594)</f>
        <v/>
      </c>
      <c r="AF594" s="3">
        <f>B594*0.055</f>
        <v/>
      </c>
      <c r="AG594" s="3">
        <f>B594*0.035</f>
        <v/>
      </c>
      <c r="AH594" s="3">
        <f>B594*0.165</f>
        <v/>
      </c>
      <c r="AI594" s="3">
        <f>MAX(0,AE594-AF594-AH594)</f>
        <v/>
      </c>
      <c r="AJ594" s="3">
        <f>IF(AI594&lt;=490,0,IF(AI594&lt;=600,(AI594-490)*0.05,IF(AI594&lt;=730,5.5+(AI594-600)*0.10,IF(AI594&lt;=3896.67,18.5+(AI594-730)*0.175,IF(AI594&lt;=19896.67,572.67+(AI594-3896.67)*0.25,IF(AI594&lt;=50416.67,4572.67+(AI594-19896.67)*0.30,13728.67+(AI594-50416.67)*0.35))))))</f>
        <v/>
      </c>
      <c r="AK594" s="3" t="n"/>
      <c r="AL594" s="3" t="n"/>
      <c r="AM594" s="3" t="n"/>
      <c r="AN594" s="3" t="n"/>
      <c r="AO594" s="3" t="n"/>
      <c r="AP594" s="3">
        <f>SUM(AF594,AJ594,AK594,AL594,AM594,AN594,AO594,AG594,AH594)</f>
        <v/>
      </c>
      <c r="AQ594" s="3">
        <f>AE594-AP594</f>
        <v/>
      </c>
      <c r="AR594" s="3" t="n"/>
      <c r="AS594" s="3" t="n"/>
      <c r="AT594" s="3">
        <f>AR594-AS594</f>
        <v/>
      </c>
    </row>
    <row r="595">
      <c r="A595" s="2" t="n"/>
      <c r="B595" s="3" t="n"/>
      <c r="C595" s="4" t="n"/>
      <c r="D595" s="5" t="n"/>
      <c r="E595" s="3" t="n"/>
      <c r="F595" s="3">
        <f>IF(C595=0,0,IF(E595="",B595*D595/100,E595))</f>
        <v/>
      </c>
      <c r="G595" s="4" t="n"/>
      <c r="H595" s="5" t="n"/>
      <c r="I595" s="3" t="n"/>
      <c r="J595" s="3">
        <f>IF(G595=0,0,IF(I595="",B595*H595/100,I595))</f>
        <v/>
      </c>
      <c r="K595" s="4" t="n"/>
      <c r="L595" s="5" t="n"/>
      <c r="M595" s="3" t="n"/>
      <c r="N595" s="3">
        <f>IF(K595=0,0,IF(M595="",B595*L595/100,M595))</f>
        <v/>
      </c>
      <c r="O595" s="4" t="n"/>
      <c r="P595" s="5" t="n"/>
      <c r="Q595" s="3" t="n"/>
      <c r="R595" s="3">
        <f>IF(O595=0,0,IF(Q595="",B595*P595/100,Q595))</f>
        <v/>
      </c>
      <c r="S595" s="4" t="n"/>
      <c r="T595" s="5" t="n"/>
      <c r="U595" s="3" t="n"/>
      <c r="V595" s="3">
        <f>IF(S595=0,0,IF(U595="",B595*T595/100,U595))</f>
        <v/>
      </c>
      <c r="W595" s="4" t="n"/>
      <c r="X595" s="5" t="n"/>
      <c r="Y595" s="3" t="n"/>
      <c r="Z595" s="3">
        <f>IF(W595=0,0,IF(Y595="",B595*X595/100,Y595))</f>
        <v/>
      </c>
      <c r="AA595" s="3" t="n"/>
      <c r="AB595" s="3" t="n"/>
      <c r="AC595" s="3">
        <f>B595*0.035</f>
        <v/>
      </c>
      <c r="AD595" s="3">
        <f>B595*0.065</f>
        <v/>
      </c>
      <c r="AE595" s="3">
        <f>SUM(B595,F595,J595,N595,R595,V595,Z595,AA595,AB595,AC595,AD595)</f>
        <v/>
      </c>
      <c r="AF595" s="3">
        <f>B595*0.055</f>
        <v/>
      </c>
      <c r="AG595" s="3">
        <f>B595*0.035</f>
        <v/>
      </c>
      <c r="AH595" s="3">
        <f>B595*0.165</f>
        <v/>
      </c>
      <c r="AI595" s="3">
        <f>MAX(0,AE595-AF595-AH595)</f>
        <v/>
      </c>
      <c r="AJ595" s="3">
        <f>IF(AI595&lt;=490,0,IF(AI595&lt;=600,(AI595-490)*0.05,IF(AI595&lt;=730,5.5+(AI595-600)*0.10,IF(AI595&lt;=3896.67,18.5+(AI595-730)*0.175,IF(AI595&lt;=19896.67,572.67+(AI595-3896.67)*0.25,IF(AI595&lt;=50416.67,4572.67+(AI595-19896.67)*0.30,13728.67+(AI595-50416.67)*0.35))))))</f>
        <v/>
      </c>
      <c r="AK595" s="3" t="n"/>
      <c r="AL595" s="3" t="n"/>
      <c r="AM595" s="3" t="n"/>
      <c r="AN595" s="3" t="n"/>
      <c r="AO595" s="3" t="n"/>
      <c r="AP595" s="3">
        <f>SUM(AF595,AJ595,AK595,AL595,AM595,AN595,AO595,AG595,AH595)</f>
        <v/>
      </c>
      <c r="AQ595" s="3">
        <f>AE595-AP595</f>
        <v/>
      </c>
      <c r="AR595" s="3" t="n"/>
      <c r="AS595" s="3" t="n"/>
      <c r="AT595" s="3">
        <f>AR595-AS595</f>
        <v/>
      </c>
    </row>
    <row r="596">
      <c r="A596" s="2" t="n"/>
      <c r="B596" s="3" t="n"/>
      <c r="C596" s="4" t="n"/>
      <c r="D596" s="5" t="n"/>
      <c r="E596" s="3" t="n"/>
      <c r="F596" s="3">
        <f>IF(C596=0,0,IF(E596="",B596*D596/100,E596))</f>
        <v/>
      </c>
      <c r="G596" s="4" t="n"/>
      <c r="H596" s="5" t="n"/>
      <c r="I596" s="3" t="n"/>
      <c r="J596" s="3">
        <f>IF(G596=0,0,IF(I596="",B596*H596/100,I596))</f>
        <v/>
      </c>
      <c r="K596" s="4" t="n"/>
      <c r="L596" s="5" t="n"/>
      <c r="M596" s="3" t="n"/>
      <c r="N596" s="3">
        <f>IF(K596=0,0,IF(M596="",B596*L596/100,M596))</f>
        <v/>
      </c>
      <c r="O596" s="4" t="n"/>
      <c r="P596" s="5" t="n"/>
      <c r="Q596" s="3" t="n"/>
      <c r="R596" s="3">
        <f>IF(O596=0,0,IF(Q596="",B596*P596/100,Q596))</f>
        <v/>
      </c>
      <c r="S596" s="4" t="n"/>
      <c r="T596" s="5" t="n"/>
      <c r="U596" s="3" t="n"/>
      <c r="V596" s="3">
        <f>IF(S596=0,0,IF(U596="",B596*T596/100,U596))</f>
        <v/>
      </c>
      <c r="W596" s="4" t="n"/>
      <c r="X596" s="5" t="n"/>
      <c r="Y596" s="3" t="n"/>
      <c r="Z596" s="3">
        <f>IF(W596=0,0,IF(Y596="",B596*X596/100,Y596))</f>
        <v/>
      </c>
      <c r="AA596" s="3" t="n"/>
      <c r="AB596" s="3" t="n"/>
      <c r="AC596" s="3">
        <f>B596*0.035</f>
        <v/>
      </c>
      <c r="AD596" s="3">
        <f>B596*0.065</f>
        <v/>
      </c>
      <c r="AE596" s="3">
        <f>SUM(B596,F596,J596,N596,R596,V596,Z596,AA596,AB596,AC596,AD596)</f>
        <v/>
      </c>
      <c r="AF596" s="3">
        <f>B596*0.055</f>
        <v/>
      </c>
      <c r="AG596" s="3">
        <f>B596*0.035</f>
        <v/>
      </c>
      <c r="AH596" s="3">
        <f>B596*0.165</f>
        <v/>
      </c>
      <c r="AI596" s="3">
        <f>MAX(0,AE596-AF596-AH596)</f>
        <v/>
      </c>
      <c r="AJ596" s="3">
        <f>IF(AI596&lt;=490,0,IF(AI596&lt;=600,(AI596-490)*0.05,IF(AI596&lt;=730,5.5+(AI596-600)*0.10,IF(AI596&lt;=3896.67,18.5+(AI596-730)*0.175,IF(AI596&lt;=19896.67,572.67+(AI596-3896.67)*0.25,IF(AI596&lt;=50416.67,4572.67+(AI596-19896.67)*0.30,13728.67+(AI596-50416.67)*0.35))))))</f>
        <v/>
      </c>
      <c r="AK596" s="3" t="n"/>
      <c r="AL596" s="3" t="n"/>
      <c r="AM596" s="3" t="n"/>
      <c r="AN596" s="3" t="n"/>
      <c r="AO596" s="3" t="n"/>
      <c r="AP596" s="3">
        <f>SUM(AF596,AJ596,AK596,AL596,AM596,AN596,AO596,AG596,AH596)</f>
        <v/>
      </c>
      <c r="AQ596" s="3">
        <f>AE596-AP596</f>
        <v/>
      </c>
      <c r="AR596" s="3" t="n"/>
      <c r="AS596" s="3" t="n"/>
      <c r="AT596" s="3">
        <f>AR596-AS596</f>
        <v/>
      </c>
    </row>
    <row r="597">
      <c r="A597" s="2" t="n"/>
      <c r="B597" s="3" t="n"/>
      <c r="C597" s="4" t="n"/>
      <c r="D597" s="5" t="n"/>
      <c r="E597" s="3" t="n"/>
      <c r="F597" s="3">
        <f>IF(C597=0,0,IF(E597="",B597*D597/100,E597))</f>
        <v/>
      </c>
      <c r="G597" s="4" t="n"/>
      <c r="H597" s="5" t="n"/>
      <c r="I597" s="3" t="n"/>
      <c r="J597" s="3">
        <f>IF(G597=0,0,IF(I597="",B597*H597/100,I597))</f>
        <v/>
      </c>
      <c r="K597" s="4" t="n"/>
      <c r="L597" s="5" t="n"/>
      <c r="M597" s="3" t="n"/>
      <c r="N597" s="3">
        <f>IF(K597=0,0,IF(M597="",B597*L597/100,M597))</f>
        <v/>
      </c>
      <c r="O597" s="4" t="n"/>
      <c r="P597" s="5" t="n"/>
      <c r="Q597" s="3" t="n"/>
      <c r="R597" s="3">
        <f>IF(O597=0,0,IF(Q597="",B597*P597/100,Q597))</f>
        <v/>
      </c>
      <c r="S597" s="4" t="n"/>
      <c r="T597" s="5" t="n"/>
      <c r="U597" s="3" t="n"/>
      <c r="V597" s="3">
        <f>IF(S597=0,0,IF(U597="",B597*T597/100,U597))</f>
        <v/>
      </c>
      <c r="W597" s="4" t="n"/>
      <c r="X597" s="5" t="n"/>
      <c r="Y597" s="3" t="n"/>
      <c r="Z597" s="3">
        <f>IF(W597=0,0,IF(Y597="",B597*X597/100,Y597))</f>
        <v/>
      </c>
      <c r="AA597" s="3" t="n"/>
      <c r="AB597" s="3" t="n"/>
      <c r="AC597" s="3">
        <f>B597*0.035</f>
        <v/>
      </c>
      <c r="AD597" s="3">
        <f>B597*0.065</f>
        <v/>
      </c>
      <c r="AE597" s="3">
        <f>SUM(B597,F597,J597,N597,R597,V597,Z597,AA597,AB597,AC597,AD597)</f>
        <v/>
      </c>
      <c r="AF597" s="3">
        <f>B597*0.055</f>
        <v/>
      </c>
      <c r="AG597" s="3">
        <f>B597*0.035</f>
        <v/>
      </c>
      <c r="AH597" s="3">
        <f>B597*0.165</f>
        <v/>
      </c>
      <c r="AI597" s="3">
        <f>MAX(0,AE597-AF597-AH597)</f>
        <v/>
      </c>
      <c r="AJ597" s="3">
        <f>IF(AI597&lt;=490,0,IF(AI597&lt;=600,(AI597-490)*0.05,IF(AI597&lt;=730,5.5+(AI597-600)*0.10,IF(AI597&lt;=3896.67,18.5+(AI597-730)*0.175,IF(AI597&lt;=19896.67,572.67+(AI597-3896.67)*0.25,IF(AI597&lt;=50416.67,4572.67+(AI597-19896.67)*0.30,13728.67+(AI597-50416.67)*0.35))))))</f>
        <v/>
      </c>
      <c r="AK597" s="3" t="n"/>
      <c r="AL597" s="3" t="n"/>
      <c r="AM597" s="3" t="n"/>
      <c r="AN597" s="3" t="n"/>
      <c r="AO597" s="3" t="n"/>
      <c r="AP597" s="3">
        <f>SUM(AF597,AJ597,AK597,AL597,AM597,AN597,AO597,AG597,AH597)</f>
        <v/>
      </c>
      <c r="AQ597" s="3">
        <f>AE597-AP597</f>
        <v/>
      </c>
      <c r="AR597" s="3" t="n"/>
      <c r="AS597" s="3" t="n"/>
      <c r="AT597" s="3">
        <f>AR597-AS597</f>
        <v/>
      </c>
    </row>
    <row r="598">
      <c r="A598" s="2" t="n"/>
      <c r="B598" s="3" t="n"/>
      <c r="C598" s="4" t="n"/>
      <c r="D598" s="5" t="n"/>
      <c r="E598" s="3" t="n"/>
      <c r="F598" s="3">
        <f>IF(C598=0,0,IF(E598="",B598*D598/100,E598))</f>
        <v/>
      </c>
      <c r="G598" s="4" t="n"/>
      <c r="H598" s="5" t="n"/>
      <c r="I598" s="3" t="n"/>
      <c r="J598" s="3">
        <f>IF(G598=0,0,IF(I598="",B598*H598/100,I598))</f>
        <v/>
      </c>
      <c r="K598" s="4" t="n"/>
      <c r="L598" s="5" t="n"/>
      <c r="M598" s="3" t="n"/>
      <c r="N598" s="3">
        <f>IF(K598=0,0,IF(M598="",B598*L598/100,M598))</f>
        <v/>
      </c>
      <c r="O598" s="4" t="n"/>
      <c r="P598" s="5" t="n"/>
      <c r="Q598" s="3" t="n"/>
      <c r="R598" s="3">
        <f>IF(O598=0,0,IF(Q598="",B598*P598/100,Q598))</f>
        <v/>
      </c>
      <c r="S598" s="4" t="n"/>
      <c r="T598" s="5" t="n"/>
      <c r="U598" s="3" t="n"/>
      <c r="V598" s="3">
        <f>IF(S598=0,0,IF(U598="",B598*T598/100,U598))</f>
        <v/>
      </c>
      <c r="W598" s="4" t="n"/>
      <c r="X598" s="5" t="n"/>
      <c r="Y598" s="3" t="n"/>
      <c r="Z598" s="3">
        <f>IF(W598=0,0,IF(Y598="",B598*X598/100,Y598))</f>
        <v/>
      </c>
      <c r="AA598" s="3" t="n"/>
      <c r="AB598" s="3" t="n"/>
      <c r="AC598" s="3">
        <f>B598*0.035</f>
        <v/>
      </c>
      <c r="AD598" s="3">
        <f>B598*0.065</f>
        <v/>
      </c>
      <c r="AE598" s="3">
        <f>SUM(B598,F598,J598,N598,R598,V598,Z598,AA598,AB598,AC598,AD598)</f>
        <v/>
      </c>
      <c r="AF598" s="3">
        <f>B598*0.055</f>
        <v/>
      </c>
      <c r="AG598" s="3">
        <f>B598*0.035</f>
        <v/>
      </c>
      <c r="AH598" s="3">
        <f>B598*0.165</f>
        <v/>
      </c>
      <c r="AI598" s="3">
        <f>MAX(0,AE598-AF598-AH598)</f>
        <v/>
      </c>
      <c r="AJ598" s="3">
        <f>IF(AI598&lt;=490,0,IF(AI598&lt;=600,(AI598-490)*0.05,IF(AI598&lt;=730,5.5+(AI598-600)*0.10,IF(AI598&lt;=3896.67,18.5+(AI598-730)*0.175,IF(AI598&lt;=19896.67,572.67+(AI598-3896.67)*0.25,IF(AI598&lt;=50416.67,4572.67+(AI598-19896.67)*0.30,13728.67+(AI598-50416.67)*0.35))))))</f>
        <v/>
      </c>
      <c r="AK598" s="3" t="n"/>
      <c r="AL598" s="3" t="n"/>
      <c r="AM598" s="3" t="n"/>
      <c r="AN598" s="3" t="n"/>
      <c r="AO598" s="3" t="n"/>
      <c r="AP598" s="3">
        <f>SUM(AF598,AJ598,AK598,AL598,AM598,AN598,AO598,AG598,AH598)</f>
        <v/>
      </c>
      <c r="AQ598" s="3">
        <f>AE598-AP598</f>
        <v/>
      </c>
      <c r="AR598" s="3" t="n"/>
      <c r="AS598" s="3" t="n"/>
      <c r="AT598" s="3">
        <f>AR598-AS598</f>
        <v/>
      </c>
    </row>
    <row r="599">
      <c r="A599" s="2" t="n"/>
      <c r="B599" s="3" t="n"/>
      <c r="C599" s="4" t="n"/>
      <c r="D599" s="5" t="n"/>
      <c r="E599" s="3" t="n"/>
      <c r="F599" s="3">
        <f>IF(C599=0,0,IF(E599="",B599*D599/100,E599))</f>
        <v/>
      </c>
      <c r="G599" s="4" t="n"/>
      <c r="H599" s="5" t="n"/>
      <c r="I599" s="3" t="n"/>
      <c r="J599" s="3">
        <f>IF(G599=0,0,IF(I599="",B599*H599/100,I599))</f>
        <v/>
      </c>
      <c r="K599" s="4" t="n"/>
      <c r="L599" s="5" t="n"/>
      <c r="M599" s="3" t="n"/>
      <c r="N599" s="3">
        <f>IF(K599=0,0,IF(M599="",B599*L599/100,M599))</f>
        <v/>
      </c>
      <c r="O599" s="4" t="n"/>
      <c r="P599" s="5" t="n"/>
      <c r="Q599" s="3" t="n"/>
      <c r="R599" s="3">
        <f>IF(O599=0,0,IF(Q599="",B599*P599/100,Q599))</f>
        <v/>
      </c>
      <c r="S599" s="4" t="n"/>
      <c r="T599" s="5" t="n"/>
      <c r="U599" s="3" t="n"/>
      <c r="V599" s="3">
        <f>IF(S599=0,0,IF(U599="",B599*T599/100,U599))</f>
        <v/>
      </c>
      <c r="W599" s="4" t="n"/>
      <c r="X599" s="5" t="n"/>
      <c r="Y599" s="3" t="n"/>
      <c r="Z599" s="3">
        <f>IF(W599=0,0,IF(Y599="",B599*X599/100,Y599))</f>
        <v/>
      </c>
      <c r="AA599" s="3" t="n"/>
      <c r="AB599" s="3" t="n"/>
      <c r="AC599" s="3">
        <f>B599*0.035</f>
        <v/>
      </c>
      <c r="AD599" s="3">
        <f>B599*0.065</f>
        <v/>
      </c>
      <c r="AE599" s="3">
        <f>SUM(B599,F599,J599,N599,R599,V599,Z599,AA599,AB599,AC599,AD599)</f>
        <v/>
      </c>
      <c r="AF599" s="3">
        <f>B599*0.055</f>
        <v/>
      </c>
      <c r="AG599" s="3">
        <f>B599*0.035</f>
        <v/>
      </c>
      <c r="AH599" s="3">
        <f>B599*0.165</f>
        <v/>
      </c>
      <c r="AI599" s="3">
        <f>MAX(0,AE599-AF599-AH599)</f>
        <v/>
      </c>
      <c r="AJ599" s="3">
        <f>IF(AI599&lt;=490,0,IF(AI599&lt;=600,(AI599-490)*0.05,IF(AI599&lt;=730,5.5+(AI599-600)*0.10,IF(AI599&lt;=3896.67,18.5+(AI599-730)*0.175,IF(AI599&lt;=19896.67,572.67+(AI599-3896.67)*0.25,IF(AI599&lt;=50416.67,4572.67+(AI599-19896.67)*0.30,13728.67+(AI599-50416.67)*0.35))))))</f>
        <v/>
      </c>
      <c r="AK599" s="3" t="n"/>
      <c r="AL599" s="3" t="n"/>
      <c r="AM599" s="3" t="n"/>
      <c r="AN599" s="3" t="n"/>
      <c r="AO599" s="3" t="n"/>
      <c r="AP599" s="3">
        <f>SUM(AF599,AJ599,AK599,AL599,AM599,AN599,AO599,AG599,AH599)</f>
        <v/>
      </c>
      <c r="AQ599" s="3">
        <f>AE599-AP599</f>
        <v/>
      </c>
      <c r="AR599" s="3" t="n"/>
      <c r="AS599" s="3" t="n"/>
      <c r="AT599" s="3">
        <f>AR599-AS599</f>
        <v/>
      </c>
    </row>
    <row r="600">
      <c r="A600" s="2" t="n"/>
      <c r="B600" s="3" t="n"/>
      <c r="C600" s="4" t="n"/>
      <c r="D600" s="5" t="n"/>
      <c r="E600" s="3" t="n"/>
      <c r="F600" s="3">
        <f>IF(C600=0,0,IF(E600="",B600*D600/100,E600))</f>
        <v/>
      </c>
      <c r="G600" s="4" t="n"/>
      <c r="H600" s="5" t="n"/>
      <c r="I600" s="3" t="n"/>
      <c r="J600" s="3">
        <f>IF(G600=0,0,IF(I600="",B600*H600/100,I600))</f>
        <v/>
      </c>
      <c r="K600" s="4" t="n"/>
      <c r="L600" s="5" t="n"/>
      <c r="M600" s="3" t="n"/>
      <c r="N600" s="3">
        <f>IF(K600=0,0,IF(M600="",B600*L600/100,M600))</f>
        <v/>
      </c>
      <c r="O600" s="4" t="n"/>
      <c r="P600" s="5" t="n"/>
      <c r="Q600" s="3" t="n"/>
      <c r="R600" s="3">
        <f>IF(O600=0,0,IF(Q600="",B600*P600/100,Q600))</f>
        <v/>
      </c>
      <c r="S600" s="4" t="n"/>
      <c r="T600" s="5" t="n"/>
      <c r="U600" s="3" t="n"/>
      <c r="V600" s="3">
        <f>IF(S600=0,0,IF(U600="",B600*T600/100,U600))</f>
        <v/>
      </c>
      <c r="W600" s="4" t="n"/>
      <c r="X600" s="5" t="n"/>
      <c r="Y600" s="3" t="n"/>
      <c r="Z600" s="3">
        <f>IF(W600=0,0,IF(Y600="",B600*X600/100,Y600))</f>
        <v/>
      </c>
      <c r="AA600" s="3" t="n"/>
      <c r="AB600" s="3" t="n"/>
      <c r="AC600" s="3">
        <f>B600*0.035</f>
        <v/>
      </c>
      <c r="AD600" s="3">
        <f>B600*0.065</f>
        <v/>
      </c>
      <c r="AE600" s="3">
        <f>SUM(B600,F600,J600,N600,R600,V600,Z600,AA600,AB600,AC600,AD600)</f>
        <v/>
      </c>
      <c r="AF600" s="3">
        <f>B600*0.055</f>
        <v/>
      </c>
      <c r="AG600" s="3">
        <f>B600*0.035</f>
        <v/>
      </c>
      <c r="AH600" s="3">
        <f>B600*0.165</f>
        <v/>
      </c>
      <c r="AI600" s="3">
        <f>MAX(0,AE600-AF600-AH600)</f>
        <v/>
      </c>
      <c r="AJ600" s="3">
        <f>IF(AI600&lt;=490,0,IF(AI600&lt;=600,(AI600-490)*0.05,IF(AI600&lt;=730,5.5+(AI600-600)*0.10,IF(AI600&lt;=3896.67,18.5+(AI600-730)*0.175,IF(AI600&lt;=19896.67,572.67+(AI600-3896.67)*0.25,IF(AI600&lt;=50416.67,4572.67+(AI600-19896.67)*0.30,13728.67+(AI600-50416.67)*0.35))))))</f>
        <v/>
      </c>
      <c r="AK600" s="3" t="n"/>
      <c r="AL600" s="3" t="n"/>
      <c r="AM600" s="3" t="n"/>
      <c r="AN600" s="3" t="n"/>
      <c r="AO600" s="3" t="n"/>
      <c r="AP600" s="3">
        <f>SUM(AF600,AJ600,AK600,AL600,AM600,AN600,AO600,AG600,AH600)</f>
        <v/>
      </c>
      <c r="AQ600" s="3">
        <f>AE600-AP600</f>
        <v/>
      </c>
      <c r="AR600" s="3" t="n"/>
      <c r="AS600" s="3" t="n"/>
      <c r="AT600" s="3">
        <f>AR600-AS600</f>
        <v/>
      </c>
    </row>
    <row r="601">
      <c r="A601" s="2" t="n"/>
      <c r="B601" s="3" t="n"/>
      <c r="C601" s="4" t="n"/>
      <c r="D601" s="5" t="n"/>
      <c r="E601" s="3" t="n"/>
      <c r="F601" s="3">
        <f>IF(C601=0,0,IF(E601="",B601*D601/100,E601))</f>
        <v/>
      </c>
      <c r="G601" s="4" t="n"/>
      <c r="H601" s="5" t="n"/>
      <c r="I601" s="3" t="n"/>
      <c r="J601" s="3">
        <f>IF(G601=0,0,IF(I601="",B601*H601/100,I601))</f>
        <v/>
      </c>
      <c r="K601" s="4" t="n"/>
      <c r="L601" s="5" t="n"/>
      <c r="M601" s="3" t="n"/>
      <c r="N601" s="3">
        <f>IF(K601=0,0,IF(M601="",B601*L601/100,M601))</f>
        <v/>
      </c>
      <c r="O601" s="4" t="n"/>
      <c r="P601" s="5" t="n"/>
      <c r="Q601" s="3" t="n"/>
      <c r="R601" s="3">
        <f>IF(O601=0,0,IF(Q601="",B601*P601/100,Q601))</f>
        <v/>
      </c>
      <c r="S601" s="4" t="n"/>
      <c r="T601" s="5" t="n"/>
      <c r="U601" s="3" t="n"/>
      <c r="V601" s="3">
        <f>IF(S601=0,0,IF(U601="",B601*T601/100,U601))</f>
        <v/>
      </c>
      <c r="W601" s="4" t="n"/>
      <c r="X601" s="5" t="n"/>
      <c r="Y601" s="3" t="n"/>
      <c r="Z601" s="3">
        <f>IF(W601=0,0,IF(Y601="",B601*X601/100,Y601))</f>
        <v/>
      </c>
      <c r="AA601" s="3" t="n"/>
      <c r="AB601" s="3" t="n"/>
      <c r="AC601" s="3">
        <f>B601*0.035</f>
        <v/>
      </c>
      <c r="AD601" s="3">
        <f>B601*0.065</f>
        <v/>
      </c>
      <c r="AE601" s="3">
        <f>SUM(B601,F601,J601,N601,R601,V601,Z601,AA601,AB601,AC601,AD601)</f>
        <v/>
      </c>
      <c r="AF601" s="3">
        <f>B601*0.055</f>
        <v/>
      </c>
      <c r="AG601" s="3">
        <f>B601*0.035</f>
        <v/>
      </c>
      <c r="AH601" s="3">
        <f>B601*0.165</f>
        <v/>
      </c>
      <c r="AI601" s="3">
        <f>MAX(0,AE601-AF601-AH601)</f>
        <v/>
      </c>
      <c r="AJ601" s="3">
        <f>IF(AI601&lt;=490,0,IF(AI601&lt;=600,(AI601-490)*0.05,IF(AI601&lt;=730,5.5+(AI601-600)*0.10,IF(AI601&lt;=3896.67,18.5+(AI601-730)*0.175,IF(AI601&lt;=19896.67,572.67+(AI601-3896.67)*0.25,IF(AI601&lt;=50416.67,4572.67+(AI601-19896.67)*0.30,13728.67+(AI601-50416.67)*0.35))))))</f>
        <v/>
      </c>
      <c r="AK601" s="3" t="n"/>
      <c r="AL601" s="3" t="n"/>
      <c r="AM601" s="3" t="n"/>
      <c r="AN601" s="3" t="n"/>
      <c r="AO601" s="3" t="n"/>
      <c r="AP601" s="3">
        <f>SUM(AF601,AJ601,AK601,AL601,AM601,AN601,AO601,AG601,AH601)</f>
        <v/>
      </c>
      <c r="AQ601" s="3">
        <f>AE601-AP601</f>
        <v/>
      </c>
      <c r="AR601" s="3" t="n"/>
      <c r="AS601" s="3" t="n"/>
      <c r="AT601" s="3">
        <f>AR601-AS601</f>
        <v/>
      </c>
    </row>
    <row r="603">
      <c r="A603" s="6" t="inlineStr">
        <is>
          <t>TOTALS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8">
        <f>SUM(AE2:AE601)</f>
        <v/>
      </c>
      <c r="AF603" s="8">
        <f>SUM(AF2:AF601)</f>
        <v/>
      </c>
      <c r="AG603" s="7" t="n"/>
      <c r="AH603" s="7" t="n"/>
      <c r="AI603" s="8">
        <f>SUM(AI2:AI601)</f>
        <v/>
      </c>
      <c r="AJ603" s="8">
        <f>SUM(AJ2:AJ601)</f>
        <v/>
      </c>
      <c r="AK603" s="7" t="n"/>
      <c r="AL603" s="7" t="n"/>
      <c r="AM603" s="7" t="n"/>
      <c r="AN603" s="7" t="n"/>
      <c r="AO603" s="7" t="n"/>
      <c r="AP603" s="8">
        <f>SUM(AP2:AP601)</f>
        <v/>
      </c>
      <c r="AQ603" s="8">
        <f>SUM(AQ2:AQ601)</f>
        <v/>
      </c>
      <c r="AR603" s="8">
        <f>SUM(AR2:AR601)</f>
        <v/>
      </c>
      <c r="AS603" s="8">
        <f>SUM(AS2:AS601)</f>
        <v/>
      </c>
      <c r="AT603" s="8">
        <f>SUM(AT2:AT601)</f>
        <v/>
      </c>
    </row>
    <row r="605">
      <c r="A605" s="9" t="inlineStr">
        <is>
          <t>NOTES: Use 1 to include an allowance, 0 to exclude. Leave override blank to use rate-based auto calculation.</t>
        </is>
      </c>
    </row>
  </sheetData>
  <autoFilter ref="A1:AT601"/>
  <mergeCells count="1">
    <mergeCell ref="A605:J605"/>
  </mergeCells>
  <dataValidations count="1">
    <dataValidation sqref="C2:C601 G2:G601 K2:K601 O2:O601 S2:S601 W2:W601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24" customWidth="1" min="4" max="4"/>
    <col width="20" customWidth="1" min="5" max="5"/>
  </cols>
  <sheetData>
    <row r="1">
      <c r="A1" s="1" t="inlineStr">
        <is>
          <t>BAND</t>
        </is>
      </c>
      <c r="B1" s="1" t="inlineStr">
        <is>
          <t>CHARGEABLE INCOME RANGE (GHS)</t>
        </is>
      </c>
      <c r="C1" s="1" t="inlineStr">
        <is>
          <t>RATE</t>
        </is>
      </c>
      <c r="D1" s="1" t="inlineStr">
        <is>
          <t>BAND TAX AT FULL RANGE</t>
        </is>
      </c>
      <c r="E1" s="1" t="inlineStr">
        <is>
          <t>CUMULATIVE TAX</t>
        </is>
      </c>
    </row>
    <row r="2">
      <c r="A2" s="2" t="inlineStr">
        <is>
          <t>1</t>
        </is>
      </c>
      <c r="B2" s="2" t="inlineStr">
        <is>
          <t>0.00 - 490.00</t>
        </is>
      </c>
      <c r="C2" s="2" t="inlineStr">
        <is>
          <t>0%</t>
        </is>
      </c>
      <c r="D2" s="10" t="n">
        <v>0</v>
      </c>
      <c r="E2" s="10" t="n">
        <v>0</v>
      </c>
    </row>
    <row r="3">
      <c r="A3" s="2" t="inlineStr">
        <is>
          <t>2</t>
        </is>
      </c>
      <c r="B3" s="2" t="inlineStr">
        <is>
          <t>490.01 - 600.00</t>
        </is>
      </c>
      <c r="C3" s="2" t="inlineStr">
        <is>
          <t>5%</t>
        </is>
      </c>
      <c r="D3" s="10" t="n">
        <v>5.5</v>
      </c>
      <c r="E3" s="10" t="n">
        <v>5.5</v>
      </c>
    </row>
    <row r="4">
      <c r="A4" s="2" t="inlineStr">
        <is>
          <t>3</t>
        </is>
      </c>
      <c r="B4" s="2" t="inlineStr">
        <is>
          <t>600.01 - 730.00</t>
        </is>
      </c>
      <c r="C4" s="2" t="inlineStr">
        <is>
          <t>10%</t>
        </is>
      </c>
      <c r="D4" s="10" t="n">
        <v>13</v>
      </c>
      <c r="E4" s="10" t="n">
        <v>18.5</v>
      </c>
    </row>
    <row r="5">
      <c r="A5" s="2" t="inlineStr">
        <is>
          <t>4</t>
        </is>
      </c>
      <c r="B5" s="2" t="inlineStr">
        <is>
          <t>730.01 - 3,896.67</t>
        </is>
      </c>
      <c r="C5" s="2" t="inlineStr">
        <is>
          <t>17.5%</t>
        </is>
      </c>
      <c r="D5" s="10" t="n">
        <v>554.17</v>
      </c>
      <c r="E5" s="10" t="n">
        <v>572.67</v>
      </c>
    </row>
    <row r="6">
      <c r="A6" s="2" t="inlineStr">
        <is>
          <t>5</t>
        </is>
      </c>
      <c r="B6" s="2" t="inlineStr">
        <is>
          <t>3,896.68 - 19,896.67</t>
        </is>
      </c>
      <c r="C6" s="2" t="inlineStr">
        <is>
          <t>25%</t>
        </is>
      </c>
      <c r="D6" s="10" t="n">
        <v>4000</v>
      </c>
      <c r="E6" s="10" t="n">
        <v>4572.67</v>
      </c>
    </row>
    <row r="7">
      <c r="A7" s="2" t="inlineStr">
        <is>
          <t>6</t>
        </is>
      </c>
      <c r="B7" s="2" t="inlineStr">
        <is>
          <t>19,896.68 - 50,416.67</t>
        </is>
      </c>
      <c r="C7" s="2" t="inlineStr">
        <is>
          <t>30%</t>
        </is>
      </c>
      <c r="D7" s="10" t="n">
        <v>9156</v>
      </c>
      <c r="E7" s="10" t="n">
        <v>13728.67</v>
      </c>
    </row>
    <row r="8">
      <c r="A8" s="2" t="inlineStr">
        <is>
          <t>7</t>
        </is>
      </c>
      <c r="B8" s="2" t="inlineStr">
        <is>
          <t>50,416.68 and above</t>
        </is>
      </c>
      <c r="C8" s="2" t="inlineStr">
        <is>
          <t>35%</t>
        </is>
      </c>
      <c r="D8" s="2" t="n"/>
      <c r="E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GB CALCULATOR EXCEL TEMPLATE</t>
        </is>
      </c>
    </row>
    <row r="3">
      <c r="A3" t="inlineStr">
        <is>
          <t>1) Enter employee data in GB_CALCULATOR row by row (rows 2 to 601).</t>
        </is>
      </c>
    </row>
    <row r="4">
      <c r="A4" t="inlineStr">
        <is>
          <t>2) Use include columns as 1 (on) or 0 (off).</t>
        </is>
      </c>
    </row>
    <row r="5">
      <c r="A5" t="inlineStr">
        <is>
          <t>3) Leave override fields blank to use rate-based auto amounts.</t>
        </is>
      </c>
    </row>
    <row r="6">
      <c r="A6" t="inlineStr">
        <is>
          <t>4) PAYE, gross, deductions, net salary, and loan outstanding auto-calculate.</t>
        </is>
      </c>
    </row>
    <row r="7">
      <c r="A7" t="inlineStr">
        <is>
          <t>5) PAYE_BANDS sheet shows the exact tax bands used by formulas.</t>
        </is>
      </c>
    </row>
    <row r="9">
      <c r="A9" t="inlineStr">
        <is>
          <t>DEFAULT SAMPLE ROW: AMA OWUSU, BASIC 20,000, TRANSPORT 25%, UTILITY 15%, RENT 20%, RISK 10%.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2026-03-08T21:07:04Z</dcterms:created>
  <dcterms:modified xsi:type="dcterms:W3CDTF">2026-03-08T21:07:04Z</dcterms:modified>
</cp:coreProperties>
</file>