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INPUT" sheetId="1" state="visible" r:id="rId1"/>
    <sheet name="SUMMARY" sheetId="2" state="visible" r:id="rId2"/>
    <sheet name="PAYE_BANDS" sheetId="3" state="visible" r:id="rId3"/>
    <sheet name="README" sheetId="4" state="visible" r:id="rId4"/>
  </sheets>
  <definedNames>
    <definedName name="_xlnm._FilterDatabase" localSheetId="0" hidden="1">'MONTHLY_INPUT'!$A$1:$AT$1001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E40AF"/>
      <sz val="14"/>
    </font>
    <font>
      <b val="1"/>
    </font>
    <font>
      <b val="1"/>
      <color rgb="001E40AF"/>
      <sz val="13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7E3F6"/>
      </left>
      <right style="thin">
        <color rgb="00D7E3F6"/>
      </right>
      <top style="thin">
        <color rgb="00D7E3F6"/>
      </top>
      <bottom style="thin">
        <color rgb="00D7E3F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1" customWidth="1" min="4" max="4"/>
    <col width="14" customWidth="1" min="5" max="5"/>
    <col width="12" customWidth="1" min="6" max="6"/>
    <col width="11" customWidth="1" min="7" max="7"/>
    <col width="14" customWidth="1" min="8" max="8"/>
    <col width="12" customWidth="1" min="9" max="9"/>
    <col width="11" customWidth="1" min="10" max="10"/>
    <col width="14" customWidth="1" min="11" max="11"/>
    <col width="12" customWidth="1" min="12" max="12"/>
    <col width="11" customWidth="1" min="13" max="13"/>
    <col width="14" customWidth="1" min="14" max="14"/>
    <col width="12" customWidth="1" min="15" max="15"/>
    <col width="11" customWidth="1" min="16" max="16"/>
    <col width="14" customWidth="1" min="17" max="17"/>
    <col width="12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1" t="inlineStr">
        <is>
          <t>EMPLOYEE NAME</t>
        </is>
      </c>
      <c r="B1" s="1" t="inlineStr">
        <is>
          <t>BASIC SALARY</t>
        </is>
      </c>
      <c r="C1" s="1" t="inlineStr">
        <is>
          <t>INCLUDE TRANSPORT (1/0)</t>
        </is>
      </c>
      <c r="D1" s="1" t="inlineStr">
        <is>
          <t>TRANSPORT RATE %</t>
        </is>
      </c>
      <c r="E1" s="1" t="inlineStr">
        <is>
          <t>TRANSPORT OVERRIDE</t>
        </is>
      </c>
      <c r="F1" s="1" t="inlineStr">
        <is>
          <t>INCLUDE UTILITY (1/0)</t>
        </is>
      </c>
      <c r="G1" s="1" t="inlineStr">
        <is>
          <t>UTILITY RATE %</t>
        </is>
      </c>
      <c r="H1" s="1" t="inlineStr">
        <is>
          <t>UTILITY OVERRIDE</t>
        </is>
      </c>
      <c r="I1" s="1" t="inlineStr">
        <is>
          <t>INCLUDE RENT (1/0)</t>
        </is>
      </c>
      <c r="J1" s="1" t="inlineStr">
        <is>
          <t>RENT RATE %</t>
        </is>
      </c>
      <c r="K1" s="1" t="inlineStr">
        <is>
          <t>RENT OVERRIDE</t>
        </is>
      </c>
      <c r="L1" s="1" t="inlineStr">
        <is>
          <t>INCLUDE RISK (1/0)</t>
        </is>
      </c>
      <c r="M1" s="1" t="inlineStr">
        <is>
          <t>RISK RATE %</t>
        </is>
      </c>
      <c r="N1" s="1" t="inlineStr">
        <is>
          <t>RISK OVERRIDE</t>
        </is>
      </c>
      <c r="O1" s="1" t="inlineStr">
        <is>
          <t>INCLUDE LEAVE (1/0)</t>
        </is>
      </c>
      <c r="P1" s="1" t="inlineStr">
        <is>
          <t>LEAVE RATE %</t>
        </is>
      </c>
      <c r="Q1" s="1" t="inlineStr">
        <is>
          <t>LEAVE OVERRIDE</t>
        </is>
      </c>
      <c r="R1" s="1" t="inlineStr">
        <is>
          <t>INCLUDE CLOTHING (1/0)</t>
        </is>
      </c>
      <c r="S1" s="1" t="inlineStr">
        <is>
          <t>CLOTHING RATE %</t>
        </is>
      </c>
      <c r="T1" s="1" t="inlineStr">
        <is>
          <t>CLOTHING OVERRIDE</t>
        </is>
      </c>
      <c r="U1" s="1" t="inlineStr">
        <is>
          <t>OTHER EARNINGS</t>
        </is>
      </c>
      <c r="V1" s="1" t="inlineStr">
        <is>
          <t>OVERTIME ADDITION</t>
        </is>
      </c>
      <c r="W1" s="1" t="inlineStr">
        <is>
          <t>WELFARE FUND</t>
        </is>
      </c>
      <c r="X1" s="1" t="inlineStr">
        <is>
          <t>UNION DUES</t>
        </is>
      </c>
      <c r="Y1" s="1" t="inlineStr">
        <is>
          <t>PMSU/GMWU SUPPORT</t>
        </is>
      </c>
      <c r="Z1" s="1" t="inlineStr">
        <is>
          <t>LATENESS DEDUCTION</t>
        </is>
      </c>
      <c r="AA1" s="1" t="inlineStr">
        <is>
          <t>ABSENTEEISM DEDUCTION</t>
        </is>
      </c>
      <c r="AB1" s="1" t="inlineStr">
        <is>
          <t>LOAN AMOUNT</t>
        </is>
      </c>
      <c r="AC1" s="1" t="inlineStr">
        <is>
          <t>TOTAL PAID (LOAN)</t>
        </is>
      </c>
      <c r="AD1" s="1" t="inlineStr">
        <is>
          <t>TRANSPORT AMOUNT</t>
        </is>
      </c>
      <c r="AE1" s="1" t="inlineStr">
        <is>
          <t>UTILITY AMOUNT</t>
        </is>
      </c>
      <c r="AF1" s="1" t="inlineStr">
        <is>
          <t>RENT AMOUNT</t>
        </is>
      </c>
      <c r="AG1" s="1" t="inlineStr">
        <is>
          <t>RISK AMOUNT</t>
        </is>
      </c>
      <c r="AH1" s="1" t="inlineStr">
        <is>
          <t>LEAVE AMOUNT</t>
        </is>
      </c>
      <c r="AI1" s="1" t="inlineStr">
        <is>
          <t>CLOTHING AMOUNT</t>
        </is>
      </c>
      <c r="AJ1" s="1" t="inlineStr">
        <is>
          <t>PROVIDENT EARNING (3.5%)</t>
        </is>
      </c>
      <c r="AK1" s="1" t="inlineStr">
        <is>
          <t>PROVIDENT EARNING (6.5%)</t>
        </is>
      </c>
      <c r="AL1" s="1" t="inlineStr">
        <is>
          <t>GROSS EARNINGS</t>
        </is>
      </c>
      <c r="AM1" s="1" t="inlineStr">
        <is>
          <t>SOCIAL SECURITY (5.5%)</t>
        </is>
      </c>
      <c r="AN1" s="1" t="inlineStr">
        <is>
          <t>PROVIDENT DEDUCTION (3.5%)</t>
        </is>
      </c>
      <c r="AO1" s="1" t="inlineStr">
        <is>
          <t>PROVIDENT DEDUCTION (16.5%)</t>
        </is>
      </c>
      <c r="AP1" s="1" t="inlineStr">
        <is>
          <t>TAXABLE INCOME</t>
        </is>
      </c>
      <c r="AQ1" s="1" t="inlineStr">
        <is>
          <t>PAYE</t>
        </is>
      </c>
      <c r="AR1" s="1" t="inlineStr">
        <is>
          <t>TOTAL DEDUCTIONS</t>
        </is>
      </c>
      <c r="AS1" s="1" t="inlineStr">
        <is>
          <t>NET SALARY</t>
        </is>
      </c>
      <c r="AT1" s="1" t="inlineStr">
        <is>
          <t>OUTSTANDING LOAN</t>
        </is>
      </c>
    </row>
    <row r="2">
      <c r="A2" s="2" t="inlineStr">
        <is>
          <t>Ama Owusu</t>
        </is>
      </c>
      <c r="B2" s="3" t="n">
        <v>20000</v>
      </c>
      <c r="C2" s="4" t="n">
        <v>1</v>
      </c>
      <c r="D2" s="5" t="n">
        <v>25</v>
      </c>
      <c r="E2" s="3" t="n"/>
      <c r="F2" s="4" t="n">
        <v>1</v>
      </c>
      <c r="G2" s="5" t="n">
        <v>15</v>
      </c>
      <c r="H2" s="3" t="n"/>
      <c r="I2" s="4" t="n">
        <v>1</v>
      </c>
      <c r="J2" s="5" t="n">
        <v>20</v>
      </c>
      <c r="K2" s="3" t="n"/>
      <c r="L2" s="4" t="n">
        <v>1</v>
      </c>
      <c r="M2" s="5" t="n">
        <v>10</v>
      </c>
      <c r="N2" s="3" t="n"/>
      <c r="O2" s="4" t="n">
        <v>0</v>
      </c>
      <c r="P2" s="5" t="n">
        <v>100</v>
      </c>
      <c r="Q2" s="3" t="n"/>
      <c r="R2" s="4" t="n">
        <v>0</v>
      </c>
      <c r="S2" s="5" t="n">
        <v>0</v>
      </c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6">
        <f>IF(C2=0,0,IF(E2="",B2*D2/100,E2))</f>
        <v/>
      </c>
      <c r="AE2" s="6">
        <f>IF(F2=0,0,IF(H2="",B2*G2/100,H2))</f>
        <v/>
      </c>
      <c r="AF2" s="6">
        <f>IF(I2=0,0,IF(K2="",B2*J2/100,K2))</f>
        <v/>
      </c>
      <c r="AG2" s="6">
        <f>IF(L2=0,0,IF(N2="",B2*M2/100,N2))</f>
        <v/>
      </c>
      <c r="AH2" s="6">
        <f>IF(O2=0,0,IF(Q2="",B2*P2/100,Q2))</f>
        <v/>
      </c>
      <c r="AI2" s="6">
        <f>IF(R2=0,0,IF(T2="",B2*S2/100,T2))</f>
        <v/>
      </c>
      <c r="AJ2" s="6">
        <f>B2*0.035</f>
        <v/>
      </c>
      <c r="AK2" s="6">
        <f>B2*0.065</f>
        <v/>
      </c>
      <c r="AL2" s="6">
        <f>SUM(B2,AD2,AE2,AF2,AG2,AH2,AI2,U2,V2,AJ2,AK2)</f>
        <v/>
      </c>
      <c r="AM2" s="6">
        <f>B2*0.055</f>
        <v/>
      </c>
      <c r="AN2" s="6">
        <f>B2*0.035</f>
        <v/>
      </c>
      <c r="AO2" s="6">
        <f>B2*0.165</f>
        <v/>
      </c>
      <c r="AP2" s="6">
        <f>MAX(0,AL2-AM2-AO2)</f>
        <v/>
      </c>
      <c r="AQ2" s="6">
        <f>IF(AP2&lt;=490,0,IF(AP2&lt;=600,(AP2-490)*0.05,IF(AP2&lt;=730,5.5+(AP2-600)*0.10,IF(AP2&lt;=3896.67,18.5+(AP2-730)*0.175,IF(AP2&lt;=19896.67,572.67+(AP2-3896.67)*0.25,IF(AP2&lt;=50416.67,4572.67+(AP2-19896.67)*0.30,13728.67+(AP2-50416.67)*0.35))))))</f>
        <v/>
      </c>
      <c r="AR2" s="6">
        <f>SUM(AM2,AQ2,W2,X2,Y2,Z2,AA2,AN2,AO2)</f>
        <v/>
      </c>
      <c r="AS2" s="6">
        <f>AL2-AR2</f>
        <v/>
      </c>
      <c r="AT2" s="6">
        <f>AB2-AC2</f>
        <v/>
      </c>
    </row>
    <row r="3">
      <c r="A3" s="2" t="n"/>
      <c r="B3" s="3" t="n"/>
      <c r="C3" s="4" t="n"/>
      <c r="D3" s="5" t="n"/>
      <c r="E3" s="3" t="n"/>
      <c r="F3" s="4" t="n"/>
      <c r="G3" s="5" t="n"/>
      <c r="H3" s="3" t="n"/>
      <c r="I3" s="4" t="n"/>
      <c r="J3" s="5" t="n"/>
      <c r="K3" s="3" t="n"/>
      <c r="L3" s="4" t="n"/>
      <c r="M3" s="5" t="n"/>
      <c r="N3" s="3" t="n"/>
      <c r="O3" s="4" t="n"/>
      <c r="P3" s="5" t="n"/>
      <c r="Q3" s="3" t="n"/>
      <c r="R3" s="4" t="n"/>
      <c r="S3" s="5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6">
        <f>IF(C3=0,0,IF(E3="",B3*D3/100,E3))</f>
        <v/>
      </c>
      <c r="AE3" s="6">
        <f>IF(F3=0,0,IF(H3="",B3*G3/100,H3))</f>
        <v/>
      </c>
      <c r="AF3" s="6">
        <f>IF(I3=0,0,IF(K3="",B3*J3/100,K3))</f>
        <v/>
      </c>
      <c r="AG3" s="6">
        <f>IF(L3=0,0,IF(N3="",B3*M3/100,N3))</f>
        <v/>
      </c>
      <c r="AH3" s="6">
        <f>IF(O3=0,0,IF(Q3="",B3*P3/100,Q3))</f>
        <v/>
      </c>
      <c r="AI3" s="6">
        <f>IF(R3=0,0,IF(T3="",B3*S3/100,T3))</f>
        <v/>
      </c>
      <c r="AJ3" s="6">
        <f>B3*0.035</f>
        <v/>
      </c>
      <c r="AK3" s="6">
        <f>B3*0.065</f>
        <v/>
      </c>
      <c r="AL3" s="6">
        <f>SUM(B3,AD3,AE3,AF3,AG3,AH3,AI3,U3,V3,AJ3,AK3)</f>
        <v/>
      </c>
      <c r="AM3" s="6">
        <f>B3*0.055</f>
        <v/>
      </c>
      <c r="AN3" s="6">
        <f>B3*0.035</f>
        <v/>
      </c>
      <c r="AO3" s="6">
        <f>B3*0.165</f>
        <v/>
      </c>
      <c r="AP3" s="6">
        <f>MAX(0,AL3-AM3-AO3)</f>
        <v/>
      </c>
      <c r="AQ3" s="6">
        <f>IF(AP3&lt;=490,0,IF(AP3&lt;=600,(AP3-490)*0.05,IF(AP3&lt;=730,5.5+(AP3-600)*0.10,IF(AP3&lt;=3896.67,18.5+(AP3-730)*0.175,IF(AP3&lt;=19896.67,572.67+(AP3-3896.67)*0.25,IF(AP3&lt;=50416.67,4572.67+(AP3-19896.67)*0.30,13728.67+(AP3-50416.67)*0.35))))))</f>
        <v/>
      </c>
      <c r="AR3" s="6">
        <f>SUM(AM3,AQ3,W3,X3,Y3,Z3,AA3,AN3,AO3)</f>
        <v/>
      </c>
      <c r="AS3" s="6">
        <f>AL3-AR3</f>
        <v/>
      </c>
      <c r="AT3" s="6">
        <f>AB3-AC3</f>
        <v/>
      </c>
    </row>
    <row r="4">
      <c r="A4" s="2" t="n"/>
      <c r="B4" s="3" t="n"/>
      <c r="C4" s="4" t="n"/>
      <c r="D4" s="5" t="n"/>
      <c r="E4" s="3" t="n"/>
      <c r="F4" s="4" t="n"/>
      <c r="G4" s="5" t="n"/>
      <c r="H4" s="3" t="n"/>
      <c r="I4" s="4" t="n"/>
      <c r="J4" s="5" t="n"/>
      <c r="K4" s="3" t="n"/>
      <c r="L4" s="4" t="n"/>
      <c r="M4" s="5" t="n"/>
      <c r="N4" s="3" t="n"/>
      <c r="O4" s="4" t="n"/>
      <c r="P4" s="5" t="n"/>
      <c r="Q4" s="3" t="n"/>
      <c r="R4" s="4" t="n"/>
      <c r="S4" s="5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6">
        <f>IF(C4=0,0,IF(E4="",B4*D4/100,E4))</f>
        <v/>
      </c>
      <c r="AE4" s="6">
        <f>IF(F4=0,0,IF(H4="",B4*G4/100,H4))</f>
        <v/>
      </c>
      <c r="AF4" s="6">
        <f>IF(I4=0,0,IF(K4="",B4*J4/100,K4))</f>
        <v/>
      </c>
      <c r="AG4" s="6">
        <f>IF(L4=0,0,IF(N4="",B4*M4/100,N4))</f>
        <v/>
      </c>
      <c r="AH4" s="6">
        <f>IF(O4=0,0,IF(Q4="",B4*P4/100,Q4))</f>
        <v/>
      </c>
      <c r="AI4" s="6">
        <f>IF(R4=0,0,IF(T4="",B4*S4/100,T4))</f>
        <v/>
      </c>
      <c r="AJ4" s="6">
        <f>B4*0.035</f>
        <v/>
      </c>
      <c r="AK4" s="6">
        <f>B4*0.065</f>
        <v/>
      </c>
      <c r="AL4" s="6">
        <f>SUM(B4,AD4,AE4,AF4,AG4,AH4,AI4,U4,V4,AJ4,AK4)</f>
        <v/>
      </c>
      <c r="AM4" s="6">
        <f>B4*0.055</f>
        <v/>
      </c>
      <c r="AN4" s="6">
        <f>B4*0.035</f>
        <v/>
      </c>
      <c r="AO4" s="6">
        <f>B4*0.165</f>
        <v/>
      </c>
      <c r="AP4" s="6">
        <f>MAX(0,AL4-AM4-AO4)</f>
        <v/>
      </c>
      <c r="AQ4" s="6">
        <f>IF(AP4&lt;=490,0,IF(AP4&lt;=600,(AP4-490)*0.05,IF(AP4&lt;=730,5.5+(AP4-600)*0.10,IF(AP4&lt;=3896.67,18.5+(AP4-730)*0.175,IF(AP4&lt;=19896.67,572.67+(AP4-3896.67)*0.25,IF(AP4&lt;=50416.67,4572.67+(AP4-19896.67)*0.30,13728.67+(AP4-50416.67)*0.35))))))</f>
        <v/>
      </c>
      <c r="AR4" s="6">
        <f>SUM(AM4,AQ4,W4,X4,Y4,Z4,AA4,AN4,AO4)</f>
        <v/>
      </c>
      <c r="AS4" s="6">
        <f>AL4-AR4</f>
        <v/>
      </c>
      <c r="AT4" s="6">
        <f>AB4-AC4</f>
        <v/>
      </c>
    </row>
    <row r="5">
      <c r="A5" s="2" t="n"/>
      <c r="B5" s="3" t="n"/>
      <c r="C5" s="4" t="n"/>
      <c r="D5" s="5" t="n"/>
      <c r="E5" s="3" t="n"/>
      <c r="F5" s="4" t="n"/>
      <c r="G5" s="5" t="n"/>
      <c r="H5" s="3" t="n"/>
      <c r="I5" s="4" t="n"/>
      <c r="J5" s="5" t="n"/>
      <c r="K5" s="3" t="n"/>
      <c r="L5" s="4" t="n"/>
      <c r="M5" s="5" t="n"/>
      <c r="N5" s="3" t="n"/>
      <c r="O5" s="4" t="n"/>
      <c r="P5" s="5" t="n"/>
      <c r="Q5" s="3" t="n"/>
      <c r="R5" s="4" t="n"/>
      <c r="S5" s="5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6">
        <f>IF(C5=0,0,IF(E5="",B5*D5/100,E5))</f>
        <v/>
      </c>
      <c r="AE5" s="6">
        <f>IF(F5=0,0,IF(H5="",B5*G5/100,H5))</f>
        <v/>
      </c>
      <c r="AF5" s="6">
        <f>IF(I5=0,0,IF(K5="",B5*J5/100,K5))</f>
        <v/>
      </c>
      <c r="AG5" s="6">
        <f>IF(L5=0,0,IF(N5="",B5*M5/100,N5))</f>
        <v/>
      </c>
      <c r="AH5" s="6">
        <f>IF(O5=0,0,IF(Q5="",B5*P5/100,Q5))</f>
        <v/>
      </c>
      <c r="AI5" s="6">
        <f>IF(R5=0,0,IF(T5="",B5*S5/100,T5))</f>
        <v/>
      </c>
      <c r="AJ5" s="6">
        <f>B5*0.035</f>
        <v/>
      </c>
      <c r="AK5" s="6">
        <f>B5*0.065</f>
        <v/>
      </c>
      <c r="AL5" s="6">
        <f>SUM(B5,AD5,AE5,AF5,AG5,AH5,AI5,U5,V5,AJ5,AK5)</f>
        <v/>
      </c>
      <c r="AM5" s="6">
        <f>B5*0.055</f>
        <v/>
      </c>
      <c r="AN5" s="6">
        <f>B5*0.035</f>
        <v/>
      </c>
      <c r="AO5" s="6">
        <f>B5*0.165</f>
        <v/>
      </c>
      <c r="AP5" s="6">
        <f>MAX(0,AL5-AM5-AO5)</f>
        <v/>
      </c>
      <c r="AQ5" s="6">
        <f>IF(AP5&lt;=490,0,IF(AP5&lt;=600,(AP5-490)*0.05,IF(AP5&lt;=730,5.5+(AP5-600)*0.10,IF(AP5&lt;=3896.67,18.5+(AP5-730)*0.175,IF(AP5&lt;=19896.67,572.67+(AP5-3896.67)*0.25,IF(AP5&lt;=50416.67,4572.67+(AP5-19896.67)*0.30,13728.67+(AP5-50416.67)*0.35))))))</f>
        <v/>
      </c>
      <c r="AR5" s="6">
        <f>SUM(AM5,AQ5,W5,X5,Y5,Z5,AA5,AN5,AO5)</f>
        <v/>
      </c>
      <c r="AS5" s="6">
        <f>AL5-AR5</f>
        <v/>
      </c>
      <c r="AT5" s="6">
        <f>AB5-AC5</f>
        <v/>
      </c>
    </row>
    <row r="6">
      <c r="A6" s="2" t="n"/>
      <c r="B6" s="3" t="n"/>
      <c r="C6" s="4" t="n"/>
      <c r="D6" s="5" t="n"/>
      <c r="E6" s="3" t="n"/>
      <c r="F6" s="4" t="n"/>
      <c r="G6" s="5" t="n"/>
      <c r="H6" s="3" t="n"/>
      <c r="I6" s="4" t="n"/>
      <c r="J6" s="5" t="n"/>
      <c r="K6" s="3" t="n"/>
      <c r="L6" s="4" t="n"/>
      <c r="M6" s="5" t="n"/>
      <c r="N6" s="3" t="n"/>
      <c r="O6" s="4" t="n"/>
      <c r="P6" s="5" t="n"/>
      <c r="Q6" s="3" t="n"/>
      <c r="R6" s="4" t="n"/>
      <c r="S6" s="5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6">
        <f>IF(C6=0,0,IF(E6="",B6*D6/100,E6))</f>
        <v/>
      </c>
      <c r="AE6" s="6">
        <f>IF(F6=0,0,IF(H6="",B6*G6/100,H6))</f>
        <v/>
      </c>
      <c r="AF6" s="6">
        <f>IF(I6=0,0,IF(K6="",B6*J6/100,K6))</f>
        <v/>
      </c>
      <c r="AG6" s="6">
        <f>IF(L6=0,0,IF(N6="",B6*M6/100,N6))</f>
        <v/>
      </c>
      <c r="AH6" s="6">
        <f>IF(O6=0,0,IF(Q6="",B6*P6/100,Q6))</f>
        <v/>
      </c>
      <c r="AI6" s="6">
        <f>IF(R6=0,0,IF(T6="",B6*S6/100,T6))</f>
        <v/>
      </c>
      <c r="AJ6" s="6">
        <f>B6*0.035</f>
        <v/>
      </c>
      <c r="AK6" s="6">
        <f>B6*0.065</f>
        <v/>
      </c>
      <c r="AL6" s="6">
        <f>SUM(B6,AD6,AE6,AF6,AG6,AH6,AI6,U6,V6,AJ6,AK6)</f>
        <v/>
      </c>
      <c r="AM6" s="6">
        <f>B6*0.055</f>
        <v/>
      </c>
      <c r="AN6" s="6">
        <f>B6*0.035</f>
        <v/>
      </c>
      <c r="AO6" s="6">
        <f>B6*0.165</f>
        <v/>
      </c>
      <c r="AP6" s="6">
        <f>MAX(0,AL6-AM6-AO6)</f>
        <v/>
      </c>
      <c r="AQ6" s="6">
        <f>IF(AP6&lt;=490,0,IF(AP6&lt;=600,(AP6-490)*0.05,IF(AP6&lt;=730,5.5+(AP6-600)*0.10,IF(AP6&lt;=3896.67,18.5+(AP6-730)*0.175,IF(AP6&lt;=19896.67,572.67+(AP6-3896.67)*0.25,IF(AP6&lt;=50416.67,4572.67+(AP6-19896.67)*0.30,13728.67+(AP6-50416.67)*0.35))))))</f>
        <v/>
      </c>
      <c r="AR6" s="6">
        <f>SUM(AM6,AQ6,W6,X6,Y6,Z6,AA6,AN6,AO6)</f>
        <v/>
      </c>
      <c r="AS6" s="6">
        <f>AL6-AR6</f>
        <v/>
      </c>
      <c r="AT6" s="6">
        <f>AB6-AC6</f>
        <v/>
      </c>
    </row>
    <row r="7">
      <c r="A7" s="2" t="n"/>
      <c r="B7" s="3" t="n"/>
      <c r="C7" s="4" t="n"/>
      <c r="D7" s="5" t="n"/>
      <c r="E7" s="3" t="n"/>
      <c r="F7" s="4" t="n"/>
      <c r="G7" s="5" t="n"/>
      <c r="H7" s="3" t="n"/>
      <c r="I7" s="4" t="n"/>
      <c r="J7" s="5" t="n"/>
      <c r="K7" s="3" t="n"/>
      <c r="L7" s="4" t="n"/>
      <c r="M7" s="5" t="n"/>
      <c r="N7" s="3" t="n"/>
      <c r="O7" s="4" t="n"/>
      <c r="P7" s="5" t="n"/>
      <c r="Q7" s="3" t="n"/>
      <c r="R7" s="4" t="n"/>
      <c r="S7" s="5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6">
        <f>IF(C7=0,0,IF(E7="",B7*D7/100,E7))</f>
        <v/>
      </c>
      <c r="AE7" s="6">
        <f>IF(F7=0,0,IF(H7="",B7*G7/100,H7))</f>
        <v/>
      </c>
      <c r="AF7" s="6">
        <f>IF(I7=0,0,IF(K7="",B7*J7/100,K7))</f>
        <v/>
      </c>
      <c r="AG7" s="6">
        <f>IF(L7=0,0,IF(N7="",B7*M7/100,N7))</f>
        <v/>
      </c>
      <c r="AH7" s="6">
        <f>IF(O7=0,0,IF(Q7="",B7*P7/100,Q7))</f>
        <v/>
      </c>
      <c r="AI7" s="6">
        <f>IF(R7=0,0,IF(T7="",B7*S7/100,T7))</f>
        <v/>
      </c>
      <c r="AJ7" s="6">
        <f>B7*0.035</f>
        <v/>
      </c>
      <c r="AK7" s="6">
        <f>B7*0.065</f>
        <v/>
      </c>
      <c r="AL7" s="6">
        <f>SUM(B7,AD7,AE7,AF7,AG7,AH7,AI7,U7,V7,AJ7,AK7)</f>
        <v/>
      </c>
      <c r="AM7" s="6">
        <f>B7*0.055</f>
        <v/>
      </c>
      <c r="AN7" s="6">
        <f>B7*0.035</f>
        <v/>
      </c>
      <c r="AO7" s="6">
        <f>B7*0.165</f>
        <v/>
      </c>
      <c r="AP7" s="6">
        <f>MAX(0,AL7-AM7-AO7)</f>
        <v/>
      </c>
      <c r="AQ7" s="6">
        <f>IF(AP7&lt;=490,0,IF(AP7&lt;=600,(AP7-490)*0.05,IF(AP7&lt;=730,5.5+(AP7-600)*0.10,IF(AP7&lt;=3896.67,18.5+(AP7-730)*0.175,IF(AP7&lt;=19896.67,572.67+(AP7-3896.67)*0.25,IF(AP7&lt;=50416.67,4572.67+(AP7-19896.67)*0.30,13728.67+(AP7-50416.67)*0.35))))))</f>
        <v/>
      </c>
      <c r="AR7" s="6">
        <f>SUM(AM7,AQ7,W7,X7,Y7,Z7,AA7,AN7,AO7)</f>
        <v/>
      </c>
      <c r="AS7" s="6">
        <f>AL7-AR7</f>
        <v/>
      </c>
      <c r="AT7" s="6">
        <f>AB7-AC7</f>
        <v/>
      </c>
    </row>
    <row r="8">
      <c r="A8" s="2" t="n"/>
      <c r="B8" s="3" t="n"/>
      <c r="C8" s="4" t="n"/>
      <c r="D8" s="5" t="n"/>
      <c r="E8" s="3" t="n"/>
      <c r="F8" s="4" t="n"/>
      <c r="G8" s="5" t="n"/>
      <c r="H8" s="3" t="n"/>
      <c r="I8" s="4" t="n"/>
      <c r="J8" s="5" t="n"/>
      <c r="K8" s="3" t="n"/>
      <c r="L8" s="4" t="n"/>
      <c r="M8" s="5" t="n"/>
      <c r="N8" s="3" t="n"/>
      <c r="O8" s="4" t="n"/>
      <c r="P8" s="5" t="n"/>
      <c r="Q8" s="3" t="n"/>
      <c r="R8" s="4" t="n"/>
      <c r="S8" s="5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6">
        <f>IF(C8=0,0,IF(E8="",B8*D8/100,E8))</f>
        <v/>
      </c>
      <c r="AE8" s="6">
        <f>IF(F8=0,0,IF(H8="",B8*G8/100,H8))</f>
        <v/>
      </c>
      <c r="AF8" s="6">
        <f>IF(I8=0,0,IF(K8="",B8*J8/100,K8))</f>
        <v/>
      </c>
      <c r="AG8" s="6">
        <f>IF(L8=0,0,IF(N8="",B8*M8/100,N8))</f>
        <v/>
      </c>
      <c r="AH8" s="6">
        <f>IF(O8=0,0,IF(Q8="",B8*P8/100,Q8))</f>
        <v/>
      </c>
      <c r="AI8" s="6">
        <f>IF(R8=0,0,IF(T8="",B8*S8/100,T8))</f>
        <v/>
      </c>
      <c r="AJ8" s="6">
        <f>B8*0.035</f>
        <v/>
      </c>
      <c r="AK8" s="6">
        <f>B8*0.065</f>
        <v/>
      </c>
      <c r="AL8" s="6">
        <f>SUM(B8,AD8,AE8,AF8,AG8,AH8,AI8,U8,V8,AJ8,AK8)</f>
        <v/>
      </c>
      <c r="AM8" s="6">
        <f>B8*0.055</f>
        <v/>
      </c>
      <c r="AN8" s="6">
        <f>B8*0.035</f>
        <v/>
      </c>
      <c r="AO8" s="6">
        <f>B8*0.165</f>
        <v/>
      </c>
      <c r="AP8" s="6">
        <f>MAX(0,AL8-AM8-AO8)</f>
        <v/>
      </c>
      <c r="AQ8" s="6">
        <f>IF(AP8&lt;=490,0,IF(AP8&lt;=600,(AP8-490)*0.05,IF(AP8&lt;=730,5.5+(AP8-600)*0.10,IF(AP8&lt;=3896.67,18.5+(AP8-730)*0.175,IF(AP8&lt;=19896.67,572.67+(AP8-3896.67)*0.25,IF(AP8&lt;=50416.67,4572.67+(AP8-19896.67)*0.30,13728.67+(AP8-50416.67)*0.35))))))</f>
        <v/>
      </c>
      <c r="AR8" s="6">
        <f>SUM(AM8,AQ8,W8,X8,Y8,Z8,AA8,AN8,AO8)</f>
        <v/>
      </c>
      <c r="AS8" s="6">
        <f>AL8-AR8</f>
        <v/>
      </c>
      <c r="AT8" s="6">
        <f>AB8-AC8</f>
        <v/>
      </c>
    </row>
    <row r="9">
      <c r="A9" s="2" t="n"/>
      <c r="B9" s="3" t="n"/>
      <c r="C9" s="4" t="n"/>
      <c r="D9" s="5" t="n"/>
      <c r="E9" s="3" t="n"/>
      <c r="F9" s="4" t="n"/>
      <c r="G9" s="5" t="n"/>
      <c r="H9" s="3" t="n"/>
      <c r="I9" s="4" t="n"/>
      <c r="J9" s="5" t="n"/>
      <c r="K9" s="3" t="n"/>
      <c r="L9" s="4" t="n"/>
      <c r="M9" s="5" t="n"/>
      <c r="N9" s="3" t="n"/>
      <c r="O9" s="4" t="n"/>
      <c r="P9" s="5" t="n"/>
      <c r="Q9" s="3" t="n"/>
      <c r="R9" s="4" t="n"/>
      <c r="S9" s="5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6">
        <f>IF(C9=0,0,IF(E9="",B9*D9/100,E9))</f>
        <v/>
      </c>
      <c r="AE9" s="6">
        <f>IF(F9=0,0,IF(H9="",B9*G9/100,H9))</f>
        <v/>
      </c>
      <c r="AF9" s="6">
        <f>IF(I9=0,0,IF(K9="",B9*J9/100,K9))</f>
        <v/>
      </c>
      <c r="AG9" s="6">
        <f>IF(L9=0,0,IF(N9="",B9*M9/100,N9))</f>
        <v/>
      </c>
      <c r="AH9" s="6">
        <f>IF(O9=0,0,IF(Q9="",B9*P9/100,Q9))</f>
        <v/>
      </c>
      <c r="AI9" s="6">
        <f>IF(R9=0,0,IF(T9="",B9*S9/100,T9))</f>
        <v/>
      </c>
      <c r="AJ9" s="6">
        <f>B9*0.035</f>
        <v/>
      </c>
      <c r="AK9" s="6">
        <f>B9*0.065</f>
        <v/>
      </c>
      <c r="AL9" s="6">
        <f>SUM(B9,AD9,AE9,AF9,AG9,AH9,AI9,U9,V9,AJ9,AK9)</f>
        <v/>
      </c>
      <c r="AM9" s="6">
        <f>B9*0.055</f>
        <v/>
      </c>
      <c r="AN9" s="6">
        <f>B9*0.035</f>
        <v/>
      </c>
      <c r="AO9" s="6">
        <f>B9*0.165</f>
        <v/>
      </c>
      <c r="AP9" s="6">
        <f>MAX(0,AL9-AM9-AO9)</f>
        <v/>
      </c>
      <c r="AQ9" s="6">
        <f>IF(AP9&lt;=490,0,IF(AP9&lt;=600,(AP9-490)*0.05,IF(AP9&lt;=730,5.5+(AP9-600)*0.10,IF(AP9&lt;=3896.67,18.5+(AP9-730)*0.175,IF(AP9&lt;=19896.67,572.67+(AP9-3896.67)*0.25,IF(AP9&lt;=50416.67,4572.67+(AP9-19896.67)*0.30,13728.67+(AP9-50416.67)*0.35))))))</f>
        <v/>
      </c>
      <c r="AR9" s="6">
        <f>SUM(AM9,AQ9,W9,X9,Y9,Z9,AA9,AN9,AO9)</f>
        <v/>
      </c>
      <c r="AS9" s="6">
        <f>AL9-AR9</f>
        <v/>
      </c>
      <c r="AT9" s="6">
        <f>AB9-AC9</f>
        <v/>
      </c>
    </row>
    <row r="10">
      <c r="A10" s="2" t="n"/>
      <c r="B10" s="3" t="n"/>
      <c r="C10" s="4" t="n"/>
      <c r="D10" s="5" t="n"/>
      <c r="E10" s="3" t="n"/>
      <c r="F10" s="4" t="n"/>
      <c r="G10" s="5" t="n"/>
      <c r="H10" s="3" t="n"/>
      <c r="I10" s="4" t="n"/>
      <c r="J10" s="5" t="n"/>
      <c r="K10" s="3" t="n"/>
      <c r="L10" s="4" t="n"/>
      <c r="M10" s="5" t="n"/>
      <c r="N10" s="3" t="n"/>
      <c r="O10" s="4" t="n"/>
      <c r="P10" s="5" t="n"/>
      <c r="Q10" s="3" t="n"/>
      <c r="R10" s="4" t="n"/>
      <c r="S10" s="5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6">
        <f>IF(C10=0,0,IF(E10="",B10*D10/100,E10))</f>
        <v/>
      </c>
      <c r="AE10" s="6">
        <f>IF(F10=0,0,IF(H10="",B10*G10/100,H10))</f>
        <v/>
      </c>
      <c r="AF10" s="6">
        <f>IF(I10=0,0,IF(K10="",B10*J10/100,K10))</f>
        <v/>
      </c>
      <c r="AG10" s="6">
        <f>IF(L10=0,0,IF(N10="",B10*M10/100,N10))</f>
        <v/>
      </c>
      <c r="AH10" s="6">
        <f>IF(O10=0,0,IF(Q10="",B10*P10/100,Q10))</f>
        <v/>
      </c>
      <c r="AI10" s="6">
        <f>IF(R10=0,0,IF(T10="",B10*S10/100,T10))</f>
        <v/>
      </c>
      <c r="AJ10" s="6">
        <f>B10*0.035</f>
        <v/>
      </c>
      <c r="AK10" s="6">
        <f>B10*0.065</f>
        <v/>
      </c>
      <c r="AL10" s="6">
        <f>SUM(B10,AD10,AE10,AF10,AG10,AH10,AI10,U10,V10,AJ10,AK10)</f>
        <v/>
      </c>
      <c r="AM10" s="6">
        <f>B10*0.055</f>
        <v/>
      </c>
      <c r="AN10" s="6">
        <f>B10*0.035</f>
        <v/>
      </c>
      <c r="AO10" s="6">
        <f>B10*0.165</f>
        <v/>
      </c>
      <c r="AP10" s="6">
        <f>MAX(0,AL10-AM10-AO10)</f>
        <v/>
      </c>
      <c r="AQ10" s="6">
        <f>IF(AP10&lt;=490,0,IF(AP10&lt;=600,(AP10-490)*0.05,IF(AP10&lt;=730,5.5+(AP10-600)*0.10,IF(AP10&lt;=3896.67,18.5+(AP10-730)*0.175,IF(AP10&lt;=19896.67,572.67+(AP10-3896.67)*0.25,IF(AP10&lt;=50416.67,4572.67+(AP10-19896.67)*0.30,13728.67+(AP10-50416.67)*0.35))))))</f>
        <v/>
      </c>
      <c r="AR10" s="6">
        <f>SUM(AM10,AQ10,W10,X10,Y10,Z10,AA10,AN10,AO10)</f>
        <v/>
      </c>
      <c r="AS10" s="6">
        <f>AL10-AR10</f>
        <v/>
      </c>
      <c r="AT10" s="6">
        <f>AB10-AC10</f>
        <v/>
      </c>
    </row>
    <row r="11">
      <c r="A11" s="2" t="n"/>
      <c r="B11" s="3" t="n"/>
      <c r="C11" s="4" t="n"/>
      <c r="D11" s="5" t="n"/>
      <c r="E11" s="3" t="n"/>
      <c r="F11" s="4" t="n"/>
      <c r="G11" s="5" t="n"/>
      <c r="H11" s="3" t="n"/>
      <c r="I11" s="4" t="n"/>
      <c r="J11" s="5" t="n"/>
      <c r="K11" s="3" t="n"/>
      <c r="L11" s="4" t="n"/>
      <c r="M11" s="5" t="n"/>
      <c r="N11" s="3" t="n"/>
      <c r="O11" s="4" t="n"/>
      <c r="P11" s="5" t="n"/>
      <c r="Q11" s="3" t="n"/>
      <c r="R11" s="4" t="n"/>
      <c r="S11" s="5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6">
        <f>IF(C11=0,0,IF(E11="",B11*D11/100,E11))</f>
        <v/>
      </c>
      <c r="AE11" s="6">
        <f>IF(F11=0,0,IF(H11="",B11*G11/100,H11))</f>
        <v/>
      </c>
      <c r="AF11" s="6">
        <f>IF(I11=0,0,IF(K11="",B11*J11/100,K11))</f>
        <v/>
      </c>
      <c r="AG11" s="6">
        <f>IF(L11=0,0,IF(N11="",B11*M11/100,N11))</f>
        <v/>
      </c>
      <c r="AH11" s="6">
        <f>IF(O11=0,0,IF(Q11="",B11*P11/100,Q11))</f>
        <v/>
      </c>
      <c r="AI11" s="6">
        <f>IF(R11=0,0,IF(T11="",B11*S11/100,T11))</f>
        <v/>
      </c>
      <c r="AJ11" s="6">
        <f>B11*0.035</f>
        <v/>
      </c>
      <c r="AK11" s="6">
        <f>B11*0.065</f>
        <v/>
      </c>
      <c r="AL11" s="6">
        <f>SUM(B11,AD11,AE11,AF11,AG11,AH11,AI11,U11,V11,AJ11,AK11)</f>
        <v/>
      </c>
      <c r="AM11" s="6">
        <f>B11*0.055</f>
        <v/>
      </c>
      <c r="AN11" s="6">
        <f>B11*0.035</f>
        <v/>
      </c>
      <c r="AO11" s="6">
        <f>B11*0.165</f>
        <v/>
      </c>
      <c r="AP11" s="6">
        <f>MAX(0,AL11-AM11-AO11)</f>
        <v/>
      </c>
      <c r="AQ11" s="6">
        <f>IF(AP11&lt;=490,0,IF(AP11&lt;=600,(AP11-490)*0.05,IF(AP11&lt;=730,5.5+(AP11-600)*0.10,IF(AP11&lt;=3896.67,18.5+(AP11-730)*0.175,IF(AP11&lt;=19896.67,572.67+(AP11-3896.67)*0.25,IF(AP11&lt;=50416.67,4572.67+(AP11-19896.67)*0.30,13728.67+(AP11-50416.67)*0.35))))))</f>
        <v/>
      </c>
      <c r="AR11" s="6">
        <f>SUM(AM11,AQ11,W11,X11,Y11,Z11,AA11,AN11,AO11)</f>
        <v/>
      </c>
      <c r="AS11" s="6">
        <f>AL11-AR11</f>
        <v/>
      </c>
      <c r="AT11" s="6">
        <f>AB11-AC11</f>
        <v/>
      </c>
    </row>
    <row r="12">
      <c r="A12" s="2" t="n"/>
      <c r="B12" s="3" t="n"/>
      <c r="C12" s="4" t="n"/>
      <c r="D12" s="5" t="n"/>
      <c r="E12" s="3" t="n"/>
      <c r="F12" s="4" t="n"/>
      <c r="G12" s="5" t="n"/>
      <c r="H12" s="3" t="n"/>
      <c r="I12" s="4" t="n"/>
      <c r="J12" s="5" t="n"/>
      <c r="K12" s="3" t="n"/>
      <c r="L12" s="4" t="n"/>
      <c r="M12" s="5" t="n"/>
      <c r="N12" s="3" t="n"/>
      <c r="O12" s="4" t="n"/>
      <c r="P12" s="5" t="n"/>
      <c r="Q12" s="3" t="n"/>
      <c r="R12" s="4" t="n"/>
      <c r="S12" s="5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6">
        <f>IF(C12=0,0,IF(E12="",B12*D12/100,E12))</f>
        <v/>
      </c>
      <c r="AE12" s="6">
        <f>IF(F12=0,0,IF(H12="",B12*G12/100,H12))</f>
        <v/>
      </c>
      <c r="AF12" s="6">
        <f>IF(I12=0,0,IF(K12="",B12*J12/100,K12))</f>
        <v/>
      </c>
      <c r="AG12" s="6">
        <f>IF(L12=0,0,IF(N12="",B12*M12/100,N12))</f>
        <v/>
      </c>
      <c r="AH12" s="6">
        <f>IF(O12=0,0,IF(Q12="",B12*P12/100,Q12))</f>
        <v/>
      </c>
      <c r="AI12" s="6">
        <f>IF(R12=0,0,IF(T12="",B12*S12/100,T12))</f>
        <v/>
      </c>
      <c r="AJ12" s="6">
        <f>B12*0.035</f>
        <v/>
      </c>
      <c r="AK12" s="6">
        <f>B12*0.065</f>
        <v/>
      </c>
      <c r="AL12" s="6">
        <f>SUM(B12,AD12,AE12,AF12,AG12,AH12,AI12,U12,V12,AJ12,AK12)</f>
        <v/>
      </c>
      <c r="AM12" s="6">
        <f>B12*0.055</f>
        <v/>
      </c>
      <c r="AN12" s="6">
        <f>B12*0.035</f>
        <v/>
      </c>
      <c r="AO12" s="6">
        <f>B12*0.165</f>
        <v/>
      </c>
      <c r="AP12" s="6">
        <f>MAX(0,AL12-AM12-AO12)</f>
        <v/>
      </c>
      <c r="AQ12" s="6">
        <f>IF(AP12&lt;=490,0,IF(AP12&lt;=600,(AP12-490)*0.05,IF(AP12&lt;=730,5.5+(AP12-600)*0.10,IF(AP12&lt;=3896.67,18.5+(AP12-730)*0.175,IF(AP12&lt;=19896.67,572.67+(AP12-3896.67)*0.25,IF(AP12&lt;=50416.67,4572.67+(AP12-19896.67)*0.30,13728.67+(AP12-50416.67)*0.35))))))</f>
        <v/>
      </c>
      <c r="AR12" s="6">
        <f>SUM(AM12,AQ12,W12,X12,Y12,Z12,AA12,AN12,AO12)</f>
        <v/>
      </c>
      <c r="AS12" s="6">
        <f>AL12-AR12</f>
        <v/>
      </c>
      <c r="AT12" s="6">
        <f>AB12-AC12</f>
        <v/>
      </c>
    </row>
    <row r="13">
      <c r="A13" s="2" t="n"/>
      <c r="B13" s="3" t="n"/>
      <c r="C13" s="4" t="n"/>
      <c r="D13" s="5" t="n"/>
      <c r="E13" s="3" t="n"/>
      <c r="F13" s="4" t="n"/>
      <c r="G13" s="5" t="n"/>
      <c r="H13" s="3" t="n"/>
      <c r="I13" s="4" t="n"/>
      <c r="J13" s="5" t="n"/>
      <c r="K13" s="3" t="n"/>
      <c r="L13" s="4" t="n"/>
      <c r="M13" s="5" t="n"/>
      <c r="N13" s="3" t="n"/>
      <c r="O13" s="4" t="n"/>
      <c r="P13" s="5" t="n"/>
      <c r="Q13" s="3" t="n"/>
      <c r="R13" s="4" t="n"/>
      <c r="S13" s="5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6">
        <f>IF(C13=0,0,IF(E13="",B13*D13/100,E13))</f>
        <v/>
      </c>
      <c r="AE13" s="6">
        <f>IF(F13=0,0,IF(H13="",B13*G13/100,H13))</f>
        <v/>
      </c>
      <c r="AF13" s="6">
        <f>IF(I13=0,0,IF(K13="",B13*J13/100,K13))</f>
        <v/>
      </c>
      <c r="AG13" s="6">
        <f>IF(L13=0,0,IF(N13="",B13*M13/100,N13))</f>
        <v/>
      </c>
      <c r="AH13" s="6">
        <f>IF(O13=0,0,IF(Q13="",B13*P13/100,Q13))</f>
        <v/>
      </c>
      <c r="AI13" s="6">
        <f>IF(R13=0,0,IF(T13="",B13*S13/100,T13))</f>
        <v/>
      </c>
      <c r="AJ13" s="6">
        <f>B13*0.035</f>
        <v/>
      </c>
      <c r="AK13" s="6">
        <f>B13*0.065</f>
        <v/>
      </c>
      <c r="AL13" s="6">
        <f>SUM(B13,AD13,AE13,AF13,AG13,AH13,AI13,U13,V13,AJ13,AK13)</f>
        <v/>
      </c>
      <c r="AM13" s="6">
        <f>B13*0.055</f>
        <v/>
      </c>
      <c r="AN13" s="6">
        <f>B13*0.035</f>
        <v/>
      </c>
      <c r="AO13" s="6">
        <f>B13*0.165</f>
        <v/>
      </c>
      <c r="AP13" s="6">
        <f>MAX(0,AL13-AM13-AO13)</f>
        <v/>
      </c>
      <c r="AQ13" s="6">
        <f>IF(AP13&lt;=490,0,IF(AP13&lt;=600,(AP13-490)*0.05,IF(AP13&lt;=730,5.5+(AP13-600)*0.10,IF(AP13&lt;=3896.67,18.5+(AP13-730)*0.175,IF(AP13&lt;=19896.67,572.67+(AP13-3896.67)*0.25,IF(AP13&lt;=50416.67,4572.67+(AP13-19896.67)*0.30,13728.67+(AP13-50416.67)*0.35))))))</f>
        <v/>
      </c>
      <c r="AR13" s="6">
        <f>SUM(AM13,AQ13,W13,X13,Y13,Z13,AA13,AN13,AO13)</f>
        <v/>
      </c>
      <c r="AS13" s="6">
        <f>AL13-AR13</f>
        <v/>
      </c>
      <c r="AT13" s="6">
        <f>AB13-AC13</f>
        <v/>
      </c>
    </row>
    <row r="14">
      <c r="A14" s="2" t="n"/>
      <c r="B14" s="3" t="n"/>
      <c r="C14" s="4" t="n"/>
      <c r="D14" s="5" t="n"/>
      <c r="E14" s="3" t="n"/>
      <c r="F14" s="4" t="n"/>
      <c r="G14" s="5" t="n"/>
      <c r="H14" s="3" t="n"/>
      <c r="I14" s="4" t="n"/>
      <c r="J14" s="5" t="n"/>
      <c r="K14" s="3" t="n"/>
      <c r="L14" s="4" t="n"/>
      <c r="M14" s="5" t="n"/>
      <c r="N14" s="3" t="n"/>
      <c r="O14" s="4" t="n"/>
      <c r="P14" s="5" t="n"/>
      <c r="Q14" s="3" t="n"/>
      <c r="R14" s="4" t="n"/>
      <c r="S14" s="5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6">
        <f>IF(C14=0,0,IF(E14="",B14*D14/100,E14))</f>
        <v/>
      </c>
      <c r="AE14" s="6">
        <f>IF(F14=0,0,IF(H14="",B14*G14/100,H14))</f>
        <v/>
      </c>
      <c r="AF14" s="6">
        <f>IF(I14=0,0,IF(K14="",B14*J14/100,K14))</f>
        <v/>
      </c>
      <c r="AG14" s="6">
        <f>IF(L14=0,0,IF(N14="",B14*M14/100,N14))</f>
        <v/>
      </c>
      <c r="AH14" s="6">
        <f>IF(O14=0,0,IF(Q14="",B14*P14/100,Q14))</f>
        <v/>
      </c>
      <c r="AI14" s="6">
        <f>IF(R14=0,0,IF(T14="",B14*S14/100,T14))</f>
        <v/>
      </c>
      <c r="AJ14" s="6">
        <f>B14*0.035</f>
        <v/>
      </c>
      <c r="AK14" s="6">
        <f>B14*0.065</f>
        <v/>
      </c>
      <c r="AL14" s="6">
        <f>SUM(B14,AD14,AE14,AF14,AG14,AH14,AI14,U14,V14,AJ14,AK14)</f>
        <v/>
      </c>
      <c r="AM14" s="6">
        <f>B14*0.055</f>
        <v/>
      </c>
      <c r="AN14" s="6">
        <f>B14*0.035</f>
        <v/>
      </c>
      <c r="AO14" s="6">
        <f>B14*0.165</f>
        <v/>
      </c>
      <c r="AP14" s="6">
        <f>MAX(0,AL14-AM14-AO14)</f>
        <v/>
      </c>
      <c r="AQ14" s="6">
        <f>IF(AP14&lt;=490,0,IF(AP14&lt;=600,(AP14-490)*0.05,IF(AP14&lt;=730,5.5+(AP14-600)*0.10,IF(AP14&lt;=3896.67,18.5+(AP14-730)*0.175,IF(AP14&lt;=19896.67,572.67+(AP14-3896.67)*0.25,IF(AP14&lt;=50416.67,4572.67+(AP14-19896.67)*0.30,13728.67+(AP14-50416.67)*0.35))))))</f>
        <v/>
      </c>
      <c r="AR14" s="6">
        <f>SUM(AM14,AQ14,W14,X14,Y14,Z14,AA14,AN14,AO14)</f>
        <v/>
      </c>
      <c r="AS14" s="6">
        <f>AL14-AR14</f>
        <v/>
      </c>
      <c r="AT14" s="6">
        <f>AB14-AC14</f>
        <v/>
      </c>
    </row>
    <row r="15">
      <c r="A15" s="2" t="n"/>
      <c r="B15" s="3" t="n"/>
      <c r="C15" s="4" t="n"/>
      <c r="D15" s="5" t="n"/>
      <c r="E15" s="3" t="n"/>
      <c r="F15" s="4" t="n"/>
      <c r="G15" s="5" t="n"/>
      <c r="H15" s="3" t="n"/>
      <c r="I15" s="4" t="n"/>
      <c r="J15" s="5" t="n"/>
      <c r="K15" s="3" t="n"/>
      <c r="L15" s="4" t="n"/>
      <c r="M15" s="5" t="n"/>
      <c r="N15" s="3" t="n"/>
      <c r="O15" s="4" t="n"/>
      <c r="P15" s="5" t="n"/>
      <c r="Q15" s="3" t="n"/>
      <c r="R15" s="4" t="n"/>
      <c r="S15" s="5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6">
        <f>IF(C15=0,0,IF(E15="",B15*D15/100,E15))</f>
        <v/>
      </c>
      <c r="AE15" s="6">
        <f>IF(F15=0,0,IF(H15="",B15*G15/100,H15))</f>
        <v/>
      </c>
      <c r="AF15" s="6">
        <f>IF(I15=0,0,IF(K15="",B15*J15/100,K15))</f>
        <v/>
      </c>
      <c r="AG15" s="6">
        <f>IF(L15=0,0,IF(N15="",B15*M15/100,N15))</f>
        <v/>
      </c>
      <c r="AH15" s="6">
        <f>IF(O15=0,0,IF(Q15="",B15*P15/100,Q15))</f>
        <v/>
      </c>
      <c r="AI15" s="6">
        <f>IF(R15=0,0,IF(T15="",B15*S15/100,T15))</f>
        <v/>
      </c>
      <c r="AJ15" s="6">
        <f>B15*0.035</f>
        <v/>
      </c>
      <c r="AK15" s="6">
        <f>B15*0.065</f>
        <v/>
      </c>
      <c r="AL15" s="6">
        <f>SUM(B15,AD15,AE15,AF15,AG15,AH15,AI15,U15,V15,AJ15,AK15)</f>
        <v/>
      </c>
      <c r="AM15" s="6">
        <f>B15*0.055</f>
        <v/>
      </c>
      <c r="AN15" s="6">
        <f>B15*0.035</f>
        <v/>
      </c>
      <c r="AO15" s="6">
        <f>B15*0.165</f>
        <v/>
      </c>
      <c r="AP15" s="6">
        <f>MAX(0,AL15-AM15-AO15)</f>
        <v/>
      </c>
      <c r="AQ15" s="6">
        <f>IF(AP15&lt;=490,0,IF(AP15&lt;=600,(AP15-490)*0.05,IF(AP15&lt;=730,5.5+(AP15-600)*0.10,IF(AP15&lt;=3896.67,18.5+(AP15-730)*0.175,IF(AP15&lt;=19896.67,572.67+(AP15-3896.67)*0.25,IF(AP15&lt;=50416.67,4572.67+(AP15-19896.67)*0.30,13728.67+(AP15-50416.67)*0.35))))))</f>
        <v/>
      </c>
      <c r="AR15" s="6">
        <f>SUM(AM15,AQ15,W15,X15,Y15,Z15,AA15,AN15,AO15)</f>
        <v/>
      </c>
      <c r="AS15" s="6">
        <f>AL15-AR15</f>
        <v/>
      </c>
      <c r="AT15" s="6">
        <f>AB15-AC15</f>
        <v/>
      </c>
    </row>
    <row r="16">
      <c r="A16" s="2" t="n"/>
      <c r="B16" s="3" t="n"/>
      <c r="C16" s="4" t="n"/>
      <c r="D16" s="5" t="n"/>
      <c r="E16" s="3" t="n"/>
      <c r="F16" s="4" t="n"/>
      <c r="G16" s="5" t="n"/>
      <c r="H16" s="3" t="n"/>
      <c r="I16" s="4" t="n"/>
      <c r="J16" s="5" t="n"/>
      <c r="K16" s="3" t="n"/>
      <c r="L16" s="4" t="n"/>
      <c r="M16" s="5" t="n"/>
      <c r="N16" s="3" t="n"/>
      <c r="O16" s="4" t="n"/>
      <c r="P16" s="5" t="n"/>
      <c r="Q16" s="3" t="n"/>
      <c r="R16" s="4" t="n"/>
      <c r="S16" s="5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6">
        <f>IF(C16=0,0,IF(E16="",B16*D16/100,E16))</f>
        <v/>
      </c>
      <c r="AE16" s="6">
        <f>IF(F16=0,0,IF(H16="",B16*G16/100,H16))</f>
        <v/>
      </c>
      <c r="AF16" s="6">
        <f>IF(I16=0,0,IF(K16="",B16*J16/100,K16))</f>
        <v/>
      </c>
      <c r="AG16" s="6">
        <f>IF(L16=0,0,IF(N16="",B16*M16/100,N16))</f>
        <v/>
      </c>
      <c r="AH16" s="6">
        <f>IF(O16=0,0,IF(Q16="",B16*P16/100,Q16))</f>
        <v/>
      </c>
      <c r="AI16" s="6">
        <f>IF(R16=0,0,IF(T16="",B16*S16/100,T16))</f>
        <v/>
      </c>
      <c r="AJ16" s="6">
        <f>B16*0.035</f>
        <v/>
      </c>
      <c r="AK16" s="6">
        <f>B16*0.065</f>
        <v/>
      </c>
      <c r="AL16" s="6">
        <f>SUM(B16,AD16,AE16,AF16,AG16,AH16,AI16,U16,V16,AJ16,AK16)</f>
        <v/>
      </c>
      <c r="AM16" s="6">
        <f>B16*0.055</f>
        <v/>
      </c>
      <c r="AN16" s="6">
        <f>B16*0.035</f>
        <v/>
      </c>
      <c r="AO16" s="6">
        <f>B16*0.165</f>
        <v/>
      </c>
      <c r="AP16" s="6">
        <f>MAX(0,AL16-AM16-AO16)</f>
        <v/>
      </c>
      <c r="AQ16" s="6">
        <f>IF(AP16&lt;=490,0,IF(AP16&lt;=600,(AP16-490)*0.05,IF(AP16&lt;=730,5.5+(AP16-600)*0.10,IF(AP16&lt;=3896.67,18.5+(AP16-730)*0.175,IF(AP16&lt;=19896.67,572.67+(AP16-3896.67)*0.25,IF(AP16&lt;=50416.67,4572.67+(AP16-19896.67)*0.30,13728.67+(AP16-50416.67)*0.35))))))</f>
        <v/>
      </c>
      <c r="AR16" s="6">
        <f>SUM(AM16,AQ16,W16,X16,Y16,Z16,AA16,AN16,AO16)</f>
        <v/>
      </c>
      <c r="AS16" s="6">
        <f>AL16-AR16</f>
        <v/>
      </c>
      <c r="AT16" s="6">
        <f>AB16-AC16</f>
        <v/>
      </c>
    </row>
    <row r="17">
      <c r="A17" s="2" t="n"/>
      <c r="B17" s="3" t="n"/>
      <c r="C17" s="4" t="n"/>
      <c r="D17" s="5" t="n"/>
      <c r="E17" s="3" t="n"/>
      <c r="F17" s="4" t="n"/>
      <c r="G17" s="5" t="n"/>
      <c r="H17" s="3" t="n"/>
      <c r="I17" s="4" t="n"/>
      <c r="J17" s="5" t="n"/>
      <c r="K17" s="3" t="n"/>
      <c r="L17" s="4" t="n"/>
      <c r="M17" s="5" t="n"/>
      <c r="N17" s="3" t="n"/>
      <c r="O17" s="4" t="n"/>
      <c r="P17" s="5" t="n"/>
      <c r="Q17" s="3" t="n"/>
      <c r="R17" s="4" t="n"/>
      <c r="S17" s="5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6">
        <f>IF(C17=0,0,IF(E17="",B17*D17/100,E17))</f>
        <v/>
      </c>
      <c r="AE17" s="6">
        <f>IF(F17=0,0,IF(H17="",B17*G17/100,H17))</f>
        <v/>
      </c>
      <c r="AF17" s="6">
        <f>IF(I17=0,0,IF(K17="",B17*J17/100,K17))</f>
        <v/>
      </c>
      <c r="AG17" s="6">
        <f>IF(L17=0,0,IF(N17="",B17*M17/100,N17))</f>
        <v/>
      </c>
      <c r="AH17" s="6">
        <f>IF(O17=0,0,IF(Q17="",B17*P17/100,Q17))</f>
        <v/>
      </c>
      <c r="AI17" s="6">
        <f>IF(R17=0,0,IF(T17="",B17*S17/100,T17))</f>
        <v/>
      </c>
      <c r="AJ17" s="6">
        <f>B17*0.035</f>
        <v/>
      </c>
      <c r="AK17" s="6">
        <f>B17*0.065</f>
        <v/>
      </c>
      <c r="AL17" s="6">
        <f>SUM(B17,AD17,AE17,AF17,AG17,AH17,AI17,U17,V17,AJ17,AK17)</f>
        <v/>
      </c>
      <c r="AM17" s="6">
        <f>B17*0.055</f>
        <v/>
      </c>
      <c r="AN17" s="6">
        <f>B17*0.035</f>
        <v/>
      </c>
      <c r="AO17" s="6">
        <f>B17*0.165</f>
        <v/>
      </c>
      <c r="AP17" s="6">
        <f>MAX(0,AL17-AM17-AO17)</f>
        <v/>
      </c>
      <c r="AQ17" s="6">
        <f>IF(AP17&lt;=490,0,IF(AP17&lt;=600,(AP17-490)*0.05,IF(AP17&lt;=730,5.5+(AP17-600)*0.10,IF(AP17&lt;=3896.67,18.5+(AP17-730)*0.175,IF(AP17&lt;=19896.67,572.67+(AP17-3896.67)*0.25,IF(AP17&lt;=50416.67,4572.67+(AP17-19896.67)*0.30,13728.67+(AP17-50416.67)*0.35))))))</f>
        <v/>
      </c>
      <c r="AR17" s="6">
        <f>SUM(AM17,AQ17,W17,X17,Y17,Z17,AA17,AN17,AO17)</f>
        <v/>
      </c>
      <c r="AS17" s="6">
        <f>AL17-AR17</f>
        <v/>
      </c>
      <c r="AT17" s="6">
        <f>AB17-AC17</f>
        <v/>
      </c>
    </row>
    <row r="18">
      <c r="A18" s="2" t="n"/>
      <c r="B18" s="3" t="n"/>
      <c r="C18" s="4" t="n"/>
      <c r="D18" s="5" t="n"/>
      <c r="E18" s="3" t="n"/>
      <c r="F18" s="4" t="n"/>
      <c r="G18" s="5" t="n"/>
      <c r="H18" s="3" t="n"/>
      <c r="I18" s="4" t="n"/>
      <c r="J18" s="5" t="n"/>
      <c r="K18" s="3" t="n"/>
      <c r="L18" s="4" t="n"/>
      <c r="M18" s="5" t="n"/>
      <c r="N18" s="3" t="n"/>
      <c r="O18" s="4" t="n"/>
      <c r="P18" s="5" t="n"/>
      <c r="Q18" s="3" t="n"/>
      <c r="R18" s="4" t="n"/>
      <c r="S18" s="5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6">
        <f>IF(C18=0,0,IF(E18="",B18*D18/100,E18))</f>
        <v/>
      </c>
      <c r="AE18" s="6">
        <f>IF(F18=0,0,IF(H18="",B18*G18/100,H18))</f>
        <v/>
      </c>
      <c r="AF18" s="6">
        <f>IF(I18=0,0,IF(K18="",B18*J18/100,K18))</f>
        <v/>
      </c>
      <c r="AG18" s="6">
        <f>IF(L18=0,0,IF(N18="",B18*M18/100,N18))</f>
        <v/>
      </c>
      <c r="AH18" s="6">
        <f>IF(O18=0,0,IF(Q18="",B18*P18/100,Q18))</f>
        <v/>
      </c>
      <c r="AI18" s="6">
        <f>IF(R18=0,0,IF(T18="",B18*S18/100,T18))</f>
        <v/>
      </c>
      <c r="AJ18" s="6">
        <f>B18*0.035</f>
        <v/>
      </c>
      <c r="AK18" s="6">
        <f>B18*0.065</f>
        <v/>
      </c>
      <c r="AL18" s="6">
        <f>SUM(B18,AD18,AE18,AF18,AG18,AH18,AI18,U18,V18,AJ18,AK18)</f>
        <v/>
      </c>
      <c r="AM18" s="6">
        <f>B18*0.055</f>
        <v/>
      </c>
      <c r="AN18" s="6">
        <f>B18*0.035</f>
        <v/>
      </c>
      <c r="AO18" s="6">
        <f>B18*0.165</f>
        <v/>
      </c>
      <c r="AP18" s="6">
        <f>MAX(0,AL18-AM18-AO18)</f>
        <v/>
      </c>
      <c r="AQ18" s="6">
        <f>IF(AP18&lt;=490,0,IF(AP18&lt;=600,(AP18-490)*0.05,IF(AP18&lt;=730,5.5+(AP18-600)*0.10,IF(AP18&lt;=3896.67,18.5+(AP18-730)*0.175,IF(AP18&lt;=19896.67,572.67+(AP18-3896.67)*0.25,IF(AP18&lt;=50416.67,4572.67+(AP18-19896.67)*0.30,13728.67+(AP18-50416.67)*0.35))))))</f>
        <v/>
      </c>
      <c r="AR18" s="6">
        <f>SUM(AM18,AQ18,W18,X18,Y18,Z18,AA18,AN18,AO18)</f>
        <v/>
      </c>
      <c r="AS18" s="6">
        <f>AL18-AR18</f>
        <v/>
      </c>
      <c r="AT18" s="6">
        <f>AB18-AC18</f>
        <v/>
      </c>
    </row>
    <row r="19">
      <c r="A19" s="2" t="n"/>
      <c r="B19" s="3" t="n"/>
      <c r="C19" s="4" t="n"/>
      <c r="D19" s="5" t="n"/>
      <c r="E19" s="3" t="n"/>
      <c r="F19" s="4" t="n"/>
      <c r="G19" s="5" t="n"/>
      <c r="H19" s="3" t="n"/>
      <c r="I19" s="4" t="n"/>
      <c r="J19" s="5" t="n"/>
      <c r="K19" s="3" t="n"/>
      <c r="L19" s="4" t="n"/>
      <c r="M19" s="5" t="n"/>
      <c r="N19" s="3" t="n"/>
      <c r="O19" s="4" t="n"/>
      <c r="P19" s="5" t="n"/>
      <c r="Q19" s="3" t="n"/>
      <c r="R19" s="4" t="n"/>
      <c r="S19" s="5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6">
        <f>IF(C19=0,0,IF(E19="",B19*D19/100,E19))</f>
        <v/>
      </c>
      <c r="AE19" s="6">
        <f>IF(F19=0,0,IF(H19="",B19*G19/100,H19))</f>
        <v/>
      </c>
      <c r="AF19" s="6">
        <f>IF(I19=0,0,IF(K19="",B19*J19/100,K19))</f>
        <v/>
      </c>
      <c r="AG19" s="6">
        <f>IF(L19=0,0,IF(N19="",B19*M19/100,N19))</f>
        <v/>
      </c>
      <c r="AH19" s="6">
        <f>IF(O19=0,0,IF(Q19="",B19*P19/100,Q19))</f>
        <v/>
      </c>
      <c r="AI19" s="6">
        <f>IF(R19=0,0,IF(T19="",B19*S19/100,T19))</f>
        <v/>
      </c>
      <c r="AJ19" s="6">
        <f>B19*0.035</f>
        <v/>
      </c>
      <c r="AK19" s="6">
        <f>B19*0.065</f>
        <v/>
      </c>
      <c r="AL19" s="6">
        <f>SUM(B19,AD19,AE19,AF19,AG19,AH19,AI19,U19,V19,AJ19,AK19)</f>
        <v/>
      </c>
      <c r="AM19" s="6">
        <f>B19*0.055</f>
        <v/>
      </c>
      <c r="AN19" s="6">
        <f>B19*0.035</f>
        <v/>
      </c>
      <c r="AO19" s="6">
        <f>B19*0.165</f>
        <v/>
      </c>
      <c r="AP19" s="6">
        <f>MAX(0,AL19-AM19-AO19)</f>
        <v/>
      </c>
      <c r="AQ19" s="6">
        <f>IF(AP19&lt;=490,0,IF(AP19&lt;=600,(AP19-490)*0.05,IF(AP19&lt;=730,5.5+(AP19-600)*0.10,IF(AP19&lt;=3896.67,18.5+(AP19-730)*0.175,IF(AP19&lt;=19896.67,572.67+(AP19-3896.67)*0.25,IF(AP19&lt;=50416.67,4572.67+(AP19-19896.67)*0.30,13728.67+(AP19-50416.67)*0.35))))))</f>
        <v/>
      </c>
      <c r="AR19" s="6">
        <f>SUM(AM19,AQ19,W19,X19,Y19,Z19,AA19,AN19,AO19)</f>
        <v/>
      </c>
      <c r="AS19" s="6">
        <f>AL19-AR19</f>
        <v/>
      </c>
      <c r="AT19" s="6">
        <f>AB19-AC19</f>
        <v/>
      </c>
    </row>
    <row r="20">
      <c r="A20" s="2" t="n"/>
      <c r="B20" s="3" t="n"/>
      <c r="C20" s="4" t="n"/>
      <c r="D20" s="5" t="n"/>
      <c r="E20" s="3" t="n"/>
      <c r="F20" s="4" t="n"/>
      <c r="G20" s="5" t="n"/>
      <c r="H20" s="3" t="n"/>
      <c r="I20" s="4" t="n"/>
      <c r="J20" s="5" t="n"/>
      <c r="K20" s="3" t="n"/>
      <c r="L20" s="4" t="n"/>
      <c r="M20" s="5" t="n"/>
      <c r="N20" s="3" t="n"/>
      <c r="O20" s="4" t="n"/>
      <c r="P20" s="5" t="n"/>
      <c r="Q20" s="3" t="n"/>
      <c r="R20" s="4" t="n"/>
      <c r="S20" s="5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6">
        <f>IF(C20=0,0,IF(E20="",B20*D20/100,E20))</f>
        <v/>
      </c>
      <c r="AE20" s="6">
        <f>IF(F20=0,0,IF(H20="",B20*G20/100,H20))</f>
        <v/>
      </c>
      <c r="AF20" s="6">
        <f>IF(I20=0,0,IF(K20="",B20*J20/100,K20))</f>
        <v/>
      </c>
      <c r="AG20" s="6">
        <f>IF(L20=0,0,IF(N20="",B20*M20/100,N20))</f>
        <v/>
      </c>
      <c r="AH20" s="6">
        <f>IF(O20=0,0,IF(Q20="",B20*P20/100,Q20))</f>
        <v/>
      </c>
      <c r="AI20" s="6">
        <f>IF(R20=0,0,IF(T20="",B20*S20/100,T20))</f>
        <v/>
      </c>
      <c r="AJ20" s="6">
        <f>B20*0.035</f>
        <v/>
      </c>
      <c r="AK20" s="6">
        <f>B20*0.065</f>
        <v/>
      </c>
      <c r="AL20" s="6">
        <f>SUM(B20,AD20,AE20,AF20,AG20,AH20,AI20,U20,V20,AJ20,AK20)</f>
        <v/>
      </c>
      <c r="AM20" s="6">
        <f>B20*0.055</f>
        <v/>
      </c>
      <c r="AN20" s="6">
        <f>B20*0.035</f>
        <v/>
      </c>
      <c r="AO20" s="6">
        <f>B20*0.165</f>
        <v/>
      </c>
      <c r="AP20" s="6">
        <f>MAX(0,AL20-AM20-AO20)</f>
        <v/>
      </c>
      <c r="AQ20" s="6">
        <f>IF(AP20&lt;=490,0,IF(AP20&lt;=600,(AP20-490)*0.05,IF(AP20&lt;=730,5.5+(AP20-600)*0.10,IF(AP20&lt;=3896.67,18.5+(AP20-730)*0.175,IF(AP20&lt;=19896.67,572.67+(AP20-3896.67)*0.25,IF(AP20&lt;=50416.67,4572.67+(AP20-19896.67)*0.30,13728.67+(AP20-50416.67)*0.35))))))</f>
        <v/>
      </c>
      <c r="AR20" s="6">
        <f>SUM(AM20,AQ20,W20,X20,Y20,Z20,AA20,AN20,AO20)</f>
        <v/>
      </c>
      <c r="AS20" s="6">
        <f>AL20-AR20</f>
        <v/>
      </c>
      <c r="AT20" s="6">
        <f>AB20-AC20</f>
        <v/>
      </c>
    </row>
    <row r="21">
      <c r="A21" s="2" t="n"/>
      <c r="B21" s="3" t="n"/>
      <c r="C21" s="4" t="n"/>
      <c r="D21" s="5" t="n"/>
      <c r="E21" s="3" t="n"/>
      <c r="F21" s="4" t="n"/>
      <c r="G21" s="5" t="n"/>
      <c r="H21" s="3" t="n"/>
      <c r="I21" s="4" t="n"/>
      <c r="J21" s="5" t="n"/>
      <c r="K21" s="3" t="n"/>
      <c r="L21" s="4" t="n"/>
      <c r="M21" s="5" t="n"/>
      <c r="N21" s="3" t="n"/>
      <c r="O21" s="4" t="n"/>
      <c r="P21" s="5" t="n"/>
      <c r="Q21" s="3" t="n"/>
      <c r="R21" s="4" t="n"/>
      <c r="S21" s="5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6">
        <f>IF(C21=0,0,IF(E21="",B21*D21/100,E21))</f>
        <v/>
      </c>
      <c r="AE21" s="6">
        <f>IF(F21=0,0,IF(H21="",B21*G21/100,H21))</f>
        <v/>
      </c>
      <c r="AF21" s="6">
        <f>IF(I21=0,0,IF(K21="",B21*J21/100,K21))</f>
        <v/>
      </c>
      <c r="AG21" s="6">
        <f>IF(L21=0,0,IF(N21="",B21*M21/100,N21))</f>
        <v/>
      </c>
      <c r="AH21" s="6">
        <f>IF(O21=0,0,IF(Q21="",B21*P21/100,Q21))</f>
        <v/>
      </c>
      <c r="AI21" s="6">
        <f>IF(R21=0,0,IF(T21="",B21*S21/100,T21))</f>
        <v/>
      </c>
      <c r="AJ21" s="6">
        <f>B21*0.035</f>
        <v/>
      </c>
      <c r="AK21" s="6">
        <f>B21*0.065</f>
        <v/>
      </c>
      <c r="AL21" s="6">
        <f>SUM(B21,AD21,AE21,AF21,AG21,AH21,AI21,U21,V21,AJ21,AK21)</f>
        <v/>
      </c>
      <c r="AM21" s="6">
        <f>B21*0.055</f>
        <v/>
      </c>
      <c r="AN21" s="6">
        <f>B21*0.035</f>
        <v/>
      </c>
      <c r="AO21" s="6">
        <f>B21*0.165</f>
        <v/>
      </c>
      <c r="AP21" s="6">
        <f>MAX(0,AL21-AM21-AO21)</f>
        <v/>
      </c>
      <c r="AQ21" s="6">
        <f>IF(AP21&lt;=490,0,IF(AP21&lt;=600,(AP21-490)*0.05,IF(AP21&lt;=730,5.5+(AP21-600)*0.10,IF(AP21&lt;=3896.67,18.5+(AP21-730)*0.175,IF(AP21&lt;=19896.67,572.67+(AP21-3896.67)*0.25,IF(AP21&lt;=50416.67,4572.67+(AP21-19896.67)*0.30,13728.67+(AP21-50416.67)*0.35))))))</f>
        <v/>
      </c>
      <c r="AR21" s="6">
        <f>SUM(AM21,AQ21,W21,X21,Y21,Z21,AA21,AN21,AO21)</f>
        <v/>
      </c>
      <c r="AS21" s="6">
        <f>AL21-AR21</f>
        <v/>
      </c>
      <c r="AT21" s="6">
        <f>AB21-AC21</f>
        <v/>
      </c>
    </row>
    <row r="22">
      <c r="A22" s="2" t="n"/>
      <c r="B22" s="3" t="n"/>
      <c r="C22" s="4" t="n"/>
      <c r="D22" s="5" t="n"/>
      <c r="E22" s="3" t="n"/>
      <c r="F22" s="4" t="n"/>
      <c r="G22" s="5" t="n"/>
      <c r="H22" s="3" t="n"/>
      <c r="I22" s="4" t="n"/>
      <c r="J22" s="5" t="n"/>
      <c r="K22" s="3" t="n"/>
      <c r="L22" s="4" t="n"/>
      <c r="M22" s="5" t="n"/>
      <c r="N22" s="3" t="n"/>
      <c r="O22" s="4" t="n"/>
      <c r="P22" s="5" t="n"/>
      <c r="Q22" s="3" t="n"/>
      <c r="R22" s="4" t="n"/>
      <c r="S22" s="5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6">
        <f>IF(C22=0,0,IF(E22="",B22*D22/100,E22))</f>
        <v/>
      </c>
      <c r="AE22" s="6">
        <f>IF(F22=0,0,IF(H22="",B22*G22/100,H22))</f>
        <v/>
      </c>
      <c r="AF22" s="6">
        <f>IF(I22=0,0,IF(K22="",B22*J22/100,K22))</f>
        <v/>
      </c>
      <c r="AG22" s="6">
        <f>IF(L22=0,0,IF(N22="",B22*M22/100,N22))</f>
        <v/>
      </c>
      <c r="AH22" s="6">
        <f>IF(O22=0,0,IF(Q22="",B22*P22/100,Q22))</f>
        <v/>
      </c>
      <c r="AI22" s="6">
        <f>IF(R22=0,0,IF(T22="",B22*S22/100,T22))</f>
        <v/>
      </c>
      <c r="AJ22" s="6">
        <f>B22*0.035</f>
        <v/>
      </c>
      <c r="AK22" s="6">
        <f>B22*0.065</f>
        <v/>
      </c>
      <c r="AL22" s="6">
        <f>SUM(B22,AD22,AE22,AF22,AG22,AH22,AI22,U22,V22,AJ22,AK22)</f>
        <v/>
      </c>
      <c r="AM22" s="6">
        <f>B22*0.055</f>
        <v/>
      </c>
      <c r="AN22" s="6">
        <f>B22*0.035</f>
        <v/>
      </c>
      <c r="AO22" s="6">
        <f>B22*0.165</f>
        <v/>
      </c>
      <c r="AP22" s="6">
        <f>MAX(0,AL22-AM22-AO22)</f>
        <v/>
      </c>
      <c r="AQ22" s="6">
        <f>IF(AP22&lt;=490,0,IF(AP22&lt;=600,(AP22-490)*0.05,IF(AP22&lt;=730,5.5+(AP22-600)*0.10,IF(AP22&lt;=3896.67,18.5+(AP22-730)*0.175,IF(AP22&lt;=19896.67,572.67+(AP22-3896.67)*0.25,IF(AP22&lt;=50416.67,4572.67+(AP22-19896.67)*0.30,13728.67+(AP22-50416.67)*0.35))))))</f>
        <v/>
      </c>
      <c r="AR22" s="6">
        <f>SUM(AM22,AQ22,W22,X22,Y22,Z22,AA22,AN22,AO22)</f>
        <v/>
      </c>
      <c r="AS22" s="6">
        <f>AL22-AR22</f>
        <v/>
      </c>
      <c r="AT22" s="6">
        <f>AB22-AC22</f>
        <v/>
      </c>
    </row>
    <row r="23">
      <c r="A23" s="2" t="n"/>
      <c r="B23" s="3" t="n"/>
      <c r="C23" s="4" t="n"/>
      <c r="D23" s="5" t="n"/>
      <c r="E23" s="3" t="n"/>
      <c r="F23" s="4" t="n"/>
      <c r="G23" s="5" t="n"/>
      <c r="H23" s="3" t="n"/>
      <c r="I23" s="4" t="n"/>
      <c r="J23" s="5" t="n"/>
      <c r="K23" s="3" t="n"/>
      <c r="L23" s="4" t="n"/>
      <c r="M23" s="5" t="n"/>
      <c r="N23" s="3" t="n"/>
      <c r="O23" s="4" t="n"/>
      <c r="P23" s="5" t="n"/>
      <c r="Q23" s="3" t="n"/>
      <c r="R23" s="4" t="n"/>
      <c r="S23" s="5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6">
        <f>IF(C23=0,0,IF(E23="",B23*D23/100,E23))</f>
        <v/>
      </c>
      <c r="AE23" s="6">
        <f>IF(F23=0,0,IF(H23="",B23*G23/100,H23))</f>
        <v/>
      </c>
      <c r="AF23" s="6">
        <f>IF(I23=0,0,IF(K23="",B23*J23/100,K23))</f>
        <v/>
      </c>
      <c r="AG23" s="6">
        <f>IF(L23=0,0,IF(N23="",B23*M23/100,N23))</f>
        <v/>
      </c>
      <c r="AH23" s="6">
        <f>IF(O23=0,0,IF(Q23="",B23*P23/100,Q23))</f>
        <v/>
      </c>
      <c r="AI23" s="6">
        <f>IF(R23=0,0,IF(T23="",B23*S23/100,T23))</f>
        <v/>
      </c>
      <c r="AJ23" s="6">
        <f>B23*0.035</f>
        <v/>
      </c>
      <c r="AK23" s="6">
        <f>B23*0.065</f>
        <v/>
      </c>
      <c r="AL23" s="6">
        <f>SUM(B23,AD23,AE23,AF23,AG23,AH23,AI23,U23,V23,AJ23,AK23)</f>
        <v/>
      </c>
      <c r="AM23" s="6">
        <f>B23*0.055</f>
        <v/>
      </c>
      <c r="AN23" s="6">
        <f>B23*0.035</f>
        <v/>
      </c>
      <c r="AO23" s="6">
        <f>B23*0.165</f>
        <v/>
      </c>
      <c r="AP23" s="6">
        <f>MAX(0,AL23-AM23-AO23)</f>
        <v/>
      </c>
      <c r="AQ23" s="6">
        <f>IF(AP23&lt;=490,0,IF(AP23&lt;=600,(AP23-490)*0.05,IF(AP23&lt;=730,5.5+(AP23-600)*0.10,IF(AP23&lt;=3896.67,18.5+(AP23-730)*0.175,IF(AP23&lt;=19896.67,572.67+(AP23-3896.67)*0.25,IF(AP23&lt;=50416.67,4572.67+(AP23-19896.67)*0.30,13728.67+(AP23-50416.67)*0.35))))))</f>
        <v/>
      </c>
      <c r="AR23" s="6">
        <f>SUM(AM23,AQ23,W23,X23,Y23,Z23,AA23,AN23,AO23)</f>
        <v/>
      </c>
      <c r="AS23" s="6">
        <f>AL23-AR23</f>
        <v/>
      </c>
      <c r="AT23" s="6">
        <f>AB23-AC23</f>
        <v/>
      </c>
    </row>
    <row r="24">
      <c r="A24" s="2" t="n"/>
      <c r="B24" s="3" t="n"/>
      <c r="C24" s="4" t="n"/>
      <c r="D24" s="5" t="n"/>
      <c r="E24" s="3" t="n"/>
      <c r="F24" s="4" t="n"/>
      <c r="G24" s="5" t="n"/>
      <c r="H24" s="3" t="n"/>
      <c r="I24" s="4" t="n"/>
      <c r="J24" s="5" t="n"/>
      <c r="K24" s="3" t="n"/>
      <c r="L24" s="4" t="n"/>
      <c r="M24" s="5" t="n"/>
      <c r="N24" s="3" t="n"/>
      <c r="O24" s="4" t="n"/>
      <c r="P24" s="5" t="n"/>
      <c r="Q24" s="3" t="n"/>
      <c r="R24" s="4" t="n"/>
      <c r="S24" s="5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6">
        <f>IF(C24=0,0,IF(E24="",B24*D24/100,E24))</f>
        <v/>
      </c>
      <c r="AE24" s="6">
        <f>IF(F24=0,0,IF(H24="",B24*G24/100,H24))</f>
        <v/>
      </c>
      <c r="AF24" s="6">
        <f>IF(I24=0,0,IF(K24="",B24*J24/100,K24))</f>
        <v/>
      </c>
      <c r="AG24" s="6">
        <f>IF(L24=0,0,IF(N24="",B24*M24/100,N24))</f>
        <v/>
      </c>
      <c r="AH24" s="6">
        <f>IF(O24=0,0,IF(Q24="",B24*P24/100,Q24))</f>
        <v/>
      </c>
      <c r="AI24" s="6">
        <f>IF(R24=0,0,IF(T24="",B24*S24/100,T24))</f>
        <v/>
      </c>
      <c r="AJ24" s="6">
        <f>B24*0.035</f>
        <v/>
      </c>
      <c r="AK24" s="6">
        <f>B24*0.065</f>
        <v/>
      </c>
      <c r="AL24" s="6">
        <f>SUM(B24,AD24,AE24,AF24,AG24,AH24,AI24,U24,V24,AJ24,AK24)</f>
        <v/>
      </c>
      <c r="AM24" s="6">
        <f>B24*0.055</f>
        <v/>
      </c>
      <c r="AN24" s="6">
        <f>B24*0.035</f>
        <v/>
      </c>
      <c r="AO24" s="6">
        <f>B24*0.165</f>
        <v/>
      </c>
      <c r="AP24" s="6">
        <f>MAX(0,AL24-AM24-AO24)</f>
        <v/>
      </c>
      <c r="AQ24" s="6">
        <f>IF(AP24&lt;=490,0,IF(AP24&lt;=600,(AP24-490)*0.05,IF(AP24&lt;=730,5.5+(AP24-600)*0.10,IF(AP24&lt;=3896.67,18.5+(AP24-730)*0.175,IF(AP24&lt;=19896.67,572.67+(AP24-3896.67)*0.25,IF(AP24&lt;=50416.67,4572.67+(AP24-19896.67)*0.30,13728.67+(AP24-50416.67)*0.35))))))</f>
        <v/>
      </c>
      <c r="AR24" s="6">
        <f>SUM(AM24,AQ24,W24,X24,Y24,Z24,AA24,AN24,AO24)</f>
        <v/>
      </c>
      <c r="AS24" s="6">
        <f>AL24-AR24</f>
        <v/>
      </c>
      <c r="AT24" s="6">
        <f>AB24-AC24</f>
        <v/>
      </c>
    </row>
    <row r="25">
      <c r="A25" s="2" t="n"/>
      <c r="B25" s="3" t="n"/>
      <c r="C25" s="4" t="n"/>
      <c r="D25" s="5" t="n"/>
      <c r="E25" s="3" t="n"/>
      <c r="F25" s="4" t="n"/>
      <c r="G25" s="5" t="n"/>
      <c r="H25" s="3" t="n"/>
      <c r="I25" s="4" t="n"/>
      <c r="J25" s="5" t="n"/>
      <c r="K25" s="3" t="n"/>
      <c r="L25" s="4" t="n"/>
      <c r="M25" s="5" t="n"/>
      <c r="N25" s="3" t="n"/>
      <c r="O25" s="4" t="n"/>
      <c r="P25" s="5" t="n"/>
      <c r="Q25" s="3" t="n"/>
      <c r="R25" s="4" t="n"/>
      <c r="S25" s="5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6">
        <f>IF(C25=0,0,IF(E25="",B25*D25/100,E25))</f>
        <v/>
      </c>
      <c r="AE25" s="6">
        <f>IF(F25=0,0,IF(H25="",B25*G25/100,H25))</f>
        <v/>
      </c>
      <c r="AF25" s="6">
        <f>IF(I25=0,0,IF(K25="",B25*J25/100,K25))</f>
        <v/>
      </c>
      <c r="AG25" s="6">
        <f>IF(L25=0,0,IF(N25="",B25*M25/100,N25))</f>
        <v/>
      </c>
      <c r="AH25" s="6">
        <f>IF(O25=0,0,IF(Q25="",B25*P25/100,Q25))</f>
        <v/>
      </c>
      <c r="AI25" s="6">
        <f>IF(R25=0,0,IF(T25="",B25*S25/100,T25))</f>
        <v/>
      </c>
      <c r="AJ25" s="6">
        <f>B25*0.035</f>
        <v/>
      </c>
      <c r="AK25" s="6">
        <f>B25*0.065</f>
        <v/>
      </c>
      <c r="AL25" s="6">
        <f>SUM(B25,AD25,AE25,AF25,AG25,AH25,AI25,U25,V25,AJ25,AK25)</f>
        <v/>
      </c>
      <c r="AM25" s="6">
        <f>B25*0.055</f>
        <v/>
      </c>
      <c r="AN25" s="6">
        <f>B25*0.035</f>
        <v/>
      </c>
      <c r="AO25" s="6">
        <f>B25*0.165</f>
        <v/>
      </c>
      <c r="AP25" s="6">
        <f>MAX(0,AL25-AM25-AO25)</f>
        <v/>
      </c>
      <c r="AQ25" s="6">
        <f>IF(AP25&lt;=490,0,IF(AP25&lt;=600,(AP25-490)*0.05,IF(AP25&lt;=730,5.5+(AP25-600)*0.10,IF(AP25&lt;=3896.67,18.5+(AP25-730)*0.175,IF(AP25&lt;=19896.67,572.67+(AP25-3896.67)*0.25,IF(AP25&lt;=50416.67,4572.67+(AP25-19896.67)*0.30,13728.67+(AP25-50416.67)*0.35))))))</f>
        <v/>
      </c>
      <c r="AR25" s="6">
        <f>SUM(AM25,AQ25,W25,X25,Y25,Z25,AA25,AN25,AO25)</f>
        <v/>
      </c>
      <c r="AS25" s="6">
        <f>AL25-AR25</f>
        <v/>
      </c>
      <c r="AT25" s="6">
        <f>AB25-AC25</f>
        <v/>
      </c>
    </row>
    <row r="26">
      <c r="A26" s="2" t="n"/>
      <c r="B26" s="3" t="n"/>
      <c r="C26" s="4" t="n"/>
      <c r="D26" s="5" t="n"/>
      <c r="E26" s="3" t="n"/>
      <c r="F26" s="4" t="n"/>
      <c r="G26" s="5" t="n"/>
      <c r="H26" s="3" t="n"/>
      <c r="I26" s="4" t="n"/>
      <c r="J26" s="5" t="n"/>
      <c r="K26" s="3" t="n"/>
      <c r="L26" s="4" t="n"/>
      <c r="M26" s="5" t="n"/>
      <c r="N26" s="3" t="n"/>
      <c r="O26" s="4" t="n"/>
      <c r="P26" s="5" t="n"/>
      <c r="Q26" s="3" t="n"/>
      <c r="R26" s="4" t="n"/>
      <c r="S26" s="5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6">
        <f>IF(C26=0,0,IF(E26="",B26*D26/100,E26))</f>
        <v/>
      </c>
      <c r="AE26" s="6">
        <f>IF(F26=0,0,IF(H26="",B26*G26/100,H26))</f>
        <v/>
      </c>
      <c r="AF26" s="6">
        <f>IF(I26=0,0,IF(K26="",B26*J26/100,K26))</f>
        <v/>
      </c>
      <c r="AG26" s="6">
        <f>IF(L26=0,0,IF(N26="",B26*M26/100,N26))</f>
        <v/>
      </c>
      <c r="AH26" s="6">
        <f>IF(O26=0,0,IF(Q26="",B26*P26/100,Q26))</f>
        <v/>
      </c>
      <c r="AI26" s="6">
        <f>IF(R26=0,0,IF(T26="",B26*S26/100,T26))</f>
        <v/>
      </c>
      <c r="AJ26" s="6">
        <f>B26*0.035</f>
        <v/>
      </c>
      <c r="AK26" s="6">
        <f>B26*0.065</f>
        <v/>
      </c>
      <c r="AL26" s="6">
        <f>SUM(B26,AD26,AE26,AF26,AG26,AH26,AI26,U26,V26,AJ26,AK26)</f>
        <v/>
      </c>
      <c r="AM26" s="6">
        <f>B26*0.055</f>
        <v/>
      </c>
      <c r="AN26" s="6">
        <f>B26*0.035</f>
        <v/>
      </c>
      <c r="AO26" s="6">
        <f>B26*0.165</f>
        <v/>
      </c>
      <c r="AP26" s="6">
        <f>MAX(0,AL26-AM26-AO26)</f>
        <v/>
      </c>
      <c r="AQ26" s="6">
        <f>IF(AP26&lt;=490,0,IF(AP26&lt;=600,(AP26-490)*0.05,IF(AP26&lt;=730,5.5+(AP26-600)*0.10,IF(AP26&lt;=3896.67,18.5+(AP26-730)*0.175,IF(AP26&lt;=19896.67,572.67+(AP26-3896.67)*0.25,IF(AP26&lt;=50416.67,4572.67+(AP26-19896.67)*0.30,13728.67+(AP26-50416.67)*0.35))))))</f>
        <v/>
      </c>
      <c r="AR26" s="6">
        <f>SUM(AM26,AQ26,W26,X26,Y26,Z26,AA26,AN26,AO26)</f>
        <v/>
      </c>
      <c r="AS26" s="6">
        <f>AL26-AR26</f>
        <v/>
      </c>
      <c r="AT26" s="6">
        <f>AB26-AC26</f>
        <v/>
      </c>
    </row>
    <row r="27">
      <c r="A27" s="2" t="n"/>
      <c r="B27" s="3" t="n"/>
      <c r="C27" s="4" t="n"/>
      <c r="D27" s="5" t="n"/>
      <c r="E27" s="3" t="n"/>
      <c r="F27" s="4" t="n"/>
      <c r="G27" s="5" t="n"/>
      <c r="H27" s="3" t="n"/>
      <c r="I27" s="4" t="n"/>
      <c r="J27" s="5" t="n"/>
      <c r="K27" s="3" t="n"/>
      <c r="L27" s="4" t="n"/>
      <c r="M27" s="5" t="n"/>
      <c r="N27" s="3" t="n"/>
      <c r="O27" s="4" t="n"/>
      <c r="P27" s="5" t="n"/>
      <c r="Q27" s="3" t="n"/>
      <c r="R27" s="4" t="n"/>
      <c r="S27" s="5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6">
        <f>IF(C27=0,0,IF(E27="",B27*D27/100,E27))</f>
        <v/>
      </c>
      <c r="AE27" s="6">
        <f>IF(F27=0,0,IF(H27="",B27*G27/100,H27))</f>
        <v/>
      </c>
      <c r="AF27" s="6">
        <f>IF(I27=0,0,IF(K27="",B27*J27/100,K27))</f>
        <v/>
      </c>
      <c r="AG27" s="6">
        <f>IF(L27=0,0,IF(N27="",B27*M27/100,N27))</f>
        <v/>
      </c>
      <c r="AH27" s="6">
        <f>IF(O27=0,0,IF(Q27="",B27*P27/100,Q27))</f>
        <v/>
      </c>
      <c r="AI27" s="6">
        <f>IF(R27=0,0,IF(T27="",B27*S27/100,T27))</f>
        <v/>
      </c>
      <c r="AJ27" s="6">
        <f>B27*0.035</f>
        <v/>
      </c>
      <c r="AK27" s="6">
        <f>B27*0.065</f>
        <v/>
      </c>
      <c r="AL27" s="6">
        <f>SUM(B27,AD27,AE27,AF27,AG27,AH27,AI27,U27,V27,AJ27,AK27)</f>
        <v/>
      </c>
      <c r="AM27" s="6">
        <f>B27*0.055</f>
        <v/>
      </c>
      <c r="AN27" s="6">
        <f>B27*0.035</f>
        <v/>
      </c>
      <c r="AO27" s="6">
        <f>B27*0.165</f>
        <v/>
      </c>
      <c r="AP27" s="6">
        <f>MAX(0,AL27-AM27-AO27)</f>
        <v/>
      </c>
      <c r="AQ27" s="6">
        <f>IF(AP27&lt;=490,0,IF(AP27&lt;=600,(AP27-490)*0.05,IF(AP27&lt;=730,5.5+(AP27-600)*0.10,IF(AP27&lt;=3896.67,18.5+(AP27-730)*0.175,IF(AP27&lt;=19896.67,572.67+(AP27-3896.67)*0.25,IF(AP27&lt;=50416.67,4572.67+(AP27-19896.67)*0.30,13728.67+(AP27-50416.67)*0.35))))))</f>
        <v/>
      </c>
      <c r="AR27" s="6">
        <f>SUM(AM27,AQ27,W27,X27,Y27,Z27,AA27,AN27,AO27)</f>
        <v/>
      </c>
      <c r="AS27" s="6">
        <f>AL27-AR27</f>
        <v/>
      </c>
      <c r="AT27" s="6">
        <f>AB27-AC27</f>
        <v/>
      </c>
    </row>
    <row r="28">
      <c r="A28" s="2" t="n"/>
      <c r="B28" s="3" t="n"/>
      <c r="C28" s="4" t="n"/>
      <c r="D28" s="5" t="n"/>
      <c r="E28" s="3" t="n"/>
      <c r="F28" s="4" t="n"/>
      <c r="G28" s="5" t="n"/>
      <c r="H28" s="3" t="n"/>
      <c r="I28" s="4" t="n"/>
      <c r="J28" s="5" t="n"/>
      <c r="K28" s="3" t="n"/>
      <c r="L28" s="4" t="n"/>
      <c r="M28" s="5" t="n"/>
      <c r="N28" s="3" t="n"/>
      <c r="O28" s="4" t="n"/>
      <c r="P28" s="5" t="n"/>
      <c r="Q28" s="3" t="n"/>
      <c r="R28" s="4" t="n"/>
      <c r="S28" s="5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6">
        <f>IF(C28=0,0,IF(E28="",B28*D28/100,E28))</f>
        <v/>
      </c>
      <c r="AE28" s="6">
        <f>IF(F28=0,0,IF(H28="",B28*G28/100,H28))</f>
        <v/>
      </c>
      <c r="AF28" s="6">
        <f>IF(I28=0,0,IF(K28="",B28*J28/100,K28))</f>
        <v/>
      </c>
      <c r="AG28" s="6">
        <f>IF(L28=0,0,IF(N28="",B28*M28/100,N28))</f>
        <v/>
      </c>
      <c r="AH28" s="6">
        <f>IF(O28=0,0,IF(Q28="",B28*P28/100,Q28))</f>
        <v/>
      </c>
      <c r="AI28" s="6">
        <f>IF(R28=0,0,IF(T28="",B28*S28/100,T28))</f>
        <v/>
      </c>
      <c r="AJ28" s="6">
        <f>B28*0.035</f>
        <v/>
      </c>
      <c r="AK28" s="6">
        <f>B28*0.065</f>
        <v/>
      </c>
      <c r="AL28" s="6">
        <f>SUM(B28,AD28,AE28,AF28,AG28,AH28,AI28,U28,V28,AJ28,AK28)</f>
        <v/>
      </c>
      <c r="AM28" s="6">
        <f>B28*0.055</f>
        <v/>
      </c>
      <c r="AN28" s="6">
        <f>B28*0.035</f>
        <v/>
      </c>
      <c r="AO28" s="6">
        <f>B28*0.165</f>
        <v/>
      </c>
      <c r="AP28" s="6">
        <f>MAX(0,AL28-AM28-AO28)</f>
        <v/>
      </c>
      <c r="AQ28" s="6">
        <f>IF(AP28&lt;=490,0,IF(AP28&lt;=600,(AP28-490)*0.05,IF(AP28&lt;=730,5.5+(AP28-600)*0.10,IF(AP28&lt;=3896.67,18.5+(AP28-730)*0.175,IF(AP28&lt;=19896.67,572.67+(AP28-3896.67)*0.25,IF(AP28&lt;=50416.67,4572.67+(AP28-19896.67)*0.30,13728.67+(AP28-50416.67)*0.35))))))</f>
        <v/>
      </c>
      <c r="AR28" s="6">
        <f>SUM(AM28,AQ28,W28,X28,Y28,Z28,AA28,AN28,AO28)</f>
        <v/>
      </c>
      <c r="AS28" s="6">
        <f>AL28-AR28</f>
        <v/>
      </c>
      <c r="AT28" s="6">
        <f>AB28-AC28</f>
        <v/>
      </c>
    </row>
    <row r="29">
      <c r="A29" s="2" t="n"/>
      <c r="B29" s="3" t="n"/>
      <c r="C29" s="4" t="n"/>
      <c r="D29" s="5" t="n"/>
      <c r="E29" s="3" t="n"/>
      <c r="F29" s="4" t="n"/>
      <c r="G29" s="5" t="n"/>
      <c r="H29" s="3" t="n"/>
      <c r="I29" s="4" t="n"/>
      <c r="J29" s="5" t="n"/>
      <c r="K29" s="3" t="n"/>
      <c r="L29" s="4" t="n"/>
      <c r="M29" s="5" t="n"/>
      <c r="N29" s="3" t="n"/>
      <c r="O29" s="4" t="n"/>
      <c r="P29" s="5" t="n"/>
      <c r="Q29" s="3" t="n"/>
      <c r="R29" s="4" t="n"/>
      <c r="S29" s="5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6">
        <f>IF(C29=0,0,IF(E29="",B29*D29/100,E29))</f>
        <v/>
      </c>
      <c r="AE29" s="6">
        <f>IF(F29=0,0,IF(H29="",B29*G29/100,H29))</f>
        <v/>
      </c>
      <c r="AF29" s="6">
        <f>IF(I29=0,0,IF(K29="",B29*J29/100,K29))</f>
        <v/>
      </c>
      <c r="AG29" s="6">
        <f>IF(L29=0,0,IF(N29="",B29*M29/100,N29))</f>
        <v/>
      </c>
      <c r="AH29" s="6">
        <f>IF(O29=0,0,IF(Q29="",B29*P29/100,Q29))</f>
        <v/>
      </c>
      <c r="AI29" s="6">
        <f>IF(R29=0,0,IF(T29="",B29*S29/100,T29))</f>
        <v/>
      </c>
      <c r="AJ29" s="6">
        <f>B29*0.035</f>
        <v/>
      </c>
      <c r="AK29" s="6">
        <f>B29*0.065</f>
        <v/>
      </c>
      <c r="AL29" s="6">
        <f>SUM(B29,AD29,AE29,AF29,AG29,AH29,AI29,U29,V29,AJ29,AK29)</f>
        <v/>
      </c>
      <c r="AM29" s="6">
        <f>B29*0.055</f>
        <v/>
      </c>
      <c r="AN29" s="6">
        <f>B29*0.035</f>
        <v/>
      </c>
      <c r="AO29" s="6">
        <f>B29*0.165</f>
        <v/>
      </c>
      <c r="AP29" s="6">
        <f>MAX(0,AL29-AM29-AO29)</f>
        <v/>
      </c>
      <c r="AQ29" s="6">
        <f>IF(AP29&lt;=490,0,IF(AP29&lt;=600,(AP29-490)*0.05,IF(AP29&lt;=730,5.5+(AP29-600)*0.10,IF(AP29&lt;=3896.67,18.5+(AP29-730)*0.175,IF(AP29&lt;=19896.67,572.67+(AP29-3896.67)*0.25,IF(AP29&lt;=50416.67,4572.67+(AP29-19896.67)*0.30,13728.67+(AP29-50416.67)*0.35))))))</f>
        <v/>
      </c>
      <c r="AR29" s="6">
        <f>SUM(AM29,AQ29,W29,X29,Y29,Z29,AA29,AN29,AO29)</f>
        <v/>
      </c>
      <c r="AS29" s="6">
        <f>AL29-AR29</f>
        <v/>
      </c>
      <c r="AT29" s="6">
        <f>AB29-AC29</f>
        <v/>
      </c>
    </row>
    <row r="30">
      <c r="A30" s="2" t="n"/>
      <c r="B30" s="3" t="n"/>
      <c r="C30" s="4" t="n"/>
      <c r="D30" s="5" t="n"/>
      <c r="E30" s="3" t="n"/>
      <c r="F30" s="4" t="n"/>
      <c r="G30" s="5" t="n"/>
      <c r="H30" s="3" t="n"/>
      <c r="I30" s="4" t="n"/>
      <c r="J30" s="5" t="n"/>
      <c r="K30" s="3" t="n"/>
      <c r="L30" s="4" t="n"/>
      <c r="M30" s="5" t="n"/>
      <c r="N30" s="3" t="n"/>
      <c r="O30" s="4" t="n"/>
      <c r="P30" s="5" t="n"/>
      <c r="Q30" s="3" t="n"/>
      <c r="R30" s="4" t="n"/>
      <c r="S30" s="5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6">
        <f>IF(C30=0,0,IF(E30="",B30*D30/100,E30))</f>
        <v/>
      </c>
      <c r="AE30" s="6">
        <f>IF(F30=0,0,IF(H30="",B30*G30/100,H30))</f>
        <v/>
      </c>
      <c r="AF30" s="6">
        <f>IF(I30=0,0,IF(K30="",B30*J30/100,K30))</f>
        <v/>
      </c>
      <c r="AG30" s="6">
        <f>IF(L30=0,0,IF(N30="",B30*M30/100,N30))</f>
        <v/>
      </c>
      <c r="AH30" s="6">
        <f>IF(O30=0,0,IF(Q30="",B30*P30/100,Q30))</f>
        <v/>
      </c>
      <c r="AI30" s="6">
        <f>IF(R30=0,0,IF(T30="",B30*S30/100,T30))</f>
        <v/>
      </c>
      <c r="AJ30" s="6">
        <f>B30*0.035</f>
        <v/>
      </c>
      <c r="AK30" s="6">
        <f>B30*0.065</f>
        <v/>
      </c>
      <c r="AL30" s="6">
        <f>SUM(B30,AD30,AE30,AF30,AG30,AH30,AI30,U30,V30,AJ30,AK30)</f>
        <v/>
      </c>
      <c r="AM30" s="6">
        <f>B30*0.055</f>
        <v/>
      </c>
      <c r="AN30" s="6">
        <f>B30*0.035</f>
        <v/>
      </c>
      <c r="AO30" s="6">
        <f>B30*0.165</f>
        <v/>
      </c>
      <c r="AP30" s="6">
        <f>MAX(0,AL30-AM30-AO30)</f>
        <v/>
      </c>
      <c r="AQ30" s="6">
        <f>IF(AP30&lt;=490,0,IF(AP30&lt;=600,(AP30-490)*0.05,IF(AP30&lt;=730,5.5+(AP30-600)*0.10,IF(AP30&lt;=3896.67,18.5+(AP30-730)*0.175,IF(AP30&lt;=19896.67,572.67+(AP30-3896.67)*0.25,IF(AP30&lt;=50416.67,4572.67+(AP30-19896.67)*0.30,13728.67+(AP30-50416.67)*0.35))))))</f>
        <v/>
      </c>
      <c r="AR30" s="6">
        <f>SUM(AM30,AQ30,W30,X30,Y30,Z30,AA30,AN30,AO30)</f>
        <v/>
      </c>
      <c r="AS30" s="6">
        <f>AL30-AR30</f>
        <v/>
      </c>
      <c r="AT30" s="6">
        <f>AB30-AC30</f>
        <v/>
      </c>
    </row>
    <row r="31">
      <c r="A31" s="2" t="n"/>
      <c r="B31" s="3" t="n"/>
      <c r="C31" s="4" t="n"/>
      <c r="D31" s="5" t="n"/>
      <c r="E31" s="3" t="n"/>
      <c r="F31" s="4" t="n"/>
      <c r="G31" s="5" t="n"/>
      <c r="H31" s="3" t="n"/>
      <c r="I31" s="4" t="n"/>
      <c r="J31" s="5" t="n"/>
      <c r="K31" s="3" t="n"/>
      <c r="L31" s="4" t="n"/>
      <c r="M31" s="5" t="n"/>
      <c r="N31" s="3" t="n"/>
      <c r="O31" s="4" t="n"/>
      <c r="P31" s="5" t="n"/>
      <c r="Q31" s="3" t="n"/>
      <c r="R31" s="4" t="n"/>
      <c r="S31" s="5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6">
        <f>IF(C31=0,0,IF(E31="",B31*D31/100,E31))</f>
        <v/>
      </c>
      <c r="AE31" s="6">
        <f>IF(F31=0,0,IF(H31="",B31*G31/100,H31))</f>
        <v/>
      </c>
      <c r="AF31" s="6">
        <f>IF(I31=0,0,IF(K31="",B31*J31/100,K31))</f>
        <v/>
      </c>
      <c r="AG31" s="6">
        <f>IF(L31=0,0,IF(N31="",B31*M31/100,N31))</f>
        <v/>
      </c>
      <c r="AH31" s="6">
        <f>IF(O31=0,0,IF(Q31="",B31*P31/100,Q31))</f>
        <v/>
      </c>
      <c r="AI31" s="6">
        <f>IF(R31=0,0,IF(T31="",B31*S31/100,T31))</f>
        <v/>
      </c>
      <c r="AJ31" s="6">
        <f>B31*0.035</f>
        <v/>
      </c>
      <c r="AK31" s="6">
        <f>B31*0.065</f>
        <v/>
      </c>
      <c r="AL31" s="6">
        <f>SUM(B31,AD31,AE31,AF31,AG31,AH31,AI31,U31,V31,AJ31,AK31)</f>
        <v/>
      </c>
      <c r="AM31" s="6">
        <f>B31*0.055</f>
        <v/>
      </c>
      <c r="AN31" s="6">
        <f>B31*0.035</f>
        <v/>
      </c>
      <c r="AO31" s="6">
        <f>B31*0.165</f>
        <v/>
      </c>
      <c r="AP31" s="6">
        <f>MAX(0,AL31-AM31-AO31)</f>
        <v/>
      </c>
      <c r="AQ31" s="6">
        <f>IF(AP31&lt;=490,0,IF(AP31&lt;=600,(AP31-490)*0.05,IF(AP31&lt;=730,5.5+(AP31-600)*0.10,IF(AP31&lt;=3896.67,18.5+(AP31-730)*0.175,IF(AP31&lt;=19896.67,572.67+(AP31-3896.67)*0.25,IF(AP31&lt;=50416.67,4572.67+(AP31-19896.67)*0.30,13728.67+(AP31-50416.67)*0.35))))))</f>
        <v/>
      </c>
      <c r="AR31" s="6">
        <f>SUM(AM31,AQ31,W31,X31,Y31,Z31,AA31,AN31,AO31)</f>
        <v/>
      </c>
      <c r="AS31" s="6">
        <f>AL31-AR31</f>
        <v/>
      </c>
      <c r="AT31" s="6">
        <f>AB31-AC31</f>
        <v/>
      </c>
    </row>
    <row r="32">
      <c r="A32" s="2" t="n"/>
      <c r="B32" s="3" t="n"/>
      <c r="C32" s="4" t="n"/>
      <c r="D32" s="5" t="n"/>
      <c r="E32" s="3" t="n"/>
      <c r="F32" s="4" t="n"/>
      <c r="G32" s="5" t="n"/>
      <c r="H32" s="3" t="n"/>
      <c r="I32" s="4" t="n"/>
      <c r="J32" s="5" t="n"/>
      <c r="K32" s="3" t="n"/>
      <c r="L32" s="4" t="n"/>
      <c r="M32" s="5" t="n"/>
      <c r="N32" s="3" t="n"/>
      <c r="O32" s="4" t="n"/>
      <c r="P32" s="5" t="n"/>
      <c r="Q32" s="3" t="n"/>
      <c r="R32" s="4" t="n"/>
      <c r="S32" s="5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6">
        <f>IF(C32=0,0,IF(E32="",B32*D32/100,E32))</f>
        <v/>
      </c>
      <c r="AE32" s="6">
        <f>IF(F32=0,0,IF(H32="",B32*G32/100,H32))</f>
        <v/>
      </c>
      <c r="AF32" s="6">
        <f>IF(I32=0,0,IF(K32="",B32*J32/100,K32))</f>
        <v/>
      </c>
      <c r="AG32" s="6">
        <f>IF(L32=0,0,IF(N32="",B32*M32/100,N32))</f>
        <v/>
      </c>
      <c r="AH32" s="6">
        <f>IF(O32=0,0,IF(Q32="",B32*P32/100,Q32))</f>
        <v/>
      </c>
      <c r="AI32" s="6">
        <f>IF(R32=0,0,IF(T32="",B32*S32/100,T32))</f>
        <v/>
      </c>
      <c r="AJ32" s="6">
        <f>B32*0.035</f>
        <v/>
      </c>
      <c r="AK32" s="6">
        <f>B32*0.065</f>
        <v/>
      </c>
      <c r="AL32" s="6">
        <f>SUM(B32,AD32,AE32,AF32,AG32,AH32,AI32,U32,V32,AJ32,AK32)</f>
        <v/>
      </c>
      <c r="AM32" s="6">
        <f>B32*0.055</f>
        <v/>
      </c>
      <c r="AN32" s="6">
        <f>B32*0.035</f>
        <v/>
      </c>
      <c r="AO32" s="6">
        <f>B32*0.165</f>
        <v/>
      </c>
      <c r="AP32" s="6">
        <f>MAX(0,AL32-AM32-AO32)</f>
        <v/>
      </c>
      <c r="AQ32" s="6">
        <f>IF(AP32&lt;=490,0,IF(AP32&lt;=600,(AP32-490)*0.05,IF(AP32&lt;=730,5.5+(AP32-600)*0.10,IF(AP32&lt;=3896.67,18.5+(AP32-730)*0.175,IF(AP32&lt;=19896.67,572.67+(AP32-3896.67)*0.25,IF(AP32&lt;=50416.67,4572.67+(AP32-19896.67)*0.30,13728.67+(AP32-50416.67)*0.35))))))</f>
        <v/>
      </c>
      <c r="AR32" s="6">
        <f>SUM(AM32,AQ32,W32,X32,Y32,Z32,AA32,AN32,AO32)</f>
        <v/>
      </c>
      <c r="AS32" s="6">
        <f>AL32-AR32</f>
        <v/>
      </c>
      <c r="AT32" s="6">
        <f>AB32-AC32</f>
        <v/>
      </c>
    </row>
    <row r="33">
      <c r="A33" s="2" t="n"/>
      <c r="B33" s="3" t="n"/>
      <c r="C33" s="4" t="n"/>
      <c r="D33" s="5" t="n"/>
      <c r="E33" s="3" t="n"/>
      <c r="F33" s="4" t="n"/>
      <c r="G33" s="5" t="n"/>
      <c r="H33" s="3" t="n"/>
      <c r="I33" s="4" t="n"/>
      <c r="J33" s="5" t="n"/>
      <c r="K33" s="3" t="n"/>
      <c r="L33" s="4" t="n"/>
      <c r="M33" s="5" t="n"/>
      <c r="N33" s="3" t="n"/>
      <c r="O33" s="4" t="n"/>
      <c r="P33" s="5" t="n"/>
      <c r="Q33" s="3" t="n"/>
      <c r="R33" s="4" t="n"/>
      <c r="S33" s="5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6">
        <f>IF(C33=0,0,IF(E33="",B33*D33/100,E33))</f>
        <v/>
      </c>
      <c r="AE33" s="6">
        <f>IF(F33=0,0,IF(H33="",B33*G33/100,H33))</f>
        <v/>
      </c>
      <c r="AF33" s="6">
        <f>IF(I33=0,0,IF(K33="",B33*J33/100,K33))</f>
        <v/>
      </c>
      <c r="AG33" s="6">
        <f>IF(L33=0,0,IF(N33="",B33*M33/100,N33))</f>
        <v/>
      </c>
      <c r="AH33" s="6">
        <f>IF(O33=0,0,IF(Q33="",B33*P33/100,Q33))</f>
        <v/>
      </c>
      <c r="AI33" s="6">
        <f>IF(R33=0,0,IF(T33="",B33*S33/100,T33))</f>
        <v/>
      </c>
      <c r="AJ33" s="6">
        <f>B33*0.035</f>
        <v/>
      </c>
      <c r="AK33" s="6">
        <f>B33*0.065</f>
        <v/>
      </c>
      <c r="AL33" s="6">
        <f>SUM(B33,AD33,AE33,AF33,AG33,AH33,AI33,U33,V33,AJ33,AK33)</f>
        <v/>
      </c>
      <c r="AM33" s="6">
        <f>B33*0.055</f>
        <v/>
      </c>
      <c r="AN33" s="6">
        <f>B33*0.035</f>
        <v/>
      </c>
      <c r="AO33" s="6">
        <f>B33*0.165</f>
        <v/>
      </c>
      <c r="AP33" s="6">
        <f>MAX(0,AL33-AM33-AO33)</f>
        <v/>
      </c>
      <c r="AQ33" s="6">
        <f>IF(AP33&lt;=490,0,IF(AP33&lt;=600,(AP33-490)*0.05,IF(AP33&lt;=730,5.5+(AP33-600)*0.10,IF(AP33&lt;=3896.67,18.5+(AP33-730)*0.175,IF(AP33&lt;=19896.67,572.67+(AP33-3896.67)*0.25,IF(AP33&lt;=50416.67,4572.67+(AP33-19896.67)*0.30,13728.67+(AP33-50416.67)*0.35))))))</f>
        <v/>
      </c>
      <c r="AR33" s="6">
        <f>SUM(AM33,AQ33,W33,X33,Y33,Z33,AA33,AN33,AO33)</f>
        <v/>
      </c>
      <c r="AS33" s="6">
        <f>AL33-AR33</f>
        <v/>
      </c>
      <c r="AT33" s="6">
        <f>AB33-AC33</f>
        <v/>
      </c>
    </row>
    <row r="34">
      <c r="A34" s="2" t="n"/>
      <c r="B34" s="3" t="n"/>
      <c r="C34" s="4" t="n"/>
      <c r="D34" s="5" t="n"/>
      <c r="E34" s="3" t="n"/>
      <c r="F34" s="4" t="n"/>
      <c r="G34" s="5" t="n"/>
      <c r="H34" s="3" t="n"/>
      <c r="I34" s="4" t="n"/>
      <c r="J34" s="5" t="n"/>
      <c r="K34" s="3" t="n"/>
      <c r="L34" s="4" t="n"/>
      <c r="M34" s="5" t="n"/>
      <c r="N34" s="3" t="n"/>
      <c r="O34" s="4" t="n"/>
      <c r="P34" s="5" t="n"/>
      <c r="Q34" s="3" t="n"/>
      <c r="R34" s="4" t="n"/>
      <c r="S34" s="5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6">
        <f>IF(C34=0,0,IF(E34="",B34*D34/100,E34))</f>
        <v/>
      </c>
      <c r="AE34" s="6">
        <f>IF(F34=0,0,IF(H34="",B34*G34/100,H34))</f>
        <v/>
      </c>
      <c r="AF34" s="6">
        <f>IF(I34=0,0,IF(K34="",B34*J34/100,K34))</f>
        <v/>
      </c>
      <c r="AG34" s="6">
        <f>IF(L34=0,0,IF(N34="",B34*M34/100,N34))</f>
        <v/>
      </c>
      <c r="AH34" s="6">
        <f>IF(O34=0,0,IF(Q34="",B34*P34/100,Q34))</f>
        <v/>
      </c>
      <c r="AI34" s="6">
        <f>IF(R34=0,0,IF(T34="",B34*S34/100,T34))</f>
        <v/>
      </c>
      <c r="AJ34" s="6">
        <f>B34*0.035</f>
        <v/>
      </c>
      <c r="AK34" s="6">
        <f>B34*0.065</f>
        <v/>
      </c>
      <c r="AL34" s="6">
        <f>SUM(B34,AD34,AE34,AF34,AG34,AH34,AI34,U34,V34,AJ34,AK34)</f>
        <v/>
      </c>
      <c r="AM34" s="6">
        <f>B34*0.055</f>
        <v/>
      </c>
      <c r="AN34" s="6">
        <f>B34*0.035</f>
        <v/>
      </c>
      <c r="AO34" s="6">
        <f>B34*0.165</f>
        <v/>
      </c>
      <c r="AP34" s="6">
        <f>MAX(0,AL34-AM34-AO34)</f>
        <v/>
      </c>
      <c r="AQ34" s="6">
        <f>IF(AP34&lt;=490,0,IF(AP34&lt;=600,(AP34-490)*0.05,IF(AP34&lt;=730,5.5+(AP34-600)*0.10,IF(AP34&lt;=3896.67,18.5+(AP34-730)*0.175,IF(AP34&lt;=19896.67,572.67+(AP34-3896.67)*0.25,IF(AP34&lt;=50416.67,4572.67+(AP34-19896.67)*0.30,13728.67+(AP34-50416.67)*0.35))))))</f>
        <v/>
      </c>
      <c r="AR34" s="6">
        <f>SUM(AM34,AQ34,W34,X34,Y34,Z34,AA34,AN34,AO34)</f>
        <v/>
      </c>
      <c r="AS34" s="6">
        <f>AL34-AR34</f>
        <v/>
      </c>
      <c r="AT34" s="6">
        <f>AB34-AC34</f>
        <v/>
      </c>
    </row>
    <row r="35">
      <c r="A35" s="2" t="n"/>
      <c r="B35" s="3" t="n"/>
      <c r="C35" s="4" t="n"/>
      <c r="D35" s="5" t="n"/>
      <c r="E35" s="3" t="n"/>
      <c r="F35" s="4" t="n"/>
      <c r="G35" s="5" t="n"/>
      <c r="H35" s="3" t="n"/>
      <c r="I35" s="4" t="n"/>
      <c r="J35" s="5" t="n"/>
      <c r="K35" s="3" t="n"/>
      <c r="L35" s="4" t="n"/>
      <c r="M35" s="5" t="n"/>
      <c r="N35" s="3" t="n"/>
      <c r="O35" s="4" t="n"/>
      <c r="P35" s="5" t="n"/>
      <c r="Q35" s="3" t="n"/>
      <c r="R35" s="4" t="n"/>
      <c r="S35" s="5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6">
        <f>IF(C35=0,0,IF(E35="",B35*D35/100,E35))</f>
        <v/>
      </c>
      <c r="AE35" s="6">
        <f>IF(F35=0,0,IF(H35="",B35*G35/100,H35))</f>
        <v/>
      </c>
      <c r="AF35" s="6">
        <f>IF(I35=0,0,IF(K35="",B35*J35/100,K35))</f>
        <v/>
      </c>
      <c r="AG35" s="6">
        <f>IF(L35=0,0,IF(N35="",B35*M35/100,N35))</f>
        <v/>
      </c>
      <c r="AH35" s="6">
        <f>IF(O35=0,0,IF(Q35="",B35*P35/100,Q35))</f>
        <v/>
      </c>
      <c r="AI35" s="6">
        <f>IF(R35=0,0,IF(T35="",B35*S35/100,T35))</f>
        <v/>
      </c>
      <c r="AJ35" s="6">
        <f>B35*0.035</f>
        <v/>
      </c>
      <c r="AK35" s="6">
        <f>B35*0.065</f>
        <v/>
      </c>
      <c r="AL35" s="6">
        <f>SUM(B35,AD35,AE35,AF35,AG35,AH35,AI35,U35,V35,AJ35,AK35)</f>
        <v/>
      </c>
      <c r="AM35" s="6">
        <f>B35*0.055</f>
        <v/>
      </c>
      <c r="AN35" s="6">
        <f>B35*0.035</f>
        <v/>
      </c>
      <c r="AO35" s="6">
        <f>B35*0.165</f>
        <v/>
      </c>
      <c r="AP35" s="6">
        <f>MAX(0,AL35-AM35-AO35)</f>
        <v/>
      </c>
      <c r="AQ35" s="6">
        <f>IF(AP35&lt;=490,0,IF(AP35&lt;=600,(AP35-490)*0.05,IF(AP35&lt;=730,5.5+(AP35-600)*0.10,IF(AP35&lt;=3896.67,18.5+(AP35-730)*0.175,IF(AP35&lt;=19896.67,572.67+(AP35-3896.67)*0.25,IF(AP35&lt;=50416.67,4572.67+(AP35-19896.67)*0.30,13728.67+(AP35-50416.67)*0.35))))))</f>
        <v/>
      </c>
      <c r="AR35" s="6">
        <f>SUM(AM35,AQ35,W35,X35,Y35,Z35,AA35,AN35,AO35)</f>
        <v/>
      </c>
      <c r="AS35" s="6">
        <f>AL35-AR35</f>
        <v/>
      </c>
      <c r="AT35" s="6">
        <f>AB35-AC35</f>
        <v/>
      </c>
    </row>
    <row r="36">
      <c r="A36" s="2" t="n"/>
      <c r="B36" s="3" t="n"/>
      <c r="C36" s="4" t="n"/>
      <c r="D36" s="5" t="n"/>
      <c r="E36" s="3" t="n"/>
      <c r="F36" s="4" t="n"/>
      <c r="G36" s="5" t="n"/>
      <c r="H36" s="3" t="n"/>
      <c r="I36" s="4" t="n"/>
      <c r="J36" s="5" t="n"/>
      <c r="K36" s="3" t="n"/>
      <c r="L36" s="4" t="n"/>
      <c r="M36" s="5" t="n"/>
      <c r="N36" s="3" t="n"/>
      <c r="O36" s="4" t="n"/>
      <c r="P36" s="5" t="n"/>
      <c r="Q36" s="3" t="n"/>
      <c r="R36" s="4" t="n"/>
      <c r="S36" s="5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6">
        <f>IF(C36=0,0,IF(E36="",B36*D36/100,E36))</f>
        <v/>
      </c>
      <c r="AE36" s="6">
        <f>IF(F36=0,0,IF(H36="",B36*G36/100,H36))</f>
        <v/>
      </c>
      <c r="AF36" s="6">
        <f>IF(I36=0,0,IF(K36="",B36*J36/100,K36))</f>
        <v/>
      </c>
      <c r="AG36" s="6">
        <f>IF(L36=0,0,IF(N36="",B36*M36/100,N36))</f>
        <v/>
      </c>
      <c r="AH36" s="6">
        <f>IF(O36=0,0,IF(Q36="",B36*P36/100,Q36))</f>
        <v/>
      </c>
      <c r="AI36" s="6">
        <f>IF(R36=0,0,IF(T36="",B36*S36/100,T36))</f>
        <v/>
      </c>
      <c r="AJ36" s="6">
        <f>B36*0.035</f>
        <v/>
      </c>
      <c r="AK36" s="6">
        <f>B36*0.065</f>
        <v/>
      </c>
      <c r="AL36" s="6">
        <f>SUM(B36,AD36,AE36,AF36,AG36,AH36,AI36,U36,V36,AJ36,AK36)</f>
        <v/>
      </c>
      <c r="AM36" s="6">
        <f>B36*0.055</f>
        <v/>
      </c>
      <c r="AN36" s="6">
        <f>B36*0.035</f>
        <v/>
      </c>
      <c r="AO36" s="6">
        <f>B36*0.165</f>
        <v/>
      </c>
      <c r="AP36" s="6">
        <f>MAX(0,AL36-AM36-AO36)</f>
        <v/>
      </c>
      <c r="AQ36" s="6">
        <f>IF(AP36&lt;=490,0,IF(AP36&lt;=600,(AP36-490)*0.05,IF(AP36&lt;=730,5.5+(AP36-600)*0.10,IF(AP36&lt;=3896.67,18.5+(AP36-730)*0.175,IF(AP36&lt;=19896.67,572.67+(AP36-3896.67)*0.25,IF(AP36&lt;=50416.67,4572.67+(AP36-19896.67)*0.30,13728.67+(AP36-50416.67)*0.35))))))</f>
        <v/>
      </c>
      <c r="AR36" s="6">
        <f>SUM(AM36,AQ36,W36,X36,Y36,Z36,AA36,AN36,AO36)</f>
        <v/>
      </c>
      <c r="AS36" s="6">
        <f>AL36-AR36</f>
        <v/>
      </c>
      <c r="AT36" s="6">
        <f>AB36-AC36</f>
        <v/>
      </c>
    </row>
    <row r="37">
      <c r="A37" s="2" t="n"/>
      <c r="B37" s="3" t="n"/>
      <c r="C37" s="4" t="n"/>
      <c r="D37" s="5" t="n"/>
      <c r="E37" s="3" t="n"/>
      <c r="F37" s="4" t="n"/>
      <c r="G37" s="5" t="n"/>
      <c r="H37" s="3" t="n"/>
      <c r="I37" s="4" t="n"/>
      <c r="J37" s="5" t="n"/>
      <c r="K37" s="3" t="n"/>
      <c r="L37" s="4" t="n"/>
      <c r="M37" s="5" t="n"/>
      <c r="N37" s="3" t="n"/>
      <c r="O37" s="4" t="n"/>
      <c r="P37" s="5" t="n"/>
      <c r="Q37" s="3" t="n"/>
      <c r="R37" s="4" t="n"/>
      <c r="S37" s="5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6">
        <f>IF(C37=0,0,IF(E37="",B37*D37/100,E37))</f>
        <v/>
      </c>
      <c r="AE37" s="6">
        <f>IF(F37=0,0,IF(H37="",B37*G37/100,H37))</f>
        <v/>
      </c>
      <c r="AF37" s="6">
        <f>IF(I37=0,0,IF(K37="",B37*J37/100,K37))</f>
        <v/>
      </c>
      <c r="AG37" s="6">
        <f>IF(L37=0,0,IF(N37="",B37*M37/100,N37))</f>
        <v/>
      </c>
      <c r="AH37" s="6">
        <f>IF(O37=0,0,IF(Q37="",B37*P37/100,Q37))</f>
        <v/>
      </c>
      <c r="AI37" s="6">
        <f>IF(R37=0,0,IF(T37="",B37*S37/100,T37))</f>
        <v/>
      </c>
      <c r="AJ37" s="6">
        <f>B37*0.035</f>
        <v/>
      </c>
      <c r="AK37" s="6">
        <f>B37*0.065</f>
        <v/>
      </c>
      <c r="AL37" s="6">
        <f>SUM(B37,AD37,AE37,AF37,AG37,AH37,AI37,U37,V37,AJ37,AK37)</f>
        <v/>
      </c>
      <c r="AM37" s="6">
        <f>B37*0.055</f>
        <v/>
      </c>
      <c r="AN37" s="6">
        <f>B37*0.035</f>
        <v/>
      </c>
      <c r="AO37" s="6">
        <f>B37*0.165</f>
        <v/>
      </c>
      <c r="AP37" s="6">
        <f>MAX(0,AL37-AM37-AO37)</f>
        <v/>
      </c>
      <c r="AQ37" s="6">
        <f>IF(AP37&lt;=490,0,IF(AP37&lt;=600,(AP37-490)*0.05,IF(AP37&lt;=730,5.5+(AP37-600)*0.10,IF(AP37&lt;=3896.67,18.5+(AP37-730)*0.175,IF(AP37&lt;=19896.67,572.67+(AP37-3896.67)*0.25,IF(AP37&lt;=50416.67,4572.67+(AP37-19896.67)*0.30,13728.67+(AP37-50416.67)*0.35))))))</f>
        <v/>
      </c>
      <c r="AR37" s="6">
        <f>SUM(AM37,AQ37,W37,X37,Y37,Z37,AA37,AN37,AO37)</f>
        <v/>
      </c>
      <c r="AS37" s="6">
        <f>AL37-AR37</f>
        <v/>
      </c>
      <c r="AT37" s="6">
        <f>AB37-AC37</f>
        <v/>
      </c>
    </row>
    <row r="38">
      <c r="A38" s="2" t="n"/>
      <c r="B38" s="3" t="n"/>
      <c r="C38" s="4" t="n"/>
      <c r="D38" s="5" t="n"/>
      <c r="E38" s="3" t="n"/>
      <c r="F38" s="4" t="n"/>
      <c r="G38" s="5" t="n"/>
      <c r="H38" s="3" t="n"/>
      <c r="I38" s="4" t="n"/>
      <c r="J38" s="5" t="n"/>
      <c r="K38" s="3" t="n"/>
      <c r="L38" s="4" t="n"/>
      <c r="M38" s="5" t="n"/>
      <c r="N38" s="3" t="n"/>
      <c r="O38" s="4" t="n"/>
      <c r="P38" s="5" t="n"/>
      <c r="Q38" s="3" t="n"/>
      <c r="R38" s="4" t="n"/>
      <c r="S38" s="5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6">
        <f>IF(C38=0,0,IF(E38="",B38*D38/100,E38))</f>
        <v/>
      </c>
      <c r="AE38" s="6">
        <f>IF(F38=0,0,IF(H38="",B38*G38/100,H38))</f>
        <v/>
      </c>
      <c r="AF38" s="6">
        <f>IF(I38=0,0,IF(K38="",B38*J38/100,K38))</f>
        <v/>
      </c>
      <c r="AG38" s="6">
        <f>IF(L38=0,0,IF(N38="",B38*M38/100,N38))</f>
        <v/>
      </c>
      <c r="AH38" s="6">
        <f>IF(O38=0,0,IF(Q38="",B38*P38/100,Q38))</f>
        <v/>
      </c>
      <c r="AI38" s="6">
        <f>IF(R38=0,0,IF(T38="",B38*S38/100,T38))</f>
        <v/>
      </c>
      <c r="AJ38" s="6">
        <f>B38*0.035</f>
        <v/>
      </c>
      <c r="AK38" s="6">
        <f>B38*0.065</f>
        <v/>
      </c>
      <c r="AL38" s="6">
        <f>SUM(B38,AD38,AE38,AF38,AG38,AH38,AI38,U38,V38,AJ38,AK38)</f>
        <v/>
      </c>
      <c r="AM38" s="6">
        <f>B38*0.055</f>
        <v/>
      </c>
      <c r="AN38" s="6">
        <f>B38*0.035</f>
        <v/>
      </c>
      <c r="AO38" s="6">
        <f>B38*0.165</f>
        <v/>
      </c>
      <c r="AP38" s="6">
        <f>MAX(0,AL38-AM38-AO38)</f>
        <v/>
      </c>
      <c r="AQ38" s="6">
        <f>IF(AP38&lt;=490,0,IF(AP38&lt;=600,(AP38-490)*0.05,IF(AP38&lt;=730,5.5+(AP38-600)*0.10,IF(AP38&lt;=3896.67,18.5+(AP38-730)*0.175,IF(AP38&lt;=19896.67,572.67+(AP38-3896.67)*0.25,IF(AP38&lt;=50416.67,4572.67+(AP38-19896.67)*0.30,13728.67+(AP38-50416.67)*0.35))))))</f>
        <v/>
      </c>
      <c r="AR38" s="6">
        <f>SUM(AM38,AQ38,W38,X38,Y38,Z38,AA38,AN38,AO38)</f>
        <v/>
      </c>
      <c r="AS38" s="6">
        <f>AL38-AR38</f>
        <v/>
      </c>
      <c r="AT38" s="6">
        <f>AB38-AC38</f>
        <v/>
      </c>
    </row>
    <row r="39">
      <c r="A39" s="2" t="n"/>
      <c r="B39" s="3" t="n"/>
      <c r="C39" s="4" t="n"/>
      <c r="D39" s="5" t="n"/>
      <c r="E39" s="3" t="n"/>
      <c r="F39" s="4" t="n"/>
      <c r="G39" s="5" t="n"/>
      <c r="H39" s="3" t="n"/>
      <c r="I39" s="4" t="n"/>
      <c r="J39" s="5" t="n"/>
      <c r="K39" s="3" t="n"/>
      <c r="L39" s="4" t="n"/>
      <c r="M39" s="5" t="n"/>
      <c r="N39" s="3" t="n"/>
      <c r="O39" s="4" t="n"/>
      <c r="P39" s="5" t="n"/>
      <c r="Q39" s="3" t="n"/>
      <c r="R39" s="4" t="n"/>
      <c r="S39" s="5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6">
        <f>IF(C39=0,0,IF(E39="",B39*D39/100,E39))</f>
        <v/>
      </c>
      <c r="AE39" s="6">
        <f>IF(F39=0,0,IF(H39="",B39*G39/100,H39))</f>
        <v/>
      </c>
      <c r="AF39" s="6">
        <f>IF(I39=0,0,IF(K39="",B39*J39/100,K39))</f>
        <v/>
      </c>
      <c r="AG39" s="6">
        <f>IF(L39=0,0,IF(N39="",B39*M39/100,N39))</f>
        <v/>
      </c>
      <c r="AH39" s="6">
        <f>IF(O39=0,0,IF(Q39="",B39*P39/100,Q39))</f>
        <v/>
      </c>
      <c r="AI39" s="6">
        <f>IF(R39=0,0,IF(T39="",B39*S39/100,T39))</f>
        <v/>
      </c>
      <c r="AJ39" s="6">
        <f>B39*0.035</f>
        <v/>
      </c>
      <c r="AK39" s="6">
        <f>B39*0.065</f>
        <v/>
      </c>
      <c r="AL39" s="6">
        <f>SUM(B39,AD39,AE39,AF39,AG39,AH39,AI39,U39,V39,AJ39,AK39)</f>
        <v/>
      </c>
      <c r="AM39" s="6">
        <f>B39*0.055</f>
        <v/>
      </c>
      <c r="AN39" s="6">
        <f>B39*0.035</f>
        <v/>
      </c>
      <c r="AO39" s="6">
        <f>B39*0.165</f>
        <v/>
      </c>
      <c r="AP39" s="6">
        <f>MAX(0,AL39-AM39-AO39)</f>
        <v/>
      </c>
      <c r="AQ39" s="6">
        <f>IF(AP39&lt;=490,0,IF(AP39&lt;=600,(AP39-490)*0.05,IF(AP39&lt;=730,5.5+(AP39-600)*0.10,IF(AP39&lt;=3896.67,18.5+(AP39-730)*0.175,IF(AP39&lt;=19896.67,572.67+(AP39-3896.67)*0.25,IF(AP39&lt;=50416.67,4572.67+(AP39-19896.67)*0.30,13728.67+(AP39-50416.67)*0.35))))))</f>
        <v/>
      </c>
      <c r="AR39" s="6">
        <f>SUM(AM39,AQ39,W39,X39,Y39,Z39,AA39,AN39,AO39)</f>
        <v/>
      </c>
      <c r="AS39" s="6">
        <f>AL39-AR39</f>
        <v/>
      </c>
      <c r="AT39" s="6">
        <f>AB39-AC39</f>
        <v/>
      </c>
    </row>
    <row r="40">
      <c r="A40" s="2" t="n"/>
      <c r="B40" s="3" t="n"/>
      <c r="C40" s="4" t="n"/>
      <c r="D40" s="5" t="n"/>
      <c r="E40" s="3" t="n"/>
      <c r="F40" s="4" t="n"/>
      <c r="G40" s="5" t="n"/>
      <c r="H40" s="3" t="n"/>
      <c r="I40" s="4" t="n"/>
      <c r="J40" s="5" t="n"/>
      <c r="K40" s="3" t="n"/>
      <c r="L40" s="4" t="n"/>
      <c r="M40" s="5" t="n"/>
      <c r="N40" s="3" t="n"/>
      <c r="O40" s="4" t="n"/>
      <c r="P40" s="5" t="n"/>
      <c r="Q40" s="3" t="n"/>
      <c r="R40" s="4" t="n"/>
      <c r="S40" s="5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6">
        <f>IF(C40=0,0,IF(E40="",B40*D40/100,E40))</f>
        <v/>
      </c>
      <c r="AE40" s="6">
        <f>IF(F40=0,0,IF(H40="",B40*G40/100,H40))</f>
        <v/>
      </c>
      <c r="AF40" s="6">
        <f>IF(I40=0,0,IF(K40="",B40*J40/100,K40))</f>
        <v/>
      </c>
      <c r="AG40" s="6">
        <f>IF(L40=0,0,IF(N40="",B40*M40/100,N40))</f>
        <v/>
      </c>
      <c r="AH40" s="6">
        <f>IF(O40=0,0,IF(Q40="",B40*P40/100,Q40))</f>
        <v/>
      </c>
      <c r="AI40" s="6">
        <f>IF(R40=0,0,IF(T40="",B40*S40/100,T40))</f>
        <v/>
      </c>
      <c r="AJ40" s="6">
        <f>B40*0.035</f>
        <v/>
      </c>
      <c r="AK40" s="6">
        <f>B40*0.065</f>
        <v/>
      </c>
      <c r="AL40" s="6">
        <f>SUM(B40,AD40,AE40,AF40,AG40,AH40,AI40,U40,V40,AJ40,AK40)</f>
        <v/>
      </c>
      <c r="AM40" s="6">
        <f>B40*0.055</f>
        <v/>
      </c>
      <c r="AN40" s="6">
        <f>B40*0.035</f>
        <v/>
      </c>
      <c r="AO40" s="6">
        <f>B40*0.165</f>
        <v/>
      </c>
      <c r="AP40" s="6">
        <f>MAX(0,AL40-AM40-AO40)</f>
        <v/>
      </c>
      <c r="AQ40" s="6">
        <f>IF(AP40&lt;=490,0,IF(AP40&lt;=600,(AP40-490)*0.05,IF(AP40&lt;=730,5.5+(AP40-600)*0.10,IF(AP40&lt;=3896.67,18.5+(AP40-730)*0.175,IF(AP40&lt;=19896.67,572.67+(AP40-3896.67)*0.25,IF(AP40&lt;=50416.67,4572.67+(AP40-19896.67)*0.30,13728.67+(AP40-50416.67)*0.35))))))</f>
        <v/>
      </c>
      <c r="AR40" s="6">
        <f>SUM(AM40,AQ40,W40,X40,Y40,Z40,AA40,AN40,AO40)</f>
        <v/>
      </c>
      <c r="AS40" s="6">
        <f>AL40-AR40</f>
        <v/>
      </c>
      <c r="AT40" s="6">
        <f>AB40-AC40</f>
        <v/>
      </c>
    </row>
    <row r="41">
      <c r="A41" s="2" t="n"/>
      <c r="B41" s="3" t="n"/>
      <c r="C41" s="4" t="n"/>
      <c r="D41" s="5" t="n"/>
      <c r="E41" s="3" t="n"/>
      <c r="F41" s="4" t="n"/>
      <c r="G41" s="5" t="n"/>
      <c r="H41" s="3" t="n"/>
      <c r="I41" s="4" t="n"/>
      <c r="J41" s="5" t="n"/>
      <c r="K41" s="3" t="n"/>
      <c r="L41" s="4" t="n"/>
      <c r="M41" s="5" t="n"/>
      <c r="N41" s="3" t="n"/>
      <c r="O41" s="4" t="n"/>
      <c r="P41" s="5" t="n"/>
      <c r="Q41" s="3" t="n"/>
      <c r="R41" s="4" t="n"/>
      <c r="S41" s="5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6">
        <f>IF(C41=0,0,IF(E41="",B41*D41/100,E41))</f>
        <v/>
      </c>
      <c r="AE41" s="6">
        <f>IF(F41=0,0,IF(H41="",B41*G41/100,H41))</f>
        <v/>
      </c>
      <c r="AF41" s="6">
        <f>IF(I41=0,0,IF(K41="",B41*J41/100,K41))</f>
        <v/>
      </c>
      <c r="AG41" s="6">
        <f>IF(L41=0,0,IF(N41="",B41*M41/100,N41))</f>
        <v/>
      </c>
      <c r="AH41" s="6">
        <f>IF(O41=0,0,IF(Q41="",B41*P41/100,Q41))</f>
        <v/>
      </c>
      <c r="AI41" s="6">
        <f>IF(R41=0,0,IF(T41="",B41*S41/100,T41))</f>
        <v/>
      </c>
      <c r="AJ41" s="6">
        <f>B41*0.035</f>
        <v/>
      </c>
      <c r="AK41" s="6">
        <f>B41*0.065</f>
        <v/>
      </c>
      <c r="AL41" s="6">
        <f>SUM(B41,AD41,AE41,AF41,AG41,AH41,AI41,U41,V41,AJ41,AK41)</f>
        <v/>
      </c>
      <c r="AM41" s="6">
        <f>B41*0.055</f>
        <v/>
      </c>
      <c r="AN41" s="6">
        <f>B41*0.035</f>
        <v/>
      </c>
      <c r="AO41" s="6">
        <f>B41*0.165</f>
        <v/>
      </c>
      <c r="AP41" s="6">
        <f>MAX(0,AL41-AM41-AO41)</f>
        <v/>
      </c>
      <c r="AQ41" s="6">
        <f>IF(AP41&lt;=490,0,IF(AP41&lt;=600,(AP41-490)*0.05,IF(AP41&lt;=730,5.5+(AP41-600)*0.10,IF(AP41&lt;=3896.67,18.5+(AP41-730)*0.175,IF(AP41&lt;=19896.67,572.67+(AP41-3896.67)*0.25,IF(AP41&lt;=50416.67,4572.67+(AP41-19896.67)*0.30,13728.67+(AP41-50416.67)*0.35))))))</f>
        <v/>
      </c>
      <c r="AR41" s="6">
        <f>SUM(AM41,AQ41,W41,X41,Y41,Z41,AA41,AN41,AO41)</f>
        <v/>
      </c>
      <c r="AS41" s="6">
        <f>AL41-AR41</f>
        <v/>
      </c>
      <c r="AT41" s="6">
        <f>AB41-AC41</f>
        <v/>
      </c>
    </row>
    <row r="42">
      <c r="A42" s="2" t="n"/>
      <c r="B42" s="3" t="n"/>
      <c r="C42" s="4" t="n"/>
      <c r="D42" s="5" t="n"/>
      <c r="E42" s="3" t="n"/>
      <c r="F42" s="4" t="n"/>
      <c r="G42" s="5" t="n"/>
      <c r="H42" s="3" t="n"/>
      <c r="I42" s="4" t="n"/>
      <c r="J42" s="5" t="n"/>
      <c r="K42" s="3" t="n"/>
      <c r="L42" s="4" t="n"/>
      <c r="M42" s="5" t="n"/>
      <c r="N42" s="3" t="n"/>
      <c r="O42" s="4" t="n"/>
      <c r="P42" s="5" t="n"/>
      <c r="Q42" s="3" t="n"/>
      <c r="R42" s="4" t="n"/>
      <c r="S42" s="5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6">
        <f>IF(C42=0,0,IF(E42="",B42*D42/100,E42))</f>
        <v/>
      </c>
      <c r="AE42" s="6">
        <f>IF(F42=0,0,IF(H42="",B42*G42/100,H42))</f>
        <v/>
      </c>
      <c r="AF42" s="6">
        <f>IF(I42=0,0,IF(K42="",B42*J42/100,K42))</f>
        <v/>
      </c>
      <c r="AG42" s="6">
        <f>IF(L42=0,0,IF(N42="",B42*M42/100,N42))</f>
        <v/>
      </c>
      <c r="AH42" s="6">
        <f>IF(O42=0,0,IF(Q42="",B42*P42/100,Q42))</f>
        <v/>
      </c>
      <c r="AI42" s="6">
        <f>IF(R42=0,0,IF(T42="",B42*S42/100,T42))</f>
        <v/>
      </c>
      <c r="AJ42" s="6">
        <f>B42*0.035</f>
        <v/>
      </c>
      <c r="AK42" s="6">
        <f>B42*0.065</f>
        <v/>
      </c>
      <c r="AL42" s="6">
        <f>SUM(B42,AD42,AE42,AF42,AG42,AH42,AI42,U42,V42,AJ42,AK42)</f>
        <v/>
      </c>
      <c r="AM42" s="6">
        <f>B42*0.055</f>
        <v/>
      </c>
      <c r="AN42" s="6">
        <f>B42*0.035</f>
        <v/>
      </c>
      <c r="AO42" s="6">
        <f>B42*0.165</f>
        <v/>
      </c>
      <c r="AP42" s="6">
        <f>MAX(0,AL42-AM42-AO42)</f>
        <v/>
      </c>
      <c r="AQ42" s="6">
        <f>IF(AP42&lt;=490,0,IF(AP42&lt;=600,(AP42-490)*0.05,IF(AP42&lt;=730,5.5+(AP42-600)*0.10,IF(AP42&lt;=3896.67,18.5+(AP42-730)*0.175,IF(AP42&lt;=19896.67,572.67+(AP42-3896.67)*0.25,IF(AP42&lt;=50416.67,4572.67+(AP42-19896.67)*0.30,13728.67+(AP42-50416.67)*0.35))))))</f>
        <v/>
      </c>
      <c r="AR42" s="6">
        <f>SUM(AM42,AQ42,W42,X42,Y42,Z42,AA42,AN42,AO42)</f>
        <v/>
      </c>
      <c r="AS42" s="6">
        <f>AL42-AR42</f>
        <v/>
      </c>
      <c r="AT42" s="6">
        <f>AB42-AC42</f>
        <v/>
      </c>
    </row>
    <row r="43">
      <c r="A43" s="2" t="n"/>
      <c r="B43" s="3" t="n"/>
      <c r="C43" s="4" t="n"/>
      <c r="D43" s="5" t="n"/>
      <c r="E43" s="3" t="n"/>
      <c r="F43" s="4" t="n"/>
      <c r="G43" s="5" t="n"/>
      <c r="H43" s="3" t="n"/>
      <c r="I43" s="4" t="n"/>
      <c r="J43" s="5" t="n"/>
      <c r="K43" s="3" t="n"/>
      <c r="L43" s="4" t="n"/>
      <c r="M43" s="5" t="n"/>
      <c r="N43" s="3" t="n"/>
      <c r="O43" s="4" t="n"/>
      <c r="P43" s="5" t="n"/>
      <c r="Q43" s="3" t="n"/>
      <c r="R43" s="4" t="n"/>
      <c r="S43" s="5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6">
        <f>IF(C43=0,0,IF(E43="",B43*D43/100,E43))</f>
        <v/>
      </c>
      <c r="AE43" s="6">
        <f>IF(F43=0,0,IF(H43="",B43*G43/100,H43))</f>
        <v/>
      </c>
      <c r="AF43" s="6">
        <f>IF(I43=0,0,IF(K43="",B43*J43/100,K43))</f>
        <v/>
      </c>
      <c r="AG43" s="6">
        <f>IF(L43=0,0,IF(N43="",B43*M43/100,N43))</f>
        <v/>
      </c>
      <c r="AH43" s="6">
        <f>IF(O43=0,0,IF(Q43="",B43*P43/100,Q43))</f>
        <v/>
      </c>
      <c r="AI43" s="6">
        <f>IF(R43=0,0,IF(T43="",B43*S43/100,T43))</f>
        <v/>
      </c>
      <c r="AJ43" s="6">
        <f>B43*0.035</f>
        <v/>
      </c>
      <c r="AK43" s="6">
        <f>B43*0.065</f>
        <v/>
      </c>
      <c r="AL43" s="6">
        <f>SUM(B43,AD43,AE43,AF43,AG43,AH43,AI43,U43,V43,AJ43,AK43)</f>
        <v/>
      </c>
      <c r="AM43" s="6">
        <f>B43*0.055</f>
        <v/>
      </c>
      <c r="AN43" s="6">
        <f>B43*0.035</f>
        <v/>
      </c>
      <c r="AO43" s="6">
        <f>B43*0.165</f>
        <v/>
      </c>
      <c r="AP43" s="6">
        <f>MAX(0,AL43-AM43-AO43)</f>
        <v/>
      </c>
      <c r="AQ43" s="6">
        <f>IF(AP43&lt;=490,0,IF(AP43&lt;=600,(AP43-490)*0.05,IF(AP43&lt;=730,5.5+(AP43-600)*0.10,IF(AP43&lt;=3896.67,18.5+(AP43-730)*0.175,IF(AP43&lt;=19896.67,572.67+(AP43-3896.67)*0.25,IF(AP43&lt;=50416.67,4572.67+(AP43-19896.67)*0.30,13728.67+(AP43-50416.67)*0.35))))))</f>
        <v/>
      </c>
      <c r="AR43" s="6">
        <f>SUM(AM43,AQ43,W43,X43,Y43,Z43,AA43,AN43,AO43)</f>
        <v/>
      </c>
      <c r="AS43" s="6">
        <f>AL43-AR43</f>
        <v/>
      </c>
      <c r="AT43" s="6">
        <f>AB43-AC43</f>
        <v/>
      </c>
    </row>
    <row r="44">
      <c r="A44" s="2" t="n"/>
      <c r="B44" s="3" t="n"/>
      <c r="C44" s="4" t="n"/>
      <c r="D44" s="5" t="n"/>
      <c r="E44" s="3" t="n"/>
      <c r="F44" s="4" t="n"/>
      <c r="G44" s="5" t="n"/>
      <c r="H44" s="3" t="n"/>
      <c r="I44" s="4" t="n"/>
      <c r="J44" s="5" t="n"/>
      <c r="K44" s="3" t="n"/>
      <c r="L44" s="4" t="n"/>
      <c r="M44" s="5" t="n"/>
      <c r="N44" s="3" t="n"/>
      <c r="O44" s="4" t="n"/>
      <c r="P44" s="5" t="n"/>
      <c r="Q44" s="3" t="n"/>
      <c r="R44" s="4" t="n"/>
      <c r="S44" s="5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6">
        <f>IF(C44=0,0,IF(E44="",B44*D44/100,E44))</f>
        <v/>
      </c>
      <c r="AE44" s="6">
        <f>IF(F44=0,0,IF(H44="",B44*G44/100,H44))</f>
        <v/>
      </c>
      <c r="AF44" s="6">
        <f>IF(I44=0,0,IF(K44="",B44*J44/100,K44))</f>
        <v/>
      </c>
      <c r="AG44" s="6">
        <f>IF(L44=0,0,IF(N44="",B44*M44/100,N44))</f>
        <v/>
      </c>
      <c r="AH44" s="6">
        <f>IF(O44=0,0,IF(Q44="",B44*P44/100,Q44))</f>
        <v/>
      </c>
      <c r="AI44" s="6">
        <f>IF(R44=0,0,IF(T44="",B44*S44/100,T44))</f>
        <v/>
      </c>
      <c r="AJ44" s="6">
        <f>B44*0.035</f>
        <v/>
      </c>
      <c r="AK44" s="6">
        <f>B44*0.065</f>
        <v/>
      </c>
      <c r="AL44" s="6">
        <f>SUM(B44,AD44,AE44,AF44,AG44,AH44,AI44,U44,V44,AJ44,AK44)</f>
        <v/>
      </c>
      <c r="AM44" s="6">
        <f>B44*0.055</f>
        <v/>
      </c>
      <c r="AN44" s="6">
        <f>B44*0.035</f>
        <v/>
      </c>
      <c r="AO44" s="6">
        <f>B44*0.165</f>
        <v/>
      </c>
      <c r="AP44" s="6">
        <f>MAX(0,AL44-AM44-AO44)</f>
        <v/>
      </c>
      <c r="AQ44" s="6">
        <f>IF(AP44&lt;=490,0,IF(AP44&lt;=600,(AP44-490)*0.05,IF(AP44&lt;=730,5.5+(AP44-600)*0.10,IF(AP44&lt;=3896.67,18.5+(AP44-730)*0.175,IF(AP44&lt;=19896.67,572.67+(AP44-3896.67)*0.25,IF(AP44&lt;=50416.67,4572.67+(AP44-19896.67)*0.30,13728.67+(AP44-50416.67)*0.35))))))</f>
        <v/>
      </c>
      <c r="AR44" s="6">
        <f>SUM(AM44,AQ44,W44,X44,Y44,Z44,AA44,AN44,AO44)</f>
        <v/>
      </c>
      <c r="AS44" s="6">
        <f>AL44-AR44</f>
        <v/>
      </c>
      <c r="AT44" s="6">
        <f>AB44-AC44</f>
        <v/>
      </c>
    </row>
    <row r="45">
      <c r="A45" s="2" t="n"/>
      <c r="B45" s="3" t="n"/>
      <c r="C45" s="4" t="n"/>
      <c r="D45" s="5" t="n"/>
      <c r="E45" s="3" t="n"/>
      <c r="F45" s="4" t="n"/>
      <c r="G45" s="5" t="n"/>
      <c r="H45" s="3" t="n"/>
      <c r="I45" s="4" t="n"/>
      <c r="J45" s="5" t="n"/>
      <c r="K45" s="3" t="n"/>
      <c r="L45" s="4" t="n"/>
      <c r="M45" s="5" t="n"/>
      <c r="N45" s="3" t="n"/>
      <c r="O45" s="4" t="n"/>
      <c r="P45" s="5" t="n"/>
      <c r="Q45" s="3" t="n"/>
      <c r="R45" s="4" t="n"/>
      <c r="S45" s="5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6">
        <f>IF(C45=0,0,IF(E45="",B45*D45/100,E45))</f>
        <v/>
      </c>
      <c r="AE45" s="6">
        <f>IF(F45=0,0,IF(H45="",B45*G45/100,H45))</f>
        <v/>
      </c>
      <c r="AF45" s="6">
        <f>IF(I45=0,0,IF(K45="",B45*J45/100,K45))</f>
        <v/>
      </c>
      <c r="AG45" s="6">
        <f>IF(L45=0,0,IF(N45="",B45*M45/100,N45))</f>
        <v/>
      </c>
      <c r="AH45" s="6">
        <f>IF(O45=0,0,IF(Q45="",B45*P45/100,Q45))</f>
        <v/>
      </c>
      <c r="AI45" s="6">
        <f>IF(R45=0,0,IF(T45="",B45*S45/100,T45))</f>
        <v/>
      </c>
      <c r="AJ45" s="6">
        <f>B45*0.035</f>
        <v/>
      </c>
      <c r="AK45" s="6">
        <f>B45*0.065</f>
        <v/>
      </c>
      <c r="AL45" s="6">
        <f>SUM(B45,AD45,AE45,AF45,AG45,AH45,AI45,U45,V45,AJ45,AK45)</f>
        <v/>
      </c>
      <c r="AM45" s="6">
        <f>B45*0.055</f>
        <v/>
      </c>
      <c r="AN45" s="6">
        <f>B45*0.035</f>
        <v/>
      </c>
      <c r="AO45" s="6">
        <f>B45*0.165</f>
        <v/>
      </c>
      <c r="AP45" s="6">
        <f>MAX(0,AL45-AM45-AO45)</f>
        <v/>
      </c>
      <c r="AQ45" s="6">
        <f>IF(AP45&lt;=490,0,IF(AP45&lt;=600,(AP45-490)*0.05,IF(AP45&lt;=730,5.5+(AP45-600)*0.10,IF(AP45&lt;=3896.67,18.5+(AP45-730)*0.175,IF(AP45&lt;=19896.67,572.67+(AP45-3896.67)*0.25,IF(AP45&lt;=50416.67,4572.67+(AP45-19896.67)*0.30,13728.67+(AP45-50416.67)*0.35))))))</f>
        <v/>
      </c>
      <c r="AR45" s="6">
        <f>SUM(AM45,AQ45,W45,X45,Y45,Z45,AA45,AN45,AO45)</f>
        <v/>
      </c>
      <c r="AS45" s="6">
        <f>AL45-AR45</f>
        <v/>
      </c>
      <c r="AT45" s="6">
        <f>AB45-AC45</f>
        <v/>
      </c>
    </row>
    <row r="46">
      <c r="A46" s="2" t="n"/>
      <c r="B46" s="3" t="n"/>
      <c r="C46" s="4" t="n"/>
      <c r="D46" s="5" t="n"/>
      <c r="E46" s="3" t="n"/>
      <c r="F46" s="4" t="n"/>
      <c r="G46" s="5" t="n"/>
      <c r="H46" s="3" t="n"/>
      <c r="I46" s="4" t="n"/>
      <c r="J46" s="5" t="n"/>
      <c r="K46" s="3" t="n"/>
      <c r="L46" s="4" t="n"/>
      <c r="M46" s="5" t="n"/>
      <c r="N46" s="3" t="n"/>
      <c r="O46" s="4" t="n"/>
      <c r="P46" s="5" t="n"/>
      <c r="Q46" s="3" t="n"/>
      <c r="R46" s="4" t="n"/>
      <c r="S46" s="5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6">
        <f>IF(C46=0,0,IF(E46="",B46*D46/100,E46))</f>
        <v/>
      </c>
      <c r="AE46" s="6">
        <f>IF(F46=0,0,IF(H46="",B46*G46/100,H46))</f>
        <v/>
      </c>
      <c r="AF46" s="6">
        <f>IF(I46=0,0,IF(K46="",B46*J46/100,K46))</f>
        <v/>
      </c>
      <c r="AG46" s="6">
        <f>IF(L46=0,0,IF(N46="",B46*M46/100,N46))</f>
        <v/>
      </c>
      <c r="AH46" s="6">
        <f>IF(O46=0,0,IF(Q46="",B46*P46/100,Q46))</f>
        <v/>
      </c>
      <c r="AI46" s="6">
        <f>IF(R46=0,0,IF(T46="",B46*S46/100,T46))</f>
        <v/>
      </c>
      <c r="AJ46" s="6">
        <f>B46*0.035</f>
        <v/>
      </c>
      <c r="AK46" s="6">
        <f>B46*0.065</f>
        <v/>
      </c>
      <c r="AL46" s="6">
        <f>SUM(B46,AD46,AE46,AF46,AG46,AH46,AI46,U46,V46,AJ46,AK46)</f>
        <v/>
      </c>
      <c r="AM46" s="6">
        <f>B46*0.055</f>
        <v/>
      </c>
      <c r="AN46" s="6">
        <f>B46*0.035</f>
        <v/>
      </c>
      <c r="AO46" s="6">
        <f>B46*0.165</f>
        <v/>
      </c>
      <c r="AP46" s="6">
        <f>MAX(0,AL46-AM46-AO46)</f>
        <v/>
      </c>
      <c r="AQ46" s="6">
        <f>IF(AP46&lt;=490,0,IF(AP46&lt;=600,(AP46-490)*0.05,IF(AP46&lt;=730,5.5+(AP46-600)*0.10,IF(AP46&lt;=3896.67,18.5+(AP46-730)*0.175,IF(AP46&lt;=19896.67,572.67+(AP46-3896.67)*0.25,IF(AP46&lt;=50416.67,4572.67+(AP46-19896.67)*0.30,13728.67+(AP46-50416.67)*0.35))))))</f>
        <v/>
      </c>
      <c r="AR46" s="6">
        <f>SUM(AM46,AQ46,W46,X46,Y46,Z46,AA46,AN46,AO46)</f>
        <v/>
      </c>
      <c r="AS46" s="6">
        <f>AL46-AR46</f>
        <v/>
      </c>
      <c r="AT46" s="6">
        <f>AB46-AC46</f>
        <v/>
      </c>
    </row>
    <row r="47">
      <c r="A47" s="2" t="n"/>
      <c r="B47" s="3" t="n"/>
      <c r="C47" s="4" t="n"/>
      <c r="D47" s="5" t="n"/>
      <c r="E47" s="3" t="n"/>
      <c r="F47" s="4" t="n"/>
      <c r="G47" s="5" t="n"/>
      <c r="H47" s="3" t="n"/>
      <c r="I47" s="4" t="n"/>
      <c r="J47" s="5" t="n"/>
      <c r="K47" s="3" t="n"/>
      <c r="L47" s="4" t="n"/>
      <c r="M47" s="5" t="n"/>
      <c r="N47" s="3" t="n"/>
      <c r="O47" s="4" t="n"/>
      <c r="P47" s="5" t="n"/>
      <c r="Q47" s="3" t="n"/>
      <c r="R47" s="4" t="n"/>
      <c r="S47" s="5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6">
        <f>IF(C47=0,0,IF(E47="",B47*D47/100,E47))</f>
        <v/>
      </c>
      <c r="AE47" s="6">
        <f>IF(F47=0,0,IF(H47="",B47*G47/100,H47))</f>
        <v/>
      </c>
      <c r="AF47" s="6">
        <f>IF(I47=0,0,IF(K47="",B47*J47/100,K47))</f>
        <v/>
      </c>
      <c r="AG47" s="6">
        <f>IF(L47=0,0,IF(N47="",B47*M47/100,N47))</f>
        <v/>
      </c>
      <c r="AH47" s="6">
        <f>IF(O47=0,0,IF(Q47="",B47*P47/100,Q47))</f>
        <v/>
      </c>
      <c r="AI47" s="6">
        <f>IF(R47=0,0,IF(T47="",B47*S47/100,T47))</f>
        <v/>
      </c>
      <c r="AJ47" s="6">
        <f>B47*0.035</f>
        <v/>
      </c>
      <c r="AK47" s="6">
        <f>B47*0.065</f>
        <v/>
      </c>
      <c r="AL47" s="6">
        <f>SUM(B47,AD47,AE47,AF47,AG47,AH47,AI47,U47,V47,AJ47,AK47)</f>
        <v/>
      </c>
      <c r="AM47" s="6">
        <f>B47*0.055</f>
        <v/>
      </c>
      <c r="AN47" s="6">
        <f>B47*0.035</f>
        <v/>
      </c>
      <c r="AO47" s="6">
        <f>B47*0.165</f>
        <v/>
      </c>
      <c r="AP47" s="6">
        <f>MAX(0,AL47-AM47-AO47)</f>
        <v/>
      </c>
      <c r="AQ47" s="6">
        <f>IF(AP47&lt;=490,0,IF(AP47&lt;=600,(AP47-490)*0.05,IF(AP47&lt;=730,5.5+(AP47-600)*0.10,IF(AP47&lt;=3896.67,18.5+(AP47-730)*0.175,IF(AP47&lt;=19896.67,572.67+(AP47-3896.67)*0.25,IF(AP47&lt;=50416.67,4572.67+(AP47-19896.67)*0.30,13728.67+(AP47-50416.67)*0.35))))))</f>
        <v/>
      </c>
      <c r="AR47" s="6">
        <f>SUM(AM47,AQ47,W47,X47,Y47,Z47,AA47,AN47,AO47)</f>
        <v/>
      </c>
      <c r="AS47" s="6">
        <f>AL47-AR47</f>
        <v/>
      </c>
      <c r="AT47" s="6">
        <f>AB47-AC47</f>
        <v/>
      </c>
    </row>
    <row r="48">
      <c r="A48" s="2" t="n"/>
      <c r="B48" s="3" t="n"/>
      <c r="C48" s="4" t="n"/>
      <c r="D48" s="5" t="n"/>
      <c r="E48" s="3" t="n"/>
      <c r="F48" s="4" t="n"/>
      <c r="G48" s="5" t="n"/>
      <c r="H48" s="3" t="n"/>
      <c r="I48" s="4" t="n"/>
      <c r="J48" s="5" t="n"/>
      <c r="K48" s="3" t="n"/>
      <c r="L48" s="4" t="n"/>
      <c r="M48" s="5" t="n"/>
      <c r="N48" s="3" t="n"/>
      <c r="O48" s="4" t="n"/>
      <c r="P48" s="5" t="n"/>
      <c r="Q48" s="3" t="n"/>
      <c r="R48" s="4" t="n"/>
      <c r="S48" s="5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6">
        <f>IF(C48=0,0,IF(E48="",B48*D48/100,E48))</f>
        <v/>
      </c>
      <c r="AE48" s="6">
        <f>IF(F48=0,0,IF(H48="",B48*G48/100,H48))</f>
        <v/>
      </c>
      <c r="AF48" s="6">
        <f>IF(I48=0,0,IF(K48="",B48*J48/100,K48))</f>
        <v/>
      </c>
      <c r="AG48" s="6">
        <f>IF(L48=0,0,IF(N48="",B48*M48/100,N48))</f>
        <v/>
      </c>
      <c r="AH48" s="6">
        <f>IF(O48=0,0,IF(Q48="",B48*P48/100,Q48))</f>
        <v/>
      </c>
      <c r="AI48" s="6">
        <f>IF(R48=0,0,IF(T48="",B48*S48/100,T48))</f>
        <v/>
      </c>
      <c r="AJ48" s="6">
        <f>B48*0.035</f>
        <v/>
      </c>
      <c r="AK48" s="6">
        <f>B48*0.065</f>
        <v/>
      </c>
      <c r="AL48" s="6">
        <f>SUM(B48,AD48,AE48,AF48,AG48,AH48,AI48,U48,V48,AJ48,AK48)</f>
        <v/>
      </c>
      <c r="AM48" s="6">
        <f>B48*0.055</f>
        <v/>
      </c>
      <c r="AN48" s="6">
        <f>B48*0.035</f>
        <v/>
      </c>
      <c r="AO48" s="6">
        <f>B48*0.165</f>
        <v/>
      </c>
      <c r="AP48" s="6">
        <f>MAX(0,AL48-AM48-AO48)</f>
        <v/>
      </c>
      <c r="AQ48" s="6">
        <f>IF(AP48&lt;=490,0,IF(AP48&lt;=600,(AP48-490)*0.05,IF(AP48&lt;=730,5.5+(AP48-600)*0.10,IF(AP48&lt;=3896.67,18.5+(AP48-730)*0.175,IF(AP48&lt;=19896.67,572.67+(AP48-3896.67)*0.25,IF(AP48&lt;=50416.67,4572.67+(AP48-19896.67)*0.30,13728.67+(AP48-50416.67)*0.35))))))</f>
        <v/>
      </c>
      <c r="AR48" s="6">
        <f>SUM(AM48,AQ48,W48,X48,Y48,Z48,AA48,AN48,AO48)</f>
        <v/>
      </c>
      <c r="AS48" s="6">
        <f>AL48-AR48</f>
        <v/>
      </c>
      <c r="AT48" s="6">
        <f>AB48-AC48</f>
        <v/>
      </c>
    </row>
    <row r="49">
      <c r="A49" s="2" t="n"/>
      <c r="B49" s="3" t="n"/>
      <c r="C49" s="4" t="n"/>
      <c r="D49" s="5" t="n"/>
      <c r="E49" s="3" t="n"/>
      <c r="F49" s="4" t="n"/>
      <c r="G49" s="5" t="n"/>
      <c r="H49" s="3" t="n"/>
      <c r="I49" s="4" t="n"/>
      <c r="J49" s="5" t="n"/>
      <c r="K49" s="3" t="n"/>
      <c r="L49" s="4" t="n"/>
      <c r="M49" s="5" t="n"/>
      <c r="N49" s="3" t="n"/>
      <c r="O49" s="4" t="n"/>
      <c r="P49" s="5" t="n"/>
      <c r="Q49" s="3" t="n"/>
      <c r="R49" s="4" t="n"/>
      <c r="S49" s="5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6">
        <f>IF(C49=0,0,IF(E49="",B49*D49/100,E49))</f>
        <v/>
      </c>
      <c r="AE49" s="6">
        <f>IF(F49=0,0,IF(H49="",B49*G49/100,H49))</f>
        <v/>
      </c>
      <c r="AF49" s="6">
        <f>IF(I49=0,0,IF(K49="",B49*J49/100,K49))</f>
        <v/>
      </c>
      <c r="AG49" s="6">
        <f>IF(L49=0,0,IF(N49="",B49*M49/100,N49))</f>
        <v/>
      </c>
      <c r="AH49" s="6">
        <f>IF(O49=0,0,IF(Q49="",B49*P49/100,Q49))</f>
        <v/>
      </c>
      <c r="AI49" s="6">
        <f>IF(R49=0,0,IF(T49="",B49*S49/100,T49))</f>
        <v/>
      </c>
      <c r="AJ49" s="6">
        <f>B49*0.035</f>
        <v/>
      </c>
      <c r="AK49" s="6">
        <f>B49*0.065</f>
        <v/>
      </c>
      <c r="AL49" s="6">
        <f>SUM(B49,AD49,AE49,AF49,AG49,AH49,AI49,U49,V49,AJ49,AK49)</f>
        <v/>
      </c>
      <c r="AM49" s="6">
        <f>B49*0.055</f>
        <v/>
      </c>
      <c r="AN49" s="6">
        <f>B49*0.035</f>
        <v/>
      </c>
      <c r="AO49" s="6">
        <f>B49*0.165</f>
        <v/>
      </c>
      <c r="AP49" s="6">
        <f>MAX(0,AL49-AM49-AO49)</f>
        <v/>
      </c>
      <c r="AQ49" s="6">
        <f>IF(AP49&lt;=490,0,IF(AP49&lt;=600,(AP49-490)*0.05,IF(AP49&lt;=730,5.5+(AP49-600)*0.10,IF(AP49&lt;=3896.67,18.5+(AP49-730)*0.175,IF(AP49&lt;=19896.67,572.67+(AP49-3896.67)*0.25,IF(AP49&lt;=50416.67,4572.67+(AP49-19896.67)*0.30,13728.67+(AP49-50416.67)*0.35))))))</f>
        <v/>
      </c>
      <c r="AR49" s="6">
        <f>SUM(AM49,AQ49,W49,X49,Y49,Z49,AA49,AN49,AO49)</f>
        <v/>
      </c>
      <c r="AS49" s="6">
        <f>AL49-AR49</f>
        <v/>
      </c>
      <c r="AT49" s="6">
        <f>AB49-AC49</f>
        <v/>
      </c>
    </row>
    <row r="50">
      <c r="A50" s="2" t="n"/>
      <c r="B50" s="3" t="n"/>
      <c r="C50" s="4" t="n"/>
      <c r="D50" s="5" t="n"/>
      <c r="E50" s="3" t="n"/>
      <c r="F50" s="4" t="n"/>
      <c r="G50" s="5" t="n"/>
      <c r="H50" s="3" t="n"/>
      <c r="I50" s="4" t="n"/>
      <c r="J50" s="5" t="n"/>
      <c r="K50" s="3" t="n"/>
      <c r="L50" s="4" t="n"/>
      <c r="M50" s="5" t="n"/>
      <c r="N50" s="3" t="n"/>
      <c r="O50" s="4" t="n"/>
      <c r="P50" s="5" t="n"/>
      <c r="Q50" s="3" t="n"/>
      <c r="R50" s="4" t="n"/>
      <c r="S50" s="5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6">
        <f>IF(C50=0,0,IF(E50="",B50*D50/100,E50))</f>
        <v/>
      </c>
      <c r="AE50" s="6">
        <f>IF(F50=0,0,IF(H50="",B50*G50/100,H50))</f>
        <v/>
      </c>
      <c r="AF50" s="6">
        <f>IF(I50=0,0,IF(K50="",B50*J50/100,K50))</f>
        <v/>
      </c>
      <c r="AG50" s="6">
        <f>IF(L50=0,0,IF(N50="",B50*M50/100,N50))</f>
        <v/>
      </c>
      <c r="AH50" s="6">
        <f>IF(O50=0,0,IF(Q50="",B50*P50/100,Q50))</f>
        <v/>
      </c>
      <c r="AI50" s="6">
        <f>IF(R50=0,0,IF(T50="",B50*S50/100,T50))</f>
        <v/>
      </c>
      <c r="AJ50" s="6">
        <f>B50*0.035</f>
        <v/>
      </c>
      <c r="AK50" s="6">
        <f>B50*0.065</f>
        <v/>
      </c>
      <c r="AL50" s="6">
        <f>SUM(B50,AD50,AE50,AF50,AG50,AH50,AI50,U50,V50,AJ50,AK50)</f>
        <v/>
      </c>
      <c r="AM50" s="6">
        <f>B50*0.055</f>
        <v/>
      </c>
      <c r="AN50" s="6">
        <f>B50*0.035</f>
        <v/>
      </c>
      <c r="AO50" s="6">
        <f>B50*0.165</f>
        <v/>
      </c>
      <c r="AP50" s="6">
        <f>MAX(0,AL50-AM50-AO50)</f>
        <v/>
      </c>
      <c r="AQ50" s="6">
        <f>IF(AP50&lt;=490,0,IF(AP50&lt;=600,(AP50-490)*0.05,IF(AP50&lt;=730,5.5+(AP50-600)*0.10,IF(AP50&lt;=3896.67,18.5+(AP50-730)*0.175,IF(AP50&lt;=19896.67,572.67+(AP50-3896.67)*0.25,IF(AP50&lt;=50416.67,4572.67+(AP50-19896.67)*0.30,13728.67+(AP50-50416.67)*0.35))))))</f>
        <v/>
      </c>
      <c r="AR50" s="6">
        <f>SUM(AM50,AQ50,W50,X50,Y50,Z50,AA50,AN50,AO50)</f>
        <v/>
      </c>
      <c r="AS50" s="6">
        <f>AL50-AR50</f>
        <v/>
      </c>
      <c r="AT50" s="6">
        <f>AB50-AC50</f>
        <v/>
      </c>
    </row>
    <row r="51">
      <c r="A51" s="2" t="n"/>
      <c r="B51" s="3" t="n"/>
      <c r="C51" s="4" t="n"/>
      <c r="D51" s="5" t="n"/>
      <c r="E51" s="3" t="n"/>
      <c r="F51" s="4" t="n"/>
      <c r="G51" s="5" t="n"/>
      <c r="H51" s="3" t="n"/>
      <c r="I51" s="4" t="n"/>
      <c r="J51" s="5" t="n"/>
      <c r="K51" s="3" t="n"/>
      <c r="L51" s="4" t="n"/>
      <c r="M51" s="5" t="n"/>
      <c r="N51" s="3" t="n"/>
      <c r="O51" s="4" t="n"/>
      <c r="P51" s="5" t="n"/>
      <c r="Q51" s="3" t="n"/>
      <c r="R51" s="4" t="n"/>
      <c r="S51" s="5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6">
        <f>IF(C51=0,0,IF(E51="",B51*D51/100,E51))</f>
        <v/>
      </c>
      <c r="AE51" s="6">
        <f>IF(F51=0,0,IF(H51="",B51*G51/100,H51))</f>
        <v/>
      </c>
      <c r="AF51" s="6">
        <f>IF(I51=0,0,IF(K51="",B51*J51/100,K51))</f>
        <v/>
      </c>
      <c r="AG51" s="6">
        <f>IF(L51=0,0,IF(N51="",B51*M51/100,N51))</f>
        <v/>
      </c>
      <c r="AH51" s="6">
        <f>IF(O51=0,0,IF(Q51="",B51*P51/100,Q51))</f>
        <v/>
      </c>
      <c r="AI51" s="6">
        <f>IF(R51=0,0,IF(T51="",B51*S51/100,T51))</f>
        <v/>
      </c>
      <c r="AJ51" s="6">
        <f>B51*0.035</f>
        <v/>
      </c>
      <c r="AK51" s="6">
        <f>B51*0.065</f>
        <v/>
      </c>
      <c r="AL51" s="6">
        <f>SUM(B51,AD51,AE51,AF51,AG51,AH51,AI51,U51,V51,AJ51,AK51)</f>
        <v/>
      </c>
      <c r="AM51" s="6">
        <f>B51*0.055</f>
        <v/>
      </c>
      <c r="AN51" s="6">
        <f>B51*0.035</f>
        <v/>
      </c>
      <c r="AO51" s="6">
        <f>B51*0.165</f>
        <v/>
      </c>
      <c r="AP51" s="6">
        <f>MAX(0,AL51-AM51-AO51)</f>
        <v/>
      </c>
      <c r="AQ51" s="6">
        <f>IF(AP51&lt;=490,0,IF(AP51&lt;=600,(AP51-490)*0.05,IF(AP51&lt;=730,5.5+(AP51-600)*0.10,IF(AP51&lt;=3896.67,18.5+(AP51-730)*0.175,IF(AP51&lt;=19896.67,572.67+(AP51-3896.67)*0.25,IF(AP51&lt;=50416.67,4572.67+(AP51-19896.67)*0.30,13728.67+(AP51-50416.67)*0.35))))))</f>
        <v/>
      </c>
      <c r="AR51" s="6">
        <f>SUM(AM51,AQ51,W51,X51,Y51,Z51,AA51,AN51,AO51)</f>
        <v/>
      </c>
      <c r="AS51" s="6">
        <f>AL51-AR51</f>
        <v/>
      </c>
      <c r="AT51" s="6">
        <f>AB51-AC51</f>
        <v/>
      </c>
    </row>
    <row r="52">
      <c r="A52" s="2" t="n"/>
      <c r="B52" s="3" t="n"/>
      <c r="C52" s="4" t="n"/>
      <c r="D52" s="5" t="n"/>
      <c r="E52" s="3" t="n"/>
      <c r="F52" s="4" t="n"/>
      <c r="G52" s="5" t="n"/>
      <c r="H52" s="3" t="n"/>
      <c r="I52" s="4" t="n"/>
      <c r="J52" s="5" t="n"/>
      <c r="K52" s="3" t="n"/>
      <c r="L52" s="4" t="n"/>
      <c r="M52" s="5" t="n"/>
      <c r="N52" s="3" t="n"/>
      <c r="O52" s="4" t="n"/>
      <c r="P52" s="5" t="n"/>
      <c r="Q52" s="3" t="n"/>
      <c r="R52" s="4" t="n"/>
      <c r="S52" s="5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6">
        <f>IF(C52=0,0,IF(E52="",B52*D52/100,E52))</f>
        <v/>
      </c>
      <c r="AE52" s="6">
        <f>IF(F52=0,0,IF(H52="",B52*G52/100,H52))</f>
        <v/>
      </c>
      <c r="AF52" s="6">
        <f>IF(I52=0,0,IF(K52="",B52*J52/100,K52))</f>
        <v/>
      </c>
      <c r="AG52" s="6">
        <f>IF(L52=0,0,IF(N52="",B52*M52/100,N52))</f>
        <v/>
      </c>
      <c r="AH52" s="6">
        <f>IF(O52=0,0,IF(Q52="",B52*P52/100,Q52))</f>
        <v/>
      </c>
      <c r="AI52" s="6">
        <f>IF(R52=0,0,IF(T52="",B52*S52/100,T52))</f>
        <v/>
      </c>
      <c r="AJ52" s="6">
        <f>B52*0.035</f>
        <v/>
      </c>
      <c r="AK52" s="6">
        <f>B52*0.065</f>
        <v/>
      </c>
      <c r="AL52" s="6">
        <f>SUM(B52,AD52,AE52,AF52,AG52,AH52,AI52,U52,V52,AJ52,AK52)</f>
        <v/>
      </c>
      <c r="AM52" s="6">
        <f>B52*0.055</f>
        <v/>
      </c>
      <c r="AN52" s="6">
        <f>B52*0.035</f>
        <v/>
      </c>
      <c r="AO52" s="6">
        <f>B52*0.165</f>
        <v/>
      </c>
      <c r="AP52" s="6">
        <f>MAX(0,AL52-AM52-AO52)</f>
        <v/>
      </c>
      <c r="AQ52" s="6">
        <f>IF(AP52&lt;=490,0,IF(AP52&lt;=600,(AP52-490)*0.05,IF(AP52&lt;=730,5.5+(AP52-600)*0.10,IF(AP52&lt;=3896.67,18.5+(AP52-730)*0.175,IF(AP52&lt;=19896.67,572.67+(AP52-3896.67)*0.25,IF(AP52&lt;=50416.67,4572.67+(AP52-19896.67)*0.30,13728.67+(AP52-50416.67)*0.35))))))</f>
        <v/>
      </c>
      <c r="AR52" s="6">
        <f>SUM(AM52,AQ52,W52,X52,Y52,Z52,AA52,AN52,AO52)</f>
        <v/>
      </c>
      <c r="AS52" s="6">
        <f>AL52-AR52</f>
        <v/>
      </c>
      <c r="AT52" s="6">
        <f>AB52-AC52</f>
        <v/>
      </c>
    </row>
    <row r="53">
      <c r="A53" s="2" t="n"/>
      <c r="B53" s="3" t="n"/>
      <c r="C53" s="4" t="n"/>
      <c r="D53" s="5" t="n"/>
      <c r="E53" s="3" t="n"/>
      <c r="F53" s="4" t="n"/>
      <c r="G53" s="5" t="n"/>
      <c r="H53" s="3" t="n"/>
      <c r="I53" s="4" t="n"/>
      <c r="J53" s="5" t="n"/>
      <c r="K53" s="3" t="n"/>
      <c r="L53" s="4" t="n"/>
      <c r="M53" s="5" t="n"/>
      <c r="N53" s="3" t="n"/>
      <c r="O53" s="4" t="n"/>
      <c r="P53" s="5" t="n"/>
      <c r="Q53" s="3" t="n"/>
      <c r="R53" s="4" t="n"/>
      <c r="S53" s="5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6">
        <f>IF(C53=0,0,IF(E53="",B53*D53/100,E53))</f>
        <v/>
      </c>
      <c r="AE53" s="6">
        <f>IF(F53=0,0,IF(H53="",B53*G53/100,H53))</f>
        <v/>
      </c>
      <c r="AF53" s="6">
        <f>IF(I53=0,0,IF(K53="",B53*J53/100,K53))</f>
        <v/>
      </c>
      <c r="AG53" s="6">
        <f>IF(L53=0,0,IF(N53="",B53*M53/100,N53))</f>
        <v/>
      </c>
      <c r="AH53" s="6">
        <f>IF(O53=0,0,IF(Q53="",B53*P53/100,Q53))</f>
        <v/>
      </c>
      <c r="AI53" s="6">
        <f>IF(R53=0,0,IF(T53="",B53*S53/100,T53))</f>
        <v/>
      </c>
      <c r="AJ53" s="6">
        <f>B53*0.035</f>
        <v/>
      </c>
      <c r="AK53" s="6">
        <f>B53*0.065</f>
        <v/>
      </c>
      <c r="AL53" s="6">
        <f>SUM(B53,AD53,AE53,AF53,AG53,AH53,AI53,U53,V53,AJ53,AK53)</f>
        <v/>
      </c>
      <c r="AM53" s="6">
        <f>B53*0.055</f>
        <v/>
      </c>
      <c r="AN53" s="6">
        <f>B53*0.035</f>
        <v/>
      </c>
      <c r="AO53" s="6">
        <f>B53*0.165</f>
        <v/>
      </c>
      <c r="AP53" s="6">
        <f>MAX(0,AL53-AM53-AO53)</f>
        <v/>
      </c>
      <c r="AQ53" s="6">
        <f>IF(AP53&lt;=490,0,IF(AP53&lt;=600,(AP53-490)*0.05,IF(AP53&lt;=730,5.5+(AP53-600)*0.10,IF(AP53&lt;=3896.67,18.5+(AP53-730)*0.175,IF(AP53&lt;=19896.67,572.67+(AP53-3896.67)*0.25,IF(AP53&lt;=50416.67,4572.67+(AP53-19896.67)*0.30,13728.67+(AP53-50416.67)*0.35))))))</f>
        <v/>
      </c>
      <c r="AR53" s="6">
        <f>SUM(AM53,AQ53,W53,X53,Y53,Z53,AA53,AN53,AO53)</f>
        <v/>
      </c>
      <c r="AS53" s="6">
        <f>AL53-AR53</f>
        <v/>
      </c>
      <c r="AT53" s="6">
        <f>AB53-AC53</f>
        <v/>
      </c>
    </row>
    <row r="54">
      <c r="A54" s="2" t="n"/>
      <c r="B54" s="3" t="n"/>
      <c r="C54" s="4" t="n"/>
      <c r="D54" s="5" t="n"/>
      <c r="E54" s="3" t="n"/>
      <c r="F54" s="4" t="n"/>
      <c r="G54" s="5" t="n"/>
      <c r="H54" s="3" t="n"/>
      <c r="I54" s="4" t="n"/>
      <c r="J54" s="5" t="n"/>
      <c r="K54" s="3" t="n"/>
      <c r="L54" s="4" t="n"/>
      <c r="M54" s="5" t="n"/>
      <c r="N54" s="3" t="n"/>
      <c r="O54" s="4" t="n"/>
      <c r="P54" s="5" t="n"/>
      <c r="Q54" s="3" t="n"/>
      <c r="R54" s="4" t="n"/>
      <c r="S54" s="5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6">
        <f>IF(C54=0,0,IF(E54="",B54*D54/100,E54))</f>
        <v/>
      </c>
      <c r="AE54" s="6">
        <f>IF(F54=0,0,IF(H54="",B54*G54/100,H54))</f>
        <v/>
      </c>
      <c r="AF54" s="6">
        <f>IF(I54=0,0,IF(K54="",B54*J54/100,K54))</f>
        <v/>
      </c>
      <c r="AG54" s="6">
        <f>IF(L54=0,0,IF(N54="",B54*M54/100,N54))</f>
        <v/>
      </c>
      <c r="AH54" s="6">
        <f>IF(O54=0,0,IF(Q54="",B54*P54/100,Q54))</f>
        <v/>
      </c>
      <c r="AI54" s="6">
        <f>IF(R54=0,0,IF(T54="",B54*S54/100,T54))</f>
        <v/>
      </c>
      <c r="AJ54" s="6">
        <f>B54*0.035</f>
        <v/>
      </c>
      <c r="AK54" s="6">
        <f>B54*0.065</f>
        <v/>
      </c>
      <c r="AL54" s="6">
        <f>SUM(B54,AD54,AE54,AF54,AG54,AH54,AI54,U54,V54,AJ54,AK54)</f>
        <v/>
      </c>
      <c r="AM54" s="6">
        <f>B54*0.055</f>
        <v/>
      </c>
      <c r="AN54" s="6">
        <f>B54*0.035</f>
        <v/>
      </c>
      <c r="AO54" s="6">
        <f>B54*0.165</f>
        <v/>
      </c>
      <c r="AP54" s="6">
        <f>MAX(0,AL54-AM54-AO54)</f>
        <v/>
      </c>
      <c r="AQ54" s="6">
        <f>IF(AP54&lt;=490,0,IF(AP54&lt;=600,(AP54-490)*0.05,IF(AP54&lt;=730,5.5+(AP54-600)*0.10,IF(AP54&lt;=3896.67,18.5+(AP54-730)*0.175,IF(AP54&lt;=19896.67,572.67+(AP54-3896.67)*0.25,IF(AP54&lt;=50416.67,4572.67+(AP54-19896.67)*0.30,13728.67+(AP54-50416.67)*0.35))))))</f>
        <v/>
      </c>
      <c r="AR54" s="6">
        <f>SUM(AM54,AQ54,W54,X54,Y54,Z54,AA54,AN54,AO54)</f>
        <v/>
      </c>
      <c r="AS54" s="6">
        <f>AL54-AR54</f>
        <v/>
      </c>
      <c r="AT54" s="6">
        <f>AB54-AC54</f>
        <v/>
      </c>
    </row>
    <row r="55">
      <c r="A55" s="2" t="n"/>
      <c r="B55" s="3" t="n"/>
      <c r="C55" s="4" t="n"/>
      <c r="D55" s="5" t="n"/>
      <c r="E55" s="3" t="n"/>
      <c r="F55" s="4" t="n"/>
      <c r="G55" s="5" t="n"/>
      <c r="H55" s="3" t="n"/>
      <c r="I55" s="4" t="n"/>
      <c r="J55" s="5" t="n"/>
      <c r="K55" s="3" t="n"/>
      <c r="L55" s="4" t="n"/>
      <c r="M55" s="5" t="n"/>
      <c r="N55" s="3" t="n"/>
      <c r="O55" s="4" t="n"/>
      <c r="P55" s="5" t="n"/>
      <c r="Q55" s="3" t="n"/>
      <c r="R55" s="4" t="n"/>
      <c r="S55" s="5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6">
        <f>IF(C55=0,0,IF(E55="",B55*D55/100,E55))</f>
        <v/>
      </c>
      <c r="AE55" s="6">
        <f>IF(F55=0,0,IF(H55="",B55*G55/100,H55))</f>
        <v/>
      </c>
      <c r="AF55" s="6">
        <f>IF(I55=0,0,IF(K55="",B55*J55/100,K55))</f>
        <v/>
      </c>
      <c r="AG55" s="6">
        <f>IF(L55=0,0,IF(N55="",B55*M55/100,N55))</f>
        <v/>
      </c>
      <c r="AH55" s="6">
        <f>IF(O55=0,0,IF(Q55="",B55*P55/100,Q55))</f>
        <v/>
      </c>
      <c r="AI55" s="6">
        <f>IF(R55=0,0,IF(T55="",B55*S55/100,T55))</f>
        <v/>
      </c>
      <c r="AJ55" s="6">
        <f>B55*0.035</f>
        <v/>
      </c>
      <c r="AK55" s="6">
        <f>B55*0.065</f>
        <v/>
      </c>
      <c r="AL55" s="6">
        <f>SUM(B55,AD55,AE55,AF55,AG55,AH55,AI55,U55,V55,AJ55,AK55)</f>
        <v/>
      </c>
      <c r="AM55" s="6">
        <f>B55*0.055</f>
        <v/>
      </c>
      <c r="AN55" s="6">
        <f>B55*0.035</f>
        <v/>
      </c>
      <c r="AO55" s="6">
        <f>B55*0.165</f>
        <v/>
      </c>
      <c r="AP55" s="6">
        <f>MAX(0,AL55-AM55-AO55)</f>
        <v/>
      </c>
      <c r="AQ55" s="6">
        <f>IF(AP55&lt;=490,0,IF(AP55&lt;=600,(AP55-490)*0.05,IF(AP55&lt;=730,5.5+(AP55-600)*0.10,IF(AP55&lt;=3896.67,18.5+(AP55-730)*0.175,IF(AP55&lt;=19896.67,572.67+(AP55-3896.67)*0.25,IF(AP55&lt;=50416.67,4572.67+(AP55-19896.67)*0.30,13728.67+(AP55-50416.67)*0.35))))))</f>
        <v/>
      </c>
      <c r="AR55" s="6">
        <f>SUM(AM55,AQ55,W55,X55,Y55,Z55,AA55,AN55,AO55)</f>
        <v/>
      </c>
      <c r="AS55" s="6">
        <f>AL55-AR55</f>
        <v/>
      </c>
      <c r="AT55" s="6">
        <f>AB55-AC55</f>
        <v/>
      </c>
    </row>
    <row r="56">
      <c r="A56" s="2" t="n"/>
      <c r="B56" s="3" t="n"/>
      <c r="C56" s="4" t="n"/>
      <c r="D56" s="5" t="n"/>
      <c r="E56" s="3" t="n"/>
      <c r="F56" s="4" t="n"/>
      <c r="G56" s="5" t="n"/>
      <c r="H56" s="3" t="n"/>
      <c r="I56" s="4" t="n"/>
      <c r="J56" s="5" t="n"/>
      <c r="K56" s="3" t="n"/>
      <c r="L56" s="4" t="n"/>
      <c r="M56" s="5" t="n"/>
      <c r="N56" s="3" t="n"/>
      <c r="O56" s="4" t="n"/>
      <c r="P56" s="5" t="n"/>
      <c r="Q56" s="3" t="n"/>
      <c r="R56" s="4" t="n"/>
      <c r="S56" s="5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6">
        <f>IF(C56=0,0,IF(E56="",B56*D56/100,E56))</f>
        <v/>
      </c>
      <c r="AE56" s="6">
        <f>IF(F56=0,0,IF(H56="",B56*G56/100,H56))</f>
        <v/>
      </c>
      <c r="AF56" s="6">
        <f>IF(I56=0,0,IF(K56="",B56*J56/100,K56))</f>
        <v/>
      </c>
      <c r="AG56" s="6">
        <f>IF(L56=0,0,IF(N56="",B56*M56/100,N56))</f>
        <v/>
      </c>
      <c r="AH56" s="6">
        <f>IF(O56=0,0,IF(Q56="",B56*P56/100,Q56))</f>
        <v/>
      </c>
      <c r="AI56" s="6">
        <f>IF(R56=0,0,IF(T56="",B56*S56/100,T56))</f>
        <v/>
      </c>
      <c r="AJ56" s="6">
        <f>B56*0.035</f>
        <v/>
      </c>
      <c r="AK56" s="6">
        <f>B56*0.065</f>
        <v/>
      </c>
      <c r="AL56" s="6">
        <f>SUM(B56,AD56,AE56,AF56,AG56,AH56,AI56,U56,V56,AJ56,AK56)</f>
        <v/>
      </c>
      <c r="AM56" s="6">
        <f>B56*0.055</f>
        <v/>
      </c>
      <c r="AN56" s="6">
        <f>B56*0.035</f>
        <v/>
      </c>
      <c r="AO56" s="6">
        <f>B56*0.165</f>
        <v/>
      </c>
      <c r="AP56" s="6">
        <f>MAX(0,AL56-AM56-AO56)</f>
        <v/>
      </c>
      <c r="AQ56" s="6">
        <f>IF(AP56&lt;=490,0,IF(AP56&lt;=600,(AP56-490)*0.05,IF(AP56&lt;=730,5.5+(AP56-600)*0.10,IF(AP56&lt;=3896.67,18.5+(AP56-730)*0.175,IF(AP56&lt;=19896.67,572.67+(AP56-3896.67)*0.25,IF(AP56&lt;=50416.67,4572.67+(AP56-19896.67)*0.30,13728.67+(AP56-50416.67)*0.35))))))</f>
        <v/>
      </c>
      <c r="AR56" s="6">
        <f>SUM(AM56,AQ56,W56,X56,Y56,Z56,AA56,AN56,AO56)</f>
        <v/>
      </c>
      <c r="AS56" s="6">
        <f>AL56-AR56</f>
        <v/>
      </c>
      <c r="AT56" s="6">
        <f>AB56-AC56</f>
        <v/>
      </c>
    </row>
    <row r="57">
      <c r="A57" s="2" t="n"/>
      <c r="B57" s="3" t="n"/>
      <c r="C57" s="4" t="n"/>
      <c r="D57" s="5" t="n"/>
      <c r="E57" s="3" t="n"/>
      <c r="F57" s="4" t="n"/>
      <c r="G57" s="5" t="n"/>
      <c r="H57" s="3" t="n"/>
      <c r="I57" s="4" t="n"/>
      <c r="J57" s="5" t="n"/>
      <c r="K57" s="3" t="n"/>
      <c r="L57" s="4" t="n"/>
      <c r="M57" s="5" t="n"/>
      <c r="N57" s="3" t="n"/>
      <c r="O57" s="4" t="n"/>
      <c r="P57" s="5" t="n"/>
      <c r="Q57" s="3" t="n"/>
      <c r="R57" s="4" t="n"/>
      <c r="S57" s="5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6">
        <f>IF(C57=0,0,IF(E57="",B57*D57/100,E57))</f>
        <v/>
      </c>
      <c r="AE57" s="6">
        <f>IF(F57=0,0,IF(H57="",B57*G57/100,H57))</f>
        <v/>
      </c>
      <c r="AF57" s="6">
        <f>IF(I57=0,0,IF(K57="",B57*J57/100,K57))</f>
        <v/>
      </c>
      <c r="AG57" s="6">
        <f>IF(L57=0,0,IF(N57="",B57*M57/100,N57))</f>
        <v/>
      </c>
      <c r="AH57" s="6">
        <f>IF(O57=0,0,IF(Q57="",B57*P57/100,Q57))</f>
        <v/>
      </c>
      <c r="AI57" s="6">
        <f>IF(R57=0,0,IF(T57="",B57*S57/100,T57))</f>
        <v/>
      </c>
      <c r="AJ57" s="6">
        <f>B57*0.035</f>
        <v/>
      </c>
      <c r="AK57" s="6">
        <f>B57*0.065</f>
        <v/>
      </c>
      <c r="AL57" s="6">
        <f>SUM(B57,AD57,AE57,AF57,AG57,AH57,AI57,U57,V57,AJ57,AK57)</f>
        <v/>
      </c>
      <c r="AM57" s="6">
        <f>B57*0.055</f>
        <v/>
      </c>
      <c r="AN57" s="6">
        <f>B57*0.035</f>
        <v/>
      </c>
      <c r="AO57" s="6">
        <f>B57*0.165</f>
        <v/>
      </c>
      <c r="AP57" s="6">
        <f>MAX(0,AL57-AM57-AO57)</f>
        <v/>
      </c>
      <c r="AQ57" s="6">
        <f>IF(AP57&lt;=490,0,IF(AP57&lt;=600,(AP57-490)*0.05,IF(AP57&lt;=730,5.5+(AP57-600)*0.10,IF(AP57&lt;=3896.67,18.5+(AP57-730)*0.175,IF(AP57&lt;=19896.67,572.67+(AP57-3896.67)*0.25,IF(AP57&lt;=50416.67,4572.67+(AP57-19896.67)*0.30,13728.67+(AP57-50416.67)*0.35))))))</f>
        <v/>
      </c>
      <c r="AR57" s="6">
        <f>SUM(AM57,AQ57,W57,X57,Y57,Z57,AA57,AN57,AO57)</f>
        <v/>
      </c>
      <c r="AS57" s="6">
        <f>AL57-AR57</f>
        <v/>
      </c>
      <c r="AT57" s="6">
        <f>AB57-AC57</f>
        <v/>
      </c>
    </row>
    <row r="58">
      <c r="A58" s="2" t="n"/>
      <c r="B58" s="3" t="n"/>
      <c r="C58" s="4" t="n"/>
      <c r="D58" s="5" t="n"/>
      <c r="E58" s="3" t="n"/>
      <c r="F58" s="4" t="n"/>
      <c r="G58" s="5" t="n"/>
      <c r="H58" s="3" t="n"/>
      <c r="I58" s="4" t="n"/>
      <c r="J58" s="5" t="n"/>
      <c r="K58" s="3" t="n"/>
      <c r="L58" s="4" t="n"/>
      <c r="M58" s="5" t="n"/>
      <c r="N58" s="3" t="n"/>
      <c r="O58" s="4" t="n"/>
      <c r="P58" s="5" t="n"/>
      <c r="Q58" s="3" t="n"/>
      <c r="R58" s="4" t="n"/>
      <c r="S58" s="5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6">
        <f>IF(C58=0,0,IF(E58="",B58*D58/100,E58))</f>
        <v/>
      </c>
      <c r="AE58" s="6">
        <f>IF(F58=0,0,IF(H58="",B58*G58/100,H58))</f>
        <v/>
      </c>
      <c r="AF58" s="6">
        <f>IF(I58=0,0,IF(K58="",B58*J58/100,K58))</f>
        <v/>
      </c>
      <c r="AG58" s="6">
        <f>IF(L58=0,0,IF(N58="",B58*M58/100,N58))</f>
        <v/>
      </c>
      <c r="AH58" s="6">
        <f>IF(O58=0,0,IF(Q58="",B58*P58/100,Q58))</f>
        <v/>
      </c>
      <c r="AI58" s="6">
        <f>IF(R58=0,0,IF(T58="",B58*S58/100,T58))</f>
        <v/>
      </c>
      <c r="AJ58" s="6">
        <f>B58*0.035</f>
        <v/>
      </c>
      <c r="AK58" s="6">
        <f>B58*0.065</f>
        <v/>
      </c>
      <c r="AL58" s="6">
        <f>SUM(B58,AD58,AE58,AF58,AG58,AH58,AI58,U58,V58,AJ58,AK58)</f>
        <v/>
      </c>
      <c r="AM58" s="6">
        <f>B58*0.055</f>
        <v/>
      </c>
      <c r="AN58" s="6">
        <f>B58*0.035</f>
        <v/>
      </c>
      <c r="AO58" s="6">
        <f>B58*0.165</f>
        <v/>
      </c>
      <c r="AP58" s="6">
        <f>MAX(0,AL58-AM58-AO58)</f>
        <v/>
      </c>
      <c r="AQ58" s="6">
        <f>IF(AP58&lt;=490,0,IF(AP58&lt;=600,(AP58-490)*0.05,IF(AP58&lt;=730,5.5+(AP58-600)*0.10,IF(AP58&lt;=3896.67,18.5+(AP58-730)*0.175,IF(AP58&lt;=19896.67,572.67+(AP58-3896.67)*0.25,IF(AP58&lt;=50416.67,4572.67+(AP58-19896.67)*0.30,13728.67+(AP58-50416.67)*0.35))))))</f>
        <v/>
      </c>
      <c r="AR58" s="6">
        <f>SUM(AM58,AQ58,W58,X58,Y58,Z58,AA58,AN58,AO58)</f>
        <v/>
      </c>
      <c r="AS58" s="6">
        <f>AL58-AR58</f>
        <v/>
      </c>
      <c r="AT58" s="6">
        <f>AB58-AC58</f>
        <v/>
      </c>
    </row>
    <row r="59">
      <c r="A59" s="2" t="n"/>
      <c r="B59" s="3" t="n"/>
      <c r="C59" s="4" t="n"/>
      <c r="D59" s="5" t="n"/>
      <c r="E59" s="3" t="n"/>
      <c r="F59" s="4" t="n"/>
      <c r="G59" s="5" t="n"/>
      <c r="H59" s="3" t="n"/>
      <c r="I59" s="4" t="n"/>
      <c r="J59" s="5" t="n"/>
      <c r="K59" s="3" t="n"/>
      <c r="L59" s="4" t="n"/>
      <c r="M59" s="5" t="n"/>
      <c r="N59" s="3" t="n"/>
      <c r="O59" s="4" t="n"/>
      <c r="P59" s="5" t="n"/>
      <c r="Q59" s="3" t="n"/>
      <c r="R59" s="4" t="n"/>
      <c r="S59" s="5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6">
        <f>IF(C59=0,0,IF(E59="",B59*D59/100,E59))</f>
        <v/>
      </c>
      <c r="AE59" s="6">
        <f>IF(F59=0,0,IF(H59="",B59*G59/100,H59))</f>
        <v/>
      </c>
      <c r="AF59" s="6">
        <f>IF(I59=0,0,IF(K59="",B59*J59/100,K59))</f>
        <v/>
      </c>
      <c r="AG59" s="6">
        <f>IF(L59=0,0,IF(N59="",B59*M59/100,N59))</f>
        <v/>
      </c>
      <c r="AH59" s="6">
        <f>IF(O59=0,0,IF(Q59="",B59*P59/100,Q59))</f>
        <v/>
      </c>
      <c r="AI59" s="6">
        <f>IF(R59=0,0,IF(T59="",B59*S59/100,T59))</f>
        <v/>
      </c>
      <c r="AJ59" s="6">
        <f>B59*0.035</f>
        <v/>
      </c>
      <c r="AK59" s="6">
        <f>B59*0.065</f>
        <v/>
      </c>
      <c r="AL59" s="6">
        <f>SUM(B59,AD59,AE59,AF59,AG59,AH59,AI59,U59,V59,AJ59,AK59)</f>
        <v/>
      </c>
      <c r="AM59" s="6">
        <f>B59*0.055</f>
        <v/>
      </c>
      <c r="AN59" s="6">
        <f>B59*0.035</f>
        <v/>
      </c>
      <c r="AO59" s="6">
        <f>B59*0.165</f>
        <v/>
      </c>
      <c r="AP59" s="6">
        <f>MAX(0,AL59-AM59-AO59)</f>
        <v/>
      </c>
      <c r="AQ59" s="6">
        <f>IF(AP59&lt;=490,0,IF(AP59&lt;=600,(AP59-490)*0.05,IF(AP59&lt;=730,5.5+(AP59-600)*0.10,IF(AP59&lt;=3896.67,18.5+(AP59-730)*0.175,IF(AP59&lt;=19896.67,572.67+(AP59-3896.67)*0.25,IF(AP59&lt;=50416.67,4572.67+(AP59-19896.67)*0.30,13728.67+(AP59-50416.67)*0.35))))))</f>
        <v/>
      </c>
      <c r="AR59" s="6">
        <f>SUM(AM59,AQ59,W59,X59,Y59,Z59,AA59,AN59,AO59)</f>
        <v/>
      </c>
      <c r="AS59" s="6">
        <f>AL59-AR59</f>
        <v/>
      </c>
      <c r="AT59" s="6">
        <f>AB59-AC59</f>
        <v/>
      </c>
    </row>
    <row r="60">
      <c r="A60" s="2" t="n"/>
      <c r="B60" s="3" t="n"/>
      <c r="C60" s="4" t="n"/>
      <c r="D60" s="5" t="n"/>
      <c r="E60" s="3" t="n"/>
      <c r="F60" s="4" t="n"/>
      <c r="G60" s="5" t="n"/>
      <c r="H60" s="3" t="n"/>
      <c r="I60" s="4" t="n"/>
      <c r="J60" s="5" t="n"/>
      <c r="K60" s="3" t="n"/>
      <c r="L60" s="4" t="n"/>
      <c r="M60" s="5" t="n"/>
      <c r="N60" s="3" t="n"/>
      <c r="O60" s="4" t="n"/>
      <c r="P60" s="5" t="n"/>
      <c r="Q60" s="3" t="n"/>
      <c r="R60" s="4" t="n"/>
      <c r="S60" s="5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6">
        <f>IF(C60=0,0,IF(E60="",B60*D60/100,E60))</f>
        <v/>
      </c>
      <c r="AE60" s="6">
        <f>IF(F60=0,0,IF(H60="",B60*G60/100,H60))</f>
        <v/>
      </c>
      <c r="AF60" s="6">
        <f>IF(I60=0,0,IF(K60="",B60*J60/100,K60))</f>
        <v/>
      </c>
      <c r="AG60" s="6">
        <f>IF(L60=0,0,IF(N60="",B60*M60/100,N60))</f>
        <v/>
      </c>
      <c r="AH60" s="6">
        <f>IF(O60=0,0,IF(Q60="",B60*P60/100,Q60))</f>
        <v/>
      </c>
      <c r="AI60" s="6">
        <f>IF(R60=0,0,IF(T60="",B60*S60/100,T60))</f>
        <v/>
      </c>
      <c r="AJ60" s="6">
        <f>B60*0.035</f>
        <v/>
      </c>
      <c r="AK60" s="6">
        <f>B60*0.065</f>
        <v/>
      </c>
      <c r="AL60" s="6">
        <f>SUM(B60,AD60,AE60,AF60,AG60,AH60,AI60,U60,V60,AJ60,AK60)</f>
        <v/>
      </c>
      <c r="AM60" s="6">
        <f>B60*0.055</f>
        <v/>
      </c>
      <c r="AN60" s="6">
        <f>B60*0.035</f>
        <v/>
      </c>
      <c r="AO60" s="6">
        <f>B60*0.165</f>
        <v/>
      </c>
      <c r="AP60" s="6">
        <f>MAX(0,AL60-AM60-AO60)</f>
        <v/>
      </c>
      <c r="AQ60" s="6">
        <f>IF(AP60&lt;=490,0,IF(AP60&lt;=600,(AP60-490)*0.05,IF(AP60&lt;=730,5.5+(AP60-600)*0.10,IF(AP60&lt;=3896.67,18.5+(AP60-730)*0.175,IF(AP60&lt;=19896.67,572.67+(AP60-3896.67)*0.25,IF(AP60&lt;=50416.67,4572.67+(AP60-19896.67)*0.30,13728.67+(AP60-50416.67)*0.35))))))</f>
        <v/>
      </c>
      <c r="AR60" s="6">
        <f>SUM(AM60,AQ60,W60,X60,Y60,Z60,AA60,AN60,AO60)</f>
        <v/>
      </c>
      <c r="AS60" s="6">
        <f>AL60-AR60</f>
        <v/>
      </c>
      <c r="AT60" s="6">
        <f>AB60-AC60</f>
        <v/>
      </c>
    </row>
    <row r="61">
      <c r="A61" s="2" t="n"/>
      <c r="B61" s="3" t="n"/>
      <c r="C61" s="4" t="n"/>
      <c r="D61" s="5" t="n"/>
      <c r="E61" s="3" t="n"/>
      <c r="F61" s="4" t="n"/>
      <c r="G61" s="5" t="n"/>
      <c r="H61" s="3" t="n"/>
      <c r="I61" s="4" t="n"/>
      <c r="J61" s="5" t="n"/>
      <c r="K61" s="3" t="n"/>
      <c r="L61" s="4" t="n"/>
      <c r="M61" s="5" t="n"/>
      <c r="N61" s="3" t="n"/>
      <c r="O61" s="4" t="n"/>
      <c r="P61" s="5" t="n"/>
      <c r="Q61" s="3" t="n"/>
      <c r="R61" s="4" t="n"/>
      <c r="S61" s="5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6">
        <f>IF(C61=0,0,IF(E61="",B61*D61/100,E61))</f>
        <v/>
      </c>
      <c r="AE61" s="6">
        <f>IF(F61=0,0,IF(H61="",B61*G61/100,H61))</f>
        <v/>
      </c>
      <c r="AF61" s="6">
        <f>IF(I61=0,0,IF(K61="",B61*J61/100,K61))</f>
        <v/>
      </c>
      <c r="AG61" s="6">
        <f>IF(L61=0,0,IF(N61="",B61*M61/100,N61))</f>
        <v/>
      </c>
      <c r="AH61" s="6">
        <f>IF(O61=0,0,IF(Q61="",B61*P61/100,Q61))</f>
        <v/>
      </c>
      <c r="AI61" s="6">
        <f>IF(R61=0,0,IF(T61="",B61*S61/100,T61))</f>
        <v/>
      </c>
      <c r="AJ61" s="6">
        <f>B61*0.035</f>
        <v/>
      </c>
      <c r="AK61" s="6">
        <f>B61*0.065</f>
        <v/>
      </c>
      <c r="AL61" s="6">
        <f>SUM(B61,AD61,AE61,AF61,AG61,AH61,AI61,U61,V61,AJ61,AK61)</f>
        <v/>
      </c>
      <c r="AM61" s="6">
        <f>B61*0.055</f>
        <v/>
      </c>
      <c r="AN61" s="6">
        <f>B61*0.035</f>
        <v/>
      </c>
      <c r="AO61" s="6">
        <f>B61*0.165</f>
        <v/>
      </c>
      <c r="AP61" s="6">
        <f>MAX(0,AL61-AM61-AO61)</f>
        <v/>
      </c>
      <c r="AQ61" s="6">
        <f>IF(AP61&lt;=490,0,IF(AP61&lt;=600,(AP61-490)*0.05,IF(AP61&lt;=730,5.5+(AP61-600)*0.10,IF(AP61&lt;=3896.67,18.5+(AP61-730)*0.175,IF(AP61&lt;=19896.67,572.67+(AP61-3896.67)*0.25,IF(AP61&lt;=50416.67,4572.67+(AP61-19896.67)*0.30,13728.67+(AP61-50416.67)*0.35))))))</f>
        <v/>
      </c>
      <c r="AR61" s="6">
        <f>SUM(AM61,AQ61,W61,X61,Y61,Z61,AA61,AN61,AO61)</f>
        <v/>
      </c>
      <c r="AS61" s="6">
        <f>AL61-AR61</f>
        <v/>
      </c>
      <c r="AT61" s="6">
        <f>AB61-AC61</f>
        <v/>
      </c>
    </row>
    <row r="62">
      <c r="A62" s="2" t="n"/>
      <c r="B62" s="3" t="n"/>
      <c r="C62" s="4" t="n"/>
      <c r="D62" s="5" t="n"/>
      <c r="E62" s="3" t="n"/>
      <c r="F62" s="4" t="n"/>
      <c r="G62" s="5" t="n"/>
      <c r="H62" s="3" t="n"/>
      <c r="I62" s="4" t="n"/>
      <c r="J62" s="5" t="n"/>
      <c r="K62" s="3" t="n"/>
      <c r="L62" s="4" t="n"/>
      <c r="M62" s="5" t="n"/>
      <c r="N62" s="3" t="n"/>
      <c r="O62" s="4" t="n"/>
      <c r="P62" s="5" t="n"/>
      <c r="Q62" s="3" t="n"/>
      <c r="R62" s="4" t="n"/>
      <c r="S62" s="5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6">
        <f>IF(C62=0,0,IF(E62="",B62*D62/100,E62))</f>
        <v/>
      </c>
      <c r="AE62" s="6">
        <f>IF(F62=0,0,IF(H62="",B62*G62/100,H62))</f>
        <v/>
      </c>
      <c r="AF62" s="6">
        <f>IF(I62=0,0,IF(K62="",B62*J62/100,K62))</f>
        <v/>
      </c>
      <c r="AG62" s="6">
        <f>IF(L62=0,0,IF(N62="",B62*M62/100,N62))</f>
        <v/>
      </c>
      <c r="AH62" s="6">
        <f>IF(O62=0,0,IF(Q62="",B62*P62/100,Q62))</f>
        <v/>
      </c>
      <c r="AI62" s="6">
        <f>IF(R62=0,0,IF(T62="",B62*S62/100,T62))</f>
        <v/>
      </c>
      <c r="AJ62" s="6">
        <f>B62*0.035</f>
        <v/>
      </c>
      <c r="AK62" s="6">
        <f>B62*0.065</f>
        <v/>
      </c>
      <c r="AL62" s="6">
        <f>SUM(B62,AD62,AE62,AF62,AG62,AH62,AI62,U62,V62,AJ62,AK62)</f>
        <v/>
      </c>
      <c r="AM62" s="6">
        <f>B62*0.055</f>
        <v/>
      </c>
      <c r="AN62" s="6">
        <f>B62*0.035</f>
        <v/>
      </c>
      <c r="AO62" s="6">
        <f>B62*0.165</f>
        <v/>
      </c>
      <c r="AP62" s="6">
        <f>MAX(0,AL62-AM62-AO62)</f>
        <v/>
      </c>
      <c r="AQ62" s="6">
        <f>IF(AP62&lt;=490,0,IF(AP62&lt;=600,(AP62-490)*0.05,IF(AP62&lt;=730,5.5+(AP62-600)*0.10,IF(AP62&lt;=3896.67,18.5+(AP62-730)*0.175,IF(AP62&lt;=19896.67,572.67+(AP62-3896.67)*0.25,IF(AP62&lt;=50416.67,4572.67+(AP62-19896.67)*0.30,13728.67+(AP62-50416.67)*0.35))))))</f>
        <v/>
      </c>
      <c r="AR62" s="6">
        <f>SUM(AM62,AQ62,W62,X62,Y62,Z62,AA62,AN62,AO62)</f>
        <v/>
      </c>
      <c r="AS62" s="6">
        <f>AL62-AR62</f>
        <v/>
      </c>
      <c r="AT62" s="6">
        <f>AB62-AC62</f>
        <v/>
      </c>
    </row>
    <row r="63">
      <c r="A63" s="2" t="n"/>
      <c r="B63" s="3" t="n"/>
      <c r="C63" s="4" t="n"/>
      <c r="D63" s="5" t="n"/>
      <c r="E63" s="3" t="n"/>
      <c r="F63" s="4" t="n"/>
      <c r="G63" s="5" t="n"/>
      <c r="H63" s="3" t="n"/>
      <c r="I63" s="4" t="n"/>
      <c r="J63" s="5" t="n"/>
      <c r="K63" s="3" t="n"/>
      <c r="L63" s="4" t="n"/>
      <c r="M63" s="5" t="n"/>
      <c r="N63" s="3" t="n"/>
      <c r="O63" s="4" t="n"/>
      <c r="P63" s="5" t="n"/>
      <c r="Q63" s="3" t="n"/>
      <c r="R63" s="4" t="n"/>
      <c r="S63" s="5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6">
        <f>IF(C63=0,0,IF(E63="",B63*D63/100,E63))</f>
        <v/>
      </c>
      <c r="AE63" s="6">
        <f>IF(F63=0,0,IF(H63="",B63*G63/100,H63))</f>
        <v/>
      </c>
      <c r="AF63" s="6">
        <f>IF(I63=0,0,IF(K63="",B63*J63/100,K63))</f>
        <v/>
      </c>
      <c r="AG63" s="6">
        <f>IF(L63=0,0,IF(N63="",B63*M63/100,N63))</f>
        <v/>
      </c>
      <c r="AH63" s="6">
        <f>IF(O63=0,0,IF(Q63="",B63*P63/100,Q63))</f>
        <v/>
      </c>
      <c r="AI63" s="6">
        <f>IF(R63=0,0,IF(T63="",B63*S63/100,T63))</f>
        <v/>
      </c>
      <c r="AJ63" s="6">
        <f>B63*0.035</f>
        <v/>
      </c>
      <c r="AK63" s="6">
        <f>B63*0.065</f>
        <v/>
      </c>
      <c r="AL63" s="6">
        <f>SUM(B63,AD63,AE63,AF63,AG63,AH63,AI63,U63,V63,AJ63,AK63)</f>
        <v/>
      </c>
      <c r="AM63" s="6">
        <f>B63*0.055</f>
        <v/>
      </c>
      <c r="AN63" s="6">
        <f>B63*0.035</f>
        <v/>
      </c>
      <c r="AO63" s="6">
        <f>B63*0.165</f>
        <v/>
      </c>
      <c r="AP63" s="6">
        <f>MAX(0,AL63-AM63-AO63)</f>
        <v/>
      </c>
      <c r="AQ63" s="6">
        <f>IF(AP63&lt;=490,0,IF(AP63&lt;=600,(AP63-490)*0.05,IF(AP63&lt;=730,5.5+(AP63-600)*0.10,IF(AP63&lt;=3896.67,18.5+(AP63-730)*0.175,IF(AP63&lt;=19896.67,572.67+(AP63-3896.67)*0.25,IF(AP63&lt;=50416.67,4572.67+(AP63-19896.67)*0.30,13728.67+(AP63-50416.67)*0.35))))))</f>
        <v/>
      </c>
      <c r="AR63" s="6">
        <f>SUM(AM63,AQ63,W63,X63,Y63,Z63,AA63,AN63,AO63)</f>
        <v/>
      </c>
      <c r="AS63" s="6">
        <f>AL63-AR63</f>
        <v/>
      </c>
      <c r="AT63" s="6">
        <f>AB63-AC63</f>
        <v/>
      </c>
    </row>
    <row r="64">
      <c r="A64" s="2" t="n"/>
      <c r="B64" s="3" t="n"/>
      <c r="C64" s="4" t="n"/>
      <c r="D64" s="5" t="n"/>
      <c r="E64" s="3" t="n"/>
      <c r="F64" s="4" t="n"/>
      <c r="G64" s="5" t="n"/>
      <c r="H64" s="3" t="n"/>
      <c r="I64" s="4" t="n"/>
      <c r="J64" s="5" t="n"/>
      <c r="K64" s="3" t="n"/>
      <c r="L64" s="4" t="n"/>
      <c r="M64" s="5" t="n"/>
      <c r="N64" s="3" t="n"/>
      <c r="O64" s="4" t="n"/>
      <c r="P64" s="5" t="n"/>
      <c r="Q64" s="3" t="n"/>
      <c r="R64" s="4" t="n"/>
      <c r="S64" s="5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6">
        <f>IF(C64=0,0,IF(E64="",B64*D64/100,E64))</f>
        <v/>
      </c>
      <c r="AE64" s="6">
        <f>IF(F64=0,0,IF(H64="",B64*G64/100,H64))</f>
        <v/>
      </c>
      <c r="AF64" s="6">
        <f>IF(I64=0,0,IF(K64="",B64*J64/100,K64))</f>
        <v/>
      </c>
      <c r="AG64" s="6">
        <f>IF(L64=0,0,IF(N64="",B64*M64/100,N64))</f>
        <v/>
      </c>
      <c r="AH64" s="6">
        <f>IF(O64=0,0,IF(Q64="",B64*P64/100,Q64))</f>
        <v/>
      </c>
      <c r="AI64" s="6">
        <f>IF(R64=0,0,IF(T64="",B64*S64/100,T64))</f>
        <v/>
      </c>
      <c r="AJ64" s="6">
        <f>B64*0.035</f>
        <v/>
      </c>
      <c r="AK64" s="6">
        <f>B64*0.065</f>
        <v/>
      </c>
      <c r="AL64" s="6">
        <f>SUM(B64,AD64,AE64,AF64,AG64,AH64,AI64,U64,V64,AJ64,AK64)</f>
        <v/>
      </c>
      <c r="AM64" s="6">
        <f>B64*0.055</f>
        <v/>
      </c>
      <c r="AN64" s="6">
        <f>B64*0.035</f>
        <v/>
      </c>
      <c r="AO64" s="6">
        <f>B64*0.165</f>
        <v/>
      </c>
      <c r="AP64" s="6">
        <f>MAX(0,AL64-AM64-AO64)</f>
        <v/>
      </c>
      <c r="AQ64" s="6">
        <f>IF(AP64&lt;=490,0,IF(AP64&lt;=600,(AP64-490)*0.05,IF(AP64&lt;=730,5.5+(AP64-600)*0.10,IF(AP64&lt;=3896.67,18.5+(AP64-730)*0.175,IF(AP64&lt;=19896.67,572.67+(AP64-3896.67)*0.25,IF(AP64&lt;=50416.67,4572.67+(AP64-19896.67)*0.30,13728.67+(AP64-50416.67)*0.35))))))</f>
        <v/>
      </c>
      <c r="AR64" s="6">
        <f>SUM(AM64,AQ64,W64,X64,Y64,Z64,AA64,AN64,AO64)</f>
        <v/>
      </c>
      <c r="AS64" s="6">
        <f>AL64-AR64</f>
        <v/>
      </c>
      <c r="AT64" s="6">
        <f>AB64-AC64</f>
        <v/>
      </c>
    </row>
    <row r="65">
      <c r="A65" s="2" t="n"/>
      <c r="B65" s="3" t="n"/>
      <c r="C65" s="4" t="n"/>
      <c r="D65" s="5" t="n"/>
      <c r="E65" s="3" t="n"/>
      <c r="F65" s="4" t="n"/>
      <c r="G65" s="5" t="n"/>
      <c r="H65" s="3" t="n"/>
      <c r="I65" s="4" t="n"/>
      <c r="J65" s="5" t="n"/>
      <c r="K65" s="3" t="n"/>
      <c r="L65" s="4" t="n"/>
      <c r="M65" s="5" t="n"/>
      <c r="N65" s="3" t="n"/>
      <c r="O65" s="4" t="n"/>
      <c r="P65" s="5" t="n"/>
      <c r="Q65" s="3" t="n"/>
      <c r="R65" s="4" t="n"/>
      <c r="S65" s="5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6">
        <f>IF(C65=0,0,IF(E65="",B65*D65/100,E65))</f>
        <v/>
      </c>
      <c r="AE65" s="6">
        <f>IF(F65=0,0,IF(H65="",B65*G65/100,H65))</f>
        <v/>
      </c>
      <c r="AF65" s="6">
        <f>IF(I65=0,0,IF(K65="",B65*J65/100,K65))</f>
        <v/>
      </c>
      <c r="AG65" s="6">
        <f>IF(L65=0,0,IF(N65="",B65*M65/100,N65))</f>
        <v/>
      </c>
      <c r="AH65" s="6">
        <f>IF(O65=0,0,IF(Q65="",B65*P65/100,Q65))</f>
        <v/>
      </c>
      <c r="AI65" s="6">
        <f>IF(R65=0,0,IF(T65="",B65*S65/100,T65))</f>
        <v/>
      </c>
      <c r="AJ65" s="6">
        <f>B65*0.035</f>
        <v/>
      </c>
      <c r="AK65" s="6">
        <f>B65*0.065</f>
        <v/>
      </c>
      <c r="AL65" s="6">
        <f>SUM(B65,AD65,AE65,AF65,AG65,AH65,AI65,U65,V65,AJ65,AK65)</f>
        <v/>
      </c>
      <c r="AM65" s="6">
        <f>B65*0.055</f>
        <v/>
      </c>
      <c r="AN65" s="6">
        <f>B65*0.035</f>
        <v/>
      </c>
      <c r="AO65" s="6">
        <f>B65*0.165</f>
        <v/>
      </c>
      <c r="AP65" s="6">
        <f>MAX(0,AL65-AM65-AO65)</f>
        <v/>
      </c>
      <c r="AQ65" s="6">
        <f>IF(AP65&lt;=490,0,IF(AP65&lt;=600,(AP65-490)*0.05,IF(AP65&lt;=730,5.5+(AP65-600)*0.10,IF(AP65&lt;=3896.67,18.5+(AP65-730)*0.175,IF(AP65&lt;=19896.67,572.67+(AP65-3896.67)*0.25,IF(AP65&lt;=50416.67,4572.67+(AP65-19896.67)*0.30,13728.67+(AP65-50416.67)*0.35))))))</f>
        <v/>
      </c>
      <c r="AR65" s="6">
        <f>SUM(AM65,AQ65,W65,X65,Y65,Z65,AA65,AN65,AO65)</f>
        <v/>
      </c>
      <c r="AS65" s="6">
        <f>AL65-AR65</f>
        <v/>
      </c>
      <c r="AT65" s="6">
        <f>AB65-AC65</f>
        <v/>
      </c>
    </row>
    <row r="66">
      <c r="A66" s="2" t="n"/>
      <c r="B66" s="3" t="n"/>
      <c r="C66" s="4" t="n"/>
      <c r="D66" s="5" t="n"/>
      <c r="E66" s="3" t="n"/>
      <c r="F66" s="4" t="n"/>
      <c r="G66" s="5" t="n"/>
      <c r="H66" s="3" t="n"/>
      <c r="I66" s="4" t="n"/>
      <c r="J66" s="5" t="n"/>
      <c r="K66" s="3" t="n"/>
      <c r="L66" s="4" t="n"/>
      <c r="M66" s="5" t="n"/>
      <c r="N66" s="3" t="n"/>
      <c r="O66" s="4" t="n"/>
      <c r="P66" s="5" t="n"/>
      <c r="Q66" s="3" t="n"/>
      <c r="R66" s="4" t="n"/>
      <c r="S66" s="5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6">
        <f>IF(C66=0,0,IF(E66="",B66*D66/100,E66))</f>
        <v/>
      </c>
      <c r="AE66" s="6">
        <f>IF(F66=0,0,IF(H66="",B66*G66/100,H66))</f>
        <v/>
      </c>
      <c r="AF66" s="6">
        <f>IF(I66=0,0,IF(K66="",B66*J66/100,K66))</f>
        <v/>
      </c>
      <c r="AG66" s="6">
        <f>IF(L66=0,0,IF(N66="",B66*M66/100,N66))</f>
        <v/>
      </c>
      <c r="AH66" s="6">
        <f>IF(O66=0,0,IF(Q66="",B66*P66/100,Q66))</f>
        <v/>
      </c>
      <c r="AI66" s="6">
        <f>IF(R66=0,0,IF(T66="",B66*S66/100,T66))</f>
        <v/>
      </c>
      <c r="AJ66" s="6">
        <f>B66*0.035</f>
        <v/>
      </c>
      <c r="AK66" s="6">
        <f>B66*0.065</f>
        <v/>
      </c>
      <c r="AL66" s="6">
        <f>SUM(B66,AD66,AE66,AF66,AG66,AH66,AI66,U66,V66,AJ66,AK66)</f>
        <v/>
      </c>
      <c r="AM66" s="6">
        <f>B66*0.055</f>
        <v/>
      </c>
      <c r="AN66" s="6">
        <f>B66*0.035</f>
        <v/>
      </c>
      <c r="AO66" s="6">
        <f>B66*0.165</f>
        <v/>
      </c>
      <c r="AP66" s="6">
        <f>MAX(0,AL66-AM66-AO66)</f>
        <v/>
      </c>
      <c r="AQ66" s="6">
        <f>IF(AP66&lt;=490,0,IF(AP66&lt;=600,(AP66-490)*0.05,IF(AP66&lt;=730,5.5+(AP66-600)*0.10,IF(AP66&lt;=3896.67,18.5+(AP66-730)*0.175,IF(AP66&lt;=19896.67,572.67+(AP66-3896.67)*0.25,IF(AP66&lt;=50416.67,4572.67+(AP66-19896.67)*0.30,13728.67+(AP66-50416.67)*0.35))))))</f>
        <v/>
      </c>
      <c r="AR66" s="6">
        <f>SUM(AM66,AQ66,W66,X66,Y66,Z66,AA66,AN66,AO66)</f>
        <v/>
      </c>
      <c r="AS66" s="6">
        <f>AL66-AR66</f>
        <v/>
      </c>
      <c r="AT66" s="6">
        <f>AB66-AC66</f>
        <v/>
      </c>
    </row>
    <row r="67">
      <c r="A67" s="2" t="n"/>
      <c r="B67" s="3" t="n"/>
      <c r="C67" s="4" t="n"/>
      <c r="D67" s="5" t="n"/>
      <c r="E67" s="3" t="n"/>
      <c r="F67" s="4" t="n"/>
      <c r="G67" s="5" t="n"/>
      <c r="H67" s="3" t="n"/>
      <c r="I67" s="4" t="n"/>
      <c r="J67" s="5" t="n"/>
      <c r="K67" s="3" t="n"/>
      <c r="L67" s="4" t="n"/>
      <c r="M67" s="5" t="n"/>
      <c r="N67" s="3" t="n"/>
      <c r="O67" s="4" t="n"/>
      <c r="P67" s="5" t="n"/>
      <c r="Q67" s="3" t="n"/>
      <c r="R67" s="4" t="n"/>
      <c r="S67" s="5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6">
        <f>IF(C67=0,0,IF(E67="",B67*D67/100,E67))</f>
        <v/>
      </c>
      <c r="AE67" s="6">
        <f>IF(F67=0,0,IF(H67="",B67*G67/100,H67))</f>
        <v/>
      </c>
      <c r="AF67" s="6">
        <f>IF(I67=0,0,IF(K67="",B67*J67/100,K67))</f>
        <v/>
      </c>
      <c r="AG67" s="6">
        <f>IF(L67=0,0,IF(N67="",B67*M67/100,N67))</f>
        <v/>
      </c>
      <c r="AH67" s="6">
        <f>IF(O67=0,0,IF(Q67="",B67*P67/100,Q67))</f>
        <v/>
      </c>
      <c r="AI67" s="6">
        <f>IF(R67=0,0,IF(T67="",B67*S67/100,T67))</f>
        <v/>
      </c>
      <c r="AJ67" s="6">
        <f>B67*0.035</f>
        <v/>
      </c>
      <c r="AK67" s="6">
        <f>B67*0.065</f>
        <v/>
      </c>
      <c r="AL67" s="6">
        <f>SUM(B67,AD67,AE67,AF67,AG67,AH67,AI67,U67,V67,AJ67,AK67)</f>
        <v/>
      </c>
      <c r="AM67" s="6">
        <f>B67*0.055</f>
        <v/>
      </c>
      <c r="AN67" s="6">
        <f>B67*0.035</f>
        <v/>
      </c>
      <c r="AO67" s="6">
        <f>B67*0.165</f>
        <v/>
      </c>
      <c r="AP67" s="6">
        <f>MAX(0,AL67-AM67-AO67)</f>
        <v/>
      </c>
      <c r="AQ67" s="6">
        <f>IF(AP67&lt;=490,0,IF(AP67&lt;=600,(AP67-490)*0.05,IF(AP67&lt;=730,5.5+(AP67-600)*0.10,IF(AP67&lt;=3896.67,18.5+(AP67-730)*0.175,IF(AP67&lt;=19896.67,572.67+(AP67-3896.67)*0.25,IF(AP67&lt;=50416.67,4572.67+(AP67-19896.67)*0.30,13728.67+(AP67-50416.67)*0.35))))))</f>
        <v/>
      </c>
      <c r="AR67" s="6">
        <f>SUM(AM67,AQ67,W67,X67,Y67,Z67,AA67,AN67,AO67)</f>
        <v/>
      </c>
      <c r="AS67" s="6">
        <f>AL67-AR67</f>
        <v/>
      </c>
      <c r="AT67" s="6">
        <f>AB67-AC67</f>
        <v/>
      </c>
    </row>
    <row r="68">
      <c r="A68" s="2" t="n"/>
      <c r="B68" s="3" t="n"/>
      <c r="C68" s="4" t="n"/>
      <c r="D68" s="5" t="n"/>
      <c r="E68" s="3" t="n"/>
      <c r="F68" s="4" t="n"/>
      <c r="G68" s="5" t="n"/>
      <c r="H68" s="3" t="n"/>
      <c r="I68" s="4" t="n"/>
      <c r="J68" s="5" t="n"/>
      <c r="K68" s="3" t="n"/>
      <c r="L68" s="4" t="n"/>
      <c r="M68" s="5" t="n"/>
      <c r="N68" s="3" t="n"/>
      <c r="O68" s="4" t="n"/>
      <c r="P68" s="5" t="n"/>
      <c r="Q68" s="3" t="n"/>
      <c r="R68" s="4" t="n"/>
      <c r="S68" s="5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6">
        <f>IF(C68=0,0,IF(E68="",B68*D68/100,E68))</f>
        <v/>
      </c>
      <c r="AE68" s="6">
        <f>IF(F68=0,0,IF(H68="",B68*G68/100,H68))</f>
        <v/>
      </c>
      <c r="AF68" s="6">
        <f>IF(I68=0,0,IF(K68="",B68*J68/100,K68))</f>
        <v/>
      </c>
      <c r="AG68" s="6">
        <f>IF(L68=0,0,IF(N68="",B68*M68/100,N68))</f>
        <v/>
      </c>
      <c r="AH68" s="6">
        <f>IF(O68=0,0,IF(Q68="",B68*P68/100,Q68))</f>
        <v/>
      </c>
      <c r="AI68" s="6">
        <f>IF(R68=0,0,IF(T68="",B68*S68/100,T68))</f>
        <v/>
      </c>
      <c r="AJ68" s="6">
        <f>B68*0.035</f>
        <v/>
      </c>
      <c r="AK68" s="6">
        <f>B68*0.065</f>
        <v/>
      </c>
      <c r="AL68" s="6">
        <f>SUM(B68,AD68,AE68,AF68,AG68,AH68,AI68,U68,V68,AJ68,AK68)</f>
        <v/>
      </c>
      <c r="AM68" s="6">
        <f>B68*0.055</f>
        <v/>
      </c>
      <c r="AN68" s="6">
        <f>B68*0.035</f>
        <v/>
      </c>
      <c r="AO68" s="6">
        <f>B68*0.165</f>
        <v/>
      </c>
      <c r="AP68" s="6">
        <f>MAX(0,AL68-AM68-AO68)</f>
        <v/>
      </c>
      <c r="AQ68" s="6">
        <f>IF(AP68&lt;=490,0,IF(AP68&lt;=600,(AP68-490)*0.05,IF(AP68&lt;=730,5.5+(AP68-600)*0.10,IF(AP68&lt;=3896.67,18.5+(AP68-730)*0.175,IF(AP68&lt;=19896.67,572.67+(AP68-3896.67)*0.25,IF(AP68&lt;=50416.67,4572.67+(AP68-19896.67)*0.30,13728.67+(AP68-50416.67)*0.35))))))</f>
        <v/>
      </c>
      <c r="AR68" s="6">
        <f>SUM(AM68,AQ68,W68,X68,Y68,Z68,AA68,AN68,AO68)</f>
        <v/>
      </c>
      <c r="AS68" s="6">
        <f>AL68-AR68</f>
        <v/>
      </c>
      <c r="AT68" s="6">
        <f>AB68-AC68</f>
        <v/>
      </c>
    </row>
    <row r="69">
      <c r="A69" s="2" t="n"/>
      <c r="B69" s="3" t="n"/>
      <c r="C69" s="4" t="n"/>
      <c r="D69" s="5" t="n"/>
      <c r="E69" s="3" t="n"/>
      <c r="F69" s="4" t="n"/>
      <c r="G69" s="5" t="n"/>
      <c r="H69" s="3" t="n"/>
      <c r="I69" s="4" t="n"/>
      <c r="J69" s="5" t="n"/>
      <c r="K69" s="3" t="n"/>
      <c r="L69" s="4" t="n"/>
      <c r="M69" s="5" t="n"/>
      <c r="N69" s="3" t="n"/>
      <c r="O69" s="4" t="n"/>
      <c r="P69" s="5" t="n"/>
      <c r="Q69" s="3" t="n"/>
      <c r="R69" s="4" t="n"/>
      <c r="S69" s="5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6">
        <f>IF(C69=0,0,IF(E69="",B69*D69/100,E69))</f>
        <v/>
      </c>
      <c r="AE69" s="6">
        <f>IF(F69=0,0,IF(H69="",B69*G69/100,H69))</f>
        <v/>
      </c>
      <c r="AF69" s="6">
        <f>IF(I69=0,0,IF(K69="",B69*J69/100,K69))</f>
        <v/>
      </c>
      <c r="AG69" s="6">
        <f>IF(L69=0,0,IF(N69="",B69*M69/100,N69))</f>
        <v/>
      </c>
      <c r="AH69" s="6">
        <f>IF(O69=0,0,IF(Q69="",B69*P69/100,Q69))</f>
        <v/>
      </c>
      <c r="AI69" s="6">
        <f>IF(R69=0,0,IF(T69="",B69*S69/100,T69))</f>
        <v/>
      </c>
      <c r="AJ69" s="6">
        <f>B69*0.035</f>
        <v/>
      </c>
      <c r="AK69" s="6">
        <f>B69*0.065</f>
        <v/>
      </c>
      <c r="AL69" s="6">
        <f>SUM(B69,AD69,AE69,AF69,AG69,AH69,AI69,U69,V69,AJ69,AK69)</f>
        <v/>
      </c>
      <c r="AM69" s="6">
        <f>B69*0.055</f>
        <v/>
      </c>
      <c r="AN69" s="6">
        <f>B69*0.035</f>
        <v/>
      </c>
      <c r="AO69" s="6">
        <f>B69*0.165</f>
        <v/>
      </c>
      <c r="AP69" s="6">
        <f>MAX(0,AL69-AM69-AO69)</f>
        <v/>
      </c>
      <c r="AQ69" s="6">
        <f>IF(AP69&lt;=490,0,IF(AP69&lt;=600,(AP69-490)*0.05,IF(AP69&lt;=730,5.5+(AP69-600)*0.10,IF(AP69&lt;=3896.67,18.5+(AP69-730)*0.175,IF(AP69&lt;=19896.67,572.67+(AP69-3896.67)*0.25,IF(AP69&lt;=50416.67,4572.67+(AP69-19896.67)*0.30,13728.67+(AP69-50416.67)*0.35))))))</f>
        <v/>
      </c>
      <c r="AR69" s="6">
        <f>SUM(AM69,AQ69,W69,X69,Y69,Z69,AA69,AN69,AO69)</f>
        <v/>
      </c>
      <c r="AS69" s="6">
        <f>AL69-AR69</f>
        <v/>
      </c>
      <c r="AT69" s="6">
        <f>AB69-AC69</f>
        <v/>
      </c>
    </row>
    <row r="70">
      <c r="A70" s="2" t="n"/>
      <c r="B70" s="3" t="n"/>
      <c r="C70" s="4" t="n"/>
      <c r="D70" s="5" t="n"/>
      <c r="E70" s="3" t="n"/>
      <c r="F70" s="4" t="n"/>
      <c r="G70" s="5" t="n"/>
      <c r="H70" s="3" t="n"/>
      <c r="I70" s="4" t="n"/>
      <c r="J70" s="5" t="n"/>
      <c r="K70" s="3" t="n"/>
      <c r="L70" s="4" t="n"/>
      <c r="M70" s="5" t="n"/>
      <c r="N70" s="3" t="n"/>
      <c r="O70" s="4" t="n"/>
      <c r="P70" s="5" t="n"/>
      <c r="Q70" s="3" t="n"/>
      <c r="R70" s="4" t="n"/>
      <c r="S70" s="5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6">
        <f>IF(C70=0,0,IF(E70="",B70*D70/100,E70))</f>
        <v/>
      </c>
      <c r="AE70" s="6">
        <f>IF(F70=0,0,IF(H70="",B70*G70/100,H70))</f>
        <v/>
      </c>
      <c r="AF70" s="6">
        <f>IF(I70=0,0,IF(K70="",B70*J70/100,K70))</f>
        <v/>
      </c>
      <c r="AG70" s="6">
        <f>IF(L70=0,0,IF(N70="",B70*M70/100,N70))</f>
        <v/>
      </c>
      <c r="AH70" s="6">
        <f>IF(O70=0,0,IF(Q70="",B70*P70/100,Q70))</f>
        <v/>
      </c>
      <c r="AI70" s="6">
        <f>IF(R70=0,0,IF(T70="",B70*S70/100,T70))</f>
        <v/>
      </c>
      <c r="AJ70" s="6">
        <f>B70*0.035</f>
        <v/>
      </c>
      <c r="AK70" s="6">
        <f>B70*0.065</f>
        <v/>
      </c>
      <c r="AL70" s="6">
        <f>SUM(B70,AD70,AE70,AF70,AG70,AH70,AI70,U70,V70,AJ70,AK70)</f>
        <v/>
      </c>
      <c r="AM70" s="6">
        <f>B70*0.055</f>
        <v/>
      </c>
      <c r="AN70" s="6">
        <f>B70*0.035</f>
        <v/>
      </c>
      <c r="AO70" s="6">
        <f>B70*0.165</f>
        <v/>
      </c>
      <c r="AP70" s="6">
        <f>MAX(0,AL70-AM70-AO70)</f>
        <v/>
      </c>
      <c r="AQ70" s="6">
        <f>IF(AP70&lt;=490,0,IF(AP70&lt;=600,(AP70-490)*0.05,IF(AP70&lt;=730,5.5+(AP70-600)*0.10,IF(AP70&lt;=3896.67,18.5+(AP70-730)*0.175,IF(AP70&lt;=19896.67,572.67+(AP70-3896.67)*0.25,IF(AP70&lt;=50416.67,4572.67+(AP70-19896.67)*0.30,13728.67+(AP70-50416.67)*0.35))))))</f>
        <v/>
      </c>
      <c r="AR70" s="6">
        <f>SUM(AM70,AQ70,W70,X70,Y70,Z70,AA70,AN70,AO70)</f>
        <v/>
      </c>
      <c r="AS70" s="6">
        <f>AL70-AR70</f>
        <v/>
      </c>
      <c r="AT70" s="6">
        <f>AB70-AC70</f>
        <v/>
      </c>
    </row>
    <row r="71">
      <c r="A71" s="2" t="n"/>
      <c r="B71" s="3" t="n"/>
      <c r="C71" s="4" t="n"/>
      <c r="D71" s="5" t="n"/>
      <c r="E71" s="3" t="n"/>
      <c r="F71" s="4" t="n"/>
      <c r="G71" s="5" t="n"/>
      <c r="H71" s="3" t="n"/>
      <c r="I71" s="4" t="n"/>
      <c r="J71" s="5" t="n"/>
      <c r="K71" s="3" t="n"/>
      <c r="L71" s="4" t="n"/>
      <c r="M71" s="5" t="n"/>
      <c r="N71" s="3" t="n"/>
      <c r="O71" s="4" t="n"/>
      <c r="P71" s="5" t="n"/>
      <c r="Q71" s="3" t="n"/>
      <c r="R71" s="4" t="n"/>
      <c r="S71" s="5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6">
        <f>IF(C71=0,0,IF(E71="",B71*D71/100,E71))</f>
        <v/>
      </c>
      <c r="AE71" s="6">
        <f>IF(F71=0,0,IF(H71="",B71*G71/100,H71))</f>
        <v/>
      </c>
      <c r="AF71" s="6">
        <f>IF(I71=0,0,IF(K71="",B71*J71/100,K71))</f>
        <v/>
      </c>
      <c r="AG71" s="6">
        <f>IF(L71=0,0,IF(N71="",B71*M71/100,N71))</f>
        <v/>
      </c>
      <c r="AH71" s="6">
        <f>IF(O71=0,0,IF(Q71="",B71*P71/100,Q71))</f>
        <v/>
      </c>
      <c r="AI71" s="6">
        <f>IF(R71=0,0,IF(T71="",B71*S71/100,T71))</f>
        <v/>
      </c>
      <c r="AJ71" s="6">
        <f>B71*0.035</f>
        <v/>
      </c>
      <c r="AK71" s="6">
        <f>B71*0.065</f>
        <v/>
      </c>
      <c r="AL71" s="6">
        <f>SUM(B71,AD71,AE71,AF71,AG71,AH71,AI71,U71,V71,AJ71,AK71)</f>
        <v/>
      </c>
      <c r="AM71" s="6">
        <f>B71*0.055</f>
        <v/>
      </c>
      <c r="AN71" s="6">
        <f>B71*0.035</f>
        <v/>
      </c>
      <c r="AO71" s="6">
        <f>B71*0.165</f>
        <v/>
      </c>
      <c r="AP71" s="6">
        <f>MAX(0,AL71-AM71-AO71)</f>
        <v/>
      </c>
      <c r="AQ71" s="6">
        <f>IF(AP71&lt;=490,0,IF(AP71&lt;=600,(AP71-490)*0.05,IF(AP71&lt;=730,5.5+(AP71-600)*0.10,IF(AP71&lt;=3896.67,18.5+(AP71-730)*0.175,IF(AP71&lt;=19896.67,572.67+(AP71-3896.67)*0.25,IF(AP71&lt;=50416.67,4572.67+(AP71-19896.67)*0.30,13728.67+(AP71-50416.67)*0.35))))))</f>
        <v/>
      </c>
      <c r="AR71" s="6">
        <f>SUM(AM71,AQ71,W71,X71,Y71,Z71,AA71,AN71,AO71)</f>
        <v/>
      </c>
      <c r="AS71" s="6">
        <f>AL71-AR71</f>
        <v/>
      </c>
      <c r="AT71" s="6">
        <f>AB71-AC71</f>
        <v/>
      </c>
    </row>
    <row r="72">
      <c r="A72" s="2" t="n"/>
      <c r="B72" s="3" t="n"/>
      <c r="C72" s="4" t="n"/>
      <c r="D72" s="5" t="n"/>
      <c r="E72" s="3" t="n"/>
      <c r="F72" s="4" t="n"/>
      <c r="G72" s="5" t="n"/>
      <c r="H72" s="3" t="n"/>
      <c r="I72" s="4" t="n"/>
      <c r="J72" s="5" t="n"/>
      <c r="K72" s="3" t="n"/>
      <c r="L72" s="4" t="n"/>
      <c r="M72" s="5" t="n"/>
      <c r="N72" s="3" t="n"/>
      <c r="O72" s="4" t="n"/>
      <c r="P72" s="5" t="n"/>
      <c r="Q72" s="3" t="n"/>
      <c r="R72" s="4" t="n"/>
      <c r="S72" s="5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6">
        <f>IF(C72=0,0,IF(E72="",B72*D72/100,E72))</f>
        <v/>
      </c>
      <c r="AE72" s="6">
        <f>IF(F72=0,0,IF(H72="",B72*G72/100,H72))</f>
        <v/>
      </c>
      <c r="AF72" s="6">
        <f>IF(I72=0,0,IF(K72="",B72*J72/100,K72))</f>
        <v/>
      </c>
      <c r="AG72" s="6">
        <f>IF(L72=0,0,IF(N72="",B72*M72/100,N72))</f>
        <v/>
      </c>
      <c r="AH72" s="6">
        <f>IF(O72=0,0,IF(Q72="",B72*P72/100,Q72))</f>
        <v/>
      </c>
      <c r="AI72" s="6">
        <f>IF(R72=0,0,IF(T72="",B72*S72/100,T72))</f>
        <v/>
      </c>
      <c r="AJ72" s="6">
        <f>B72*0.035</f>
        <v/>
      </c>
      <c r="AK72" s="6">
        <f>B72*0.065</f>
        <v/>
      </c>
      <c r="AL72" s="6">
        <f>SUM(B72,AD72,AE72,AF72,AG72,AH72,AI72,U72,V72,AJ72,AK72)</f>
        <v/>
      </c>
      <c r="AM72" s="6">
        <f>B72*0.055</f>
        <v/>
      </c>
      <c r="AN72" s="6">
        <f>B72*0.035</f>
        <v/>
      </c>
      <c r="AO72" s="6">
        <f>B72*0.165</f>
        <v/>
      </c>
      <c r="AP72" s="6">
        <f>MAX(0,AL72-AM72-AO72)</f>
        <v/>
      </c>
      <c r="AQ72" s="6">
        <f>IF(AP72&lt;=490,0,IF(AP72&lt;=600,(AP72-490)*0.05,IF(AP72&lt;=730,5.5+(AP72-600)*0.10,IF(AP72&lt;=3896.67,18.5+(AP72-730)*0.175,IF(AP72&lt;=19896.67,572.67+(AP72-3896.67)*0.25,IF(AP72&lt;=50416.67,4572.67+(AP72-19896.67)*0.30,13728.67+(AP72-50416.67)*0.35))))))</f>
        <v/>
      </c>
      <c r="AR72" s="6">
        <f>SUM(AM72,AQ72,W72,X72,Y72,Z72,AA72,AN72,AO72)</f>
        <v/>
      </c>
      <c r="AS72" s="6">
        <f>AL72-AR72</f>
        <v/>
      </c>
      <c r="AT72" s="6">
        <f>AB72-AC72</f>
        <v/>
      </c>
    </row>
    <row r="73">
      <c r="A73" s="2" t="n"/>
      <c r="B73" s="3" t="n"/>
      <c r="C73" s="4" t="n"/>
      <c r="D73" s="5" t="n"/>
      <c r="E73" s="3" t="n"/>
      <c r="F73" s="4" t="n"/>
      <c r="G73" s="5" t="n"/>
      <c r="H73" s="3" t="n"/>
      <c r="I73" s="4" t="n"/>
      <c r="J73" s="5" t="n"/>
      <c r="K73" s="3" t="n"/>
      <c r="L73" s="4" t="n"/>
      <c r="M73" s="5" t="n"/>
      <c r="N73" s="3" t="n"/>
      <c r="O73" s="4" t="n"/>
      <c r="P73" s="5" t="n"/>
      <c r="Q73" s="3" t="n"/>
      <c r="R73" s="4" t="n"/>
      <c r="S73" s="5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6">
        <f>IF(C73=0,0,IF(E73="",B73*D73/100,E73))</f>
        <v/>
      </c>
      <c r="AE73" s="6">
        <f>IF(F73=0,0,IF(H73="",B73*G73/100,H73))</f>
        <v/>
      </c>
      <c r="AF73" s="6">
        <f>IF(I73=0,0,IF(K73="",B73*J73/100,K73))</f>
        <v/>
      </c>
      <c r="AG73" s="6">
        <f>IF(L73=0,0,IF(N73="",B73*M73/100,N73))</f>
        <v/>
      </c>
      <c r="AH73" s="6">
        <f>IF(O73=0,0,IF(Q73="",B73*P73/100,Q73))</f>
        <v/>
      </c>
      <c r="AI73" s="6">
        <f>IF(R73=0,0,IF(T73="",B73*S73/100,T73))</f>
        <v/>
      </c>
      <c r="AJ73" s="6">
        <f>B73*0.035</f>
        <v/>
      </c>
      <c r="AK73" s="6">
        <f>B73*0.065</f>
        <v/>
      </c>
      <c r="AL73" s="6">
        <f>SUM(B73,AD73,AE73,AF73,AG73,AH73,AI73,U73,V73,AJ73,AK73)</f>
        <v/>
      </c>
      <c r="AM73" s="6">
        <f>B73*0.055</f>
        <v/>
      </c>
      <c r="AN73" s="6">
        <f>B73*0.035</f>
        <v/>
      </c>
      <c r="AO73" s="6">
        <f>B73*0.165</f>
        <v/>
      </c>
      <c r="AP73" s="6">
        <f>MAX(0,AL73-AM73-AO73)</f>
        <v/>
      </c>
      <c r="AQ73" s="6">
        <f>IF(AP73&lt;=490,0,IF(AP73&lt;=600,(AP73-490)*0.05,IF(AP73&lt;=730,5.5+(AP73-600)*0.10,IF(AP73&lt;=3896.67,18.5+(AP73-730)*0.175,IF(AP73&lt;=19896.67,572.67+(AP73-3896.67)*0.25,IF(AP73&lt;=50416.67,4572.67+(AP73-19896.67)*0.30,13728.67+(AP73-50416.67)*0.35))))))</f>
        <v/>
      </c>
      <c r="AR73" s="6">
        <f>SUM(AM73,AQ73,W73,X73,Y73,Z73,AA73,AN73,AO73)</f>
        <v/>
      </c>
      <c r="AS73" s="6">
        <f>AL73-AR73</f>
        <v/>
      </c>
      <c r="AT73" s="6">
        <f>AB73-AC73</f>
        <v/>
      </c>
    </row>
    <row r="74">
      <c r="A74" s="2" t="n"/>
      <c r="B74" s="3" t="n"/>
      <c r="C74" s="4" t="n"/>
      <c r="D74" s="5" t="n"/>
      <c r="E74" s="3" t="n"/>
      <c r="F74" s="4" t="n"/>
      <c r="G74" s="5" t="n"/>
      <c r="H74" s="3" t="n"/>
      <c r="I74" s="4" t="n"/>
      <c r="J74" s="5" t="n"/>
      <c r="K74" s="3" t="n"/>
      <c r="L74" s="4" t="n"/>
      <c r="M74" s="5" t="n"/>
      <c r="N74" s="3" t="n"/>
      <c r="O74" s="4" t="n"/>
      <c r="P74" s="5" t="n"/>
      <c r="Q74" s="3" t="n"/>
      <c r="R74" s="4" t="n"/>
      <c r="S74" s="5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6">
        <f>IF(C74=0,0,IF(E74="",B74*D74/100,E74))</f>
        <v/>
      </c>
      <c r="AE74" s="6">
        <f>IF(F74=0,0,IF(H74="",B74*G74/100,H74))</f>
        <v/>
      </c>
      <c r="AF74" s="6">
        <f>IF(I74=0,0,IF(K74="",B74*J74/100,K74))</f>
        <v/>
      </c>
      <c r="AG74" s="6">
        <f>IF(L74=0,0,IF(N74="",B74*M74/100,N74))</f>
        <v/>
      </c>
      <c r="AH74" s="6">
        <f>IF(O74=0,0,IF(Q74="",B74*P74/100,Q74))</f>
        <v/>
      </c>
      <c r="AI74" s="6">
        <f>IF(R74=0,0,IF(T74="",B74*S74/100,T74))</f>
        <v/>
      </c>
      <c r="AJ74" s="6">
        <f>B74*0.035</f>
        <v/>
      </c>
      <c r="AK74" s="6">
        <f>B74*0.065</f>
        <v/>
      </c>
      <c r="AL74" s="6">
        <f>SUM(B74,AD74,AE74,AF74,AG74,AH74,AI74,U74,V74,AJ74,AK74)</f>
        <v/>
      </c>
      <c r="AM74" s="6">
        <f>B74*0.055</f>
        <v/>
      </c>
      <c r="AN74" s="6">
        <f>B74*0.035</f>
        <v/>
      </c>
      <c r="AO74" s="6">
        <f>B74*0.165</f>
        <v/>
      </c>
      <c r="AP74" s="6">
        <f>MAX(0,AL74-AM74-AO74)</f>
        <v/>
      </c>
      <c r="AQ74" s="6">
        <f>IF(AP74&lt;=490,0,IF(AP74&lt;=600,(AP74-490)*0.05,IF(AP74&lt;=730,5.5+(AP74-600)*0.10,IF(AP74&lt;=3896.67,18.5+(AP74-730)*0.175,IF(AP74&lt;=19896.67,572.67+(AP74-3896.67)*0.25,IF(AP74&lt;=50416.67,4572.67+(AP74-19896.67)*0.30,13728.67+(AP74-50416.67)*0.35))))))</f>
        <v/>
      </c>
      <c r="AR74" s="6">
        <f>SUM(AM74,AQ74,W74,X74,Y74,Z74,AA74,AN74,AO74)</f>
        <v/>
      </c>
      <c r="AS74" s="6">
        <f>AL74-AR74</f>
        <v/>
      </c>
      <c r="AT74" s="6">
        <f>AB74-AC74</f>
        <v/>
      </c>
    </row>
    <row r="75">
      <c r="A75" s="2" t="n"/>
      <c r="B75" s="3" t="n"/>
      <c r="C75" s="4" t="n"/>
      <c r="D75" s="5" t="n"/>
      <c r="E75" s="3" t="n"/>
      <c r="F75" s="4" t="n"/>
      <c r="G75" s="5" t="n"/>
      <c r="H75" s="3" t="n"/>
      <c r="I75" s="4" t="n"/>
      <c r="J75" s="5" t="n"/>
      <c r="K75" s="3" t="n"/>
      <c r="L75" s="4" t="n"/>
      <c r="M75" s="5" t="n"/>
      <c r="N75" s="3" t="n"/>
      <c r="O75" s="4" t="n"/>
      <c r="P75" s="5" t="n"/>
      <c r="Q75" s="3" t="n"/>
      <c r="R75" s="4" t="n"/>
      <c r="S75" s="5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6">
        <f>IF(C75=0,0,IF(E75="",B75*D75/100,E75))</f>
        <v/>
      </c>
      <c r="AE75" s="6">
        <f>IF(F75=0,0,IF(H75="",B75*G75/100,H75))</f>
        <v/>
      </c>
      <c r="AF75" s="6">
        <f>IF(I75=0,0,IF(K75="",B75*J75/100,K75))</f>
        <v/>
      </c>
      <c r="AG75" s="6">
        <f>IF(L75=0,0,IF(N75="",B75*M75/100,N75))</f>
        <v/>
      </c>
      <c r="AH75" s="6">
        <f>IF(O75=0,0,IF(Q75="",B75*P75/100,Q75))</f>
        <v/>
      </c>
      <c r="AI75" s="6">
        <f>IF(R75=0,0,IF(T75="",B75*S75/100,T75))</f>
        <v/>
      </c>
      <c r="AJ75" s="6">
        <f>B75*0.035</f>
        <v/>
      </c>
      <c r="AK75" s="6">
        <f>B75*0.065</f>
        <v/>
      </c>
      <c r="AL75" s="6">
        <f>SUM(B75,AD75,AE75,AF75,AG75,AH75,AI75,U75,V75,AJ75,AK75)</f>
        <v/>
      </c>
      <c r="AM75" s="6">
        <f>B75*0.055</f>
        <v/>
      </c>
      <c r="AN75" s="6">
        <f>B75*0.035</f>
        <v/>
      </c>
      <c r="AO75" s="6">
        <f>B75*0.165</f>
        <v/>
      </c>
      <c r="AP75" s="6">
        <f>MAX(0,AL75-AM75-AO75)</f>
        <v/>
      </c>
      <c r="AQ75" s="6">
        <f>IF(AP75&lt;=490,0,IF(AP75&lt;=600,(AP75-490)*0.05,IF(AP75&lt;=730,5.5+(AP75-600)*0.10,IF(AP75&lt;=3896.67,18.5+(AP75-730)*0.175,IF(AP75&lt;=19896.67,572.67+(AP75-3896.67)*0.25,IF(AP75&lt;=50416.67,4572.67+(AP75-19896.67)*0.30,13728.67+(AP75-50416.67)*0.35))))))</f>
        <v/>
      </c>
      <c r="AR75" s="6">
        <f>SUM(AM75,AQ75,W75,X75,Y75,Z75,AA75,AN75,AO75)</f>
        <v/>
      </c>
      <c r="AS75" s="6">
        <f>AL75-AR75</f>
        <v/>
      </c>
      <c r="AT75" s="6">
        <f>AB75-AC75</f>
        <v/>
      </c>
    </row>
    <row r="76">
      <c r="A76" s="2" t="n"/>
      <c r="B76" s="3" t="n"/>
      <c r="C76" s="4" t="n"/>
      <c r="D76" s="5" t="n"/>
      <c r="E76" s="3" t="n"/>
      <c r="F76" s="4" t="n"/>
      <c r="G76" s="5" t="n"/>
      <c r="H76" s="3" t="n"/>
      <c r="I76" s="4" t="n"/>
      <c r="J76" s="5" t="n"/>
      <c r="K76" s="3" t="n"/>
      <c r="L76" s="4" t="n"/>
      <c r="M76" s="5" t="n"/>
      <c r="N76" s="3" t="n"/>
      <c r="O76" s="4" t="n"/>
      <c r="P76" s="5" t="n"/>
      <c r="Q76" s="3" t="n"/>
      <c r="R76" s="4" t="n"/>
      <c r="S76" s="5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6">
        <f>IF(C76=0,0,IF(E76="",B76*D76/100,E76))</f>
        <v/>
      </c>
      <c r="AE76" s="6">
        <f>IF(F76=0,0,IF(H76="",B76*G76/100,H76))</f>
        <v/>
      </c>
      <c r="AF76" s="6">
        <f>IF(I76=0,0,IF(K76="",B76*J76/100,K76))</f>
        <v/>
      </c>
      <c r="AG76" s="6">
        <f>IF(L76=0,0,IF(N76="",B76*M76/100,N76))</f>
        <v/>
      </c>
      <c r="AH76" s="6">
        <f>IF(O76=0,0,IF(Q76="",B76*P76/100,Q76))</f>
        <v/>
      </c>
      <c r="AI76" s="6">
        <f>IF(R76=0,0,IF(T76="",B76*S76/100,T76))</f>
        <v/>
      </c>
      <c r="AJ76" s="6">
        <f>B76*0.035</f>
        <v/>
      </c>
      <c r="AK76" s="6">
        <f>B76*0.065</f>
        <v/>
      </c>
      <c r="AL76" s="6">
        <f>SUM(B76,AD76,AE76,AF76,AG76,AH76,AI76,U76,V76,AJ76,AK76)</f>
        <v/>
      </c>
      <c r="AM76" s="6">
        <f>B76*0.055</f>
        <v/>
      </c>
      <c r="AN76" s="6">
        <f>B76*0.035</f>
        <v/>
      </c>
      <c r="AO76" s="6">
        <f>B76*0.165</f>
        <v/>
      </c>
      <c r="AP76" s="6">
        <f>MAX(0,AL76-AM76-AO76)</f>
        <v/>
      </c>
      <c r="AQ76" s="6">
        <f>IF(AP76&lt;=490,0,IF(AP76&lt;=600,(AP76-490)*0.05,IF(AP76&lt;=730,5.5+(AP76-600)*0.10,IF(AP76&lt;=3896.67,18.5+(AP76-730)*0.175,IF(AP76&lt;=19896.67,572.67+(AP76-3896.67)*0.25,IF(AP76&lt;=50416.67,4572.67+(AP76-19896.67)*0.30,13728.67+(AP76-50416.67)*0.35))))))</f>
        <v/>
      </c>
      <c r="AR76" s="6">
        <f>SUM(AM76,AQ76,W76,X76,Y76,Z76,AA76,AN76,AO76)</f>
        <v/>
      </c>
      <c r="AS76" s="6">
        <f>AL76-AR76</f>
        <v/>
      </c>
      <c r="AT76" s="6">
        <f>AB76-AC76</f>
        <v/>
      </c>
    </row>
    <row r="77">
      <c r="A77" s="2" t="n"/>
      <c r="B77" s="3" t="n"/>
      <c r="C77" s="4" t="n"/>
      <c r="D77" s="5" t="n"/>
      <c r="E77" s="3" t="n"/>
      <c r="F77" s="4" t="n"/>
      <c r="G77" s="5" t="n"/>
      <c r="H77" s="3" t="n"/>
      <c r="I77" s="4" t="n"/>
      <c r="J77" s="5" t="n"/>
      <c r="K77" s="3" t="n"/>
      <c r="L77" s="4" t="n"/>
      <c r="M77" s="5" t="n"/>
      <c r="N77" s="3" t="n"/>
      <c r="O77" s="4" t="n"/>
      <c r="P77" s="5" t="n"/>
      <c r="Q77" s="3" t="n"/>
      <c r="R77" s="4" t="n"/>
      <c r="S77" s="5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6">
        <f>IF(C77=0,0,IF(E77="",B77*D77/100,E77))</f>
        <v/>
      </c>
      <c r="AE77" s="6">
        <f>IF(F77=0,0,IF(H77="",B77*G77/100,H77))</f>
        <v/>
      </c>
      <c r="AF77" s="6">
        <f>IF(I77=0,0,IF(K77="",B77*J77/100,K77))</f>
        <v/>
      </c>
      <c r="AG77" s="6">
        <f>IF(L77=0,0,IF(N77="",B77*M77/100,N77))</f>
        <v/>
      </c>
      <c r="AH77" s="6">
        <f>IF(O77=0,0,IF(Q77="",B77*P77/100,Q77))</f>
        <v/>
      </c>
      <c r="AI77" s="6">
        <f>IF(R77=0,0,IF(T77="",B77*S77/100,T77))</f>
        <v/>
      </c>
      <c r="AJ77" s="6">
        <f>B77*0.035</f>
        <v/>
      </c>
      <c r="AK77" s="6">
        <f>B77*0.065</f>
        <v/>
      </c>
      <c r="AL77" s="6">
        <f>SUM(B77,AD77,AE77,AF77,AG77,AH77,AI77,U77,V77,AJ77,AK77)</f>
        <v/>
      </c>
      <c r="AM77" s="6">
        <f>B77*0.055</f>
        <v/>
      </c>
      <c r="AN77" s="6">
        <f>B77*0.035</f>
        <v/>
      </c>
      <c r="AO77" s="6">
        <f>B77*0.165</f>
        <v/>
      </c>
      <c r="AP77" s="6">
        <f>MAX(0,AL77-AM77-AO77)</f>
        <v/>
      </c>
      <c r="AQ77" s="6">
        <f>IF(AP77&lt;=490,0,IF(AP77&lt;=600,(AP77-490)*0.05,IF(AP77&lt;=730,5.5+(AP77-600)*0.10,IF(AP77&lt;=3896.67,18.5+(AP77-730)*0.175,IF(AP77&lt;=19896.67,572.67+(AP77-3896.67)*0.25,IF(AP77&lt;=50416.67,4572.67+(AP77-19896.67)*0.30,13728.67+(AP77-50416.67)*0.35))))))</f>
        <v/>
      </c>
      <c r="AR77" s="6">
        <f>SUM(AM77,AQ77,W77,X77,Y77,Z77,AA77,AN77,AO77)</f>
        <v/>
      </c>
      <c r="AS77" s="6">
        <f>AL77-AR77</f>
        <v/>
      </c>
      <c r="AT77" s="6">
        <f>AB77-AC77</f>
        <v/>
      </c>
    </row>
    <row r="78">
      <c r="A78" s="2" t="n"/>
      <c r="B78" s="3" t="n"/>
      <c r="C78" s="4" t="n"/>
      <c r="D78" s="5" t="n"/>
      <c r="E78" s="3" t="n"/>
      <c r="F78" s="4" t="n"/>
      <c r="G78" s="5" t="n"/>
      <c r="H78" s="3" t="n"/>
      <c r="I78" s="4" t="n"/>
      <c r="J78" s="5" t="n"/>
      <c r="K78" s="3" t="n"/>
      <c r="L78" s="4" t="n"/>
      <c r="M78" s="5" t="n"/>
      <c r="N78" s="3" t="n"/>
      <c r="O78" s="4" t="n"/>
      <c r="P78" s="5" t="n"/>
      <c r="Q78" s="3" t="n"/>
      <c r="R78" s="4" t="n"/>
      <c r="S78" s="5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6">
        <f>IF(C78=0,0,IF(E78="",B78*D78/100,E78))</f>
        <v/>
      </c>
      <c r="AE78" s="6">
        <f>IF(F78=0,0,IF(H78="",B78*G78/100,H78))</f>
        <v/>
      </c>
      <c r="AF78" s="6">
        <f>IF(I78=0,0,IF(K78="",B78*J78/100,K78))</f>
        <v/>
      </c>
      <c r="AG78" s="6">
        <f>IF(L78=0,0,IF(N78="",B78*M78/100,N78))</f>
        <v/>
      </c>
      <c r="AH78" s="6">
        <f>IF(O78=0,0,IF(Q78="",B78*P78/100,Q78))</f>
        <v/>
      </c>
      <c r="AI78" s="6">
        <f>IF(R78=0,0,IF(T78="",B78*S78/100,T78))</f>
        <v/>
      </c>
      <c r="AJ78" s="6">
        <f>B78*0.035</f>
        <v/>
      </c>
      <c r="AK78" s="6">
        <f>B78*0.065</f>
        <v/>
      </c>
      <c r="AL78" s="6">
        <f>SUM(B78,AD78,AE78,AF78,AG78,AH78,AI78,U78,V78,AJ78,AK78)</f>
        <v/>
      </c>
      <c r="AM78" s="6">
        <f>B78*0.055</f>
        <v/>
      </c>
      <c r="AN78" s="6">
        <f>B78*0.035</f>
        <v/>
      </c>
      <c r="AO78" s="6">
        <f>B78*0.165</f>
        <v/>
      </c>
      <c r="AP78" s="6">
        <f>MAX(0,AL78-AM78-AO78)</f>
        <v/>
      </c>
      <c r="AQ78" s="6">
        <f>IF(AP78&lt;=490,0,IF(AP78&lt;=600,(AP78-490)*0.05,IF(AP78&lt;=730,5.5+(AP78-600)*0.10,IF(AP78&lt;=3896.67,18.5+(AP78-730)*0.175,IF(AP78&lt;=19896.67,572.67+(AP78-3896.67)*0.25,IF(AP78&lt;=50416.67,4572.67+(AP78-19896.67)*0.30,13728.67+(AP78-50416.67)*0.35))))))</f>
        <v/>
      </c>
      <c r="AR78" s="6">
        <f>SUM(AM78,AQ78,W78,X78,Y78,Z78,AA78,AN78,AO78)</f>
        <v/>
      </c>
      <c r="AS78" s="6">
        <f>AL78-AR78</f>
        <v/>
      </c>
      <c r="AT78" s="6">
        <f>AB78-AC78</f>
        <v/>
      </c>
    </row>
    <row r="79">
      <c r="A79" s="2" t="n"/>
      <c r="B79" s="3" t="n"/>
      <c r="C79" s="4" t="n"/>
      <c r="D79" s="5" t="n"/>
      <c r="E79" s="3" t="n"/>
      <c r="F79" s="4" t="n"/>
      <c r="G79" s="5" t="n"/>
      <c r="H79" s="3" t="n"/>
      <c r="I79" s="4" t="n"/>
      <c r="J79" s="5" t="n"/>
      <c r="K79" s="3" t="n"/>
      <c r="L79" s="4" t="n"/>
      <c r="M79" s="5" t="n"/>
      <c r="N79" s="3" t="n"/>
      <c r="O79" s="4" t="n"/>
      <c r="P79" s="5" t="n"/>
      <c r="Q79" s="3" t="n"/>
      <c r="R79" s="4" t="n"/>
      <c r="S79" s="5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6">
        <f>IF(C79=0,0,IF(E79="",B79*D79/100,E79))</f>
        <v/>
      </c>
      <c r="AE79" s="6">
        <f>IF(F79=0,0,IF(H79="",B79*G79/100,H79))</f>
        <v/>
      </c>
      <c r="AF79" s="6">
        <f>IF(I79=0,0,IF(K79="",B79*J79/100,K79))</f>
        <v/>
      </c>
      <c r="AG79" s="6">
        <f>IF(L79=0,0,IF(N79="",B79*M79/100,N79))</f>
        <v/>
      </c>
      <c r="AH79" s="6">
        <f>IF(O79=0,0,IF(Q79="",B79*P79/100,Q79))</f>
        <v/>
      </c>
      <c r="AI79" s="6">
        <f>IF(R79=0,0,IF(T79="",B79*S79/100,T79))</f>
        <v/>
      </c>
      <c r="AJ79" s="6">
        <f>B79*0.035</f>
        <v/>
      </c>
      <c r="AK79" s="6">
        <f>B79*0.065</f>
        <v/>
      </c>
      <c r="AL79" s="6">
        <f>SUM(B79,AD79,AE79,AF79,AG79,AH79,AI79,U79,V79,AJ79,AK79)</f>
        <v/>
      </c>
      <c r="AM79" s="6">
        <f>B79*0.055</f>
        <v/>
      </c>
      <c r="AN79" s="6">
        <f>B79*0.035</f>
        <v/>
      </c>
      <c r="AO79" s="6">
        <f>B79*0.165</f>
        <v/>
      </c>
      <c r="AP79" s="6">
        <f>MAX(0,AL79-AM79-AO79)</f>
        <v/>
      </c>
      <c r="AQ79" s="6">
        <f>IF(AP79&lt;=490,0,IF(AP79&lt;=600,(AP79-490)*0.05,IF(AP79&lt;=730,5.5+(AP79-600)*0.10,IF(AP79&lt;=3896.67,18.5+(AP79-730)*0.175,IF(AP79&lt;=19896.67,572.67+(AP79-3896.67)*0.25,IF(AP79&lt;=50416.67,4572.67+(AP79-19896.67)*0.30,13728.67+(AP79-50416.67)*0.35))))))</f>
        <v/>
      </c>
      <c r="AR79" s="6">
        <f>SUM(AM79,AQ79,W79,X79,Y79,Z79,AA79,AN79,AO79)</f>
        <v/>
      </c>
      <c r="AS79" s="6">
        <f>AL79-AR79</f>
        <v/>
      </c>
      <c r="AT79" s="6">
        <f>AB79-AC79</f>
        <v/>
      </c>
    </row>
    <row r="80">
      <c r="A80" s="2" t="n"/>
      <c r="B80" s="3" t="n"/>
      <c r="C80" s="4" t="n"/>
      <c r="D80" s="5" t="n"/>
      <c r="E80" s="3" t="n"/>
      <c r="F80" s="4" t="n"/>
      <c r="G80" s="5" t="n"/>
      <c r="H80" s="3" t="n"/>
      <c r="I80" s="4" t="n"/>
      <c r="J80" s="5" t="n"/>
      <c r="K80" s="3" t="n"/>
      <c r="L80" s="4" t="n"/>
      <c r="M80" s="5" t="n"/>
      <c r="N80" s="3" t="n"/>
      <c r="O80" s="4" t="n"/>
      <c r="P80" s="5" t="n"/>
      <c r="Q80" s="3" t="n"/>
      <c r="R80" s="4" t="n"/>
      <c r="S80" s="5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6">
        <f>IF(C80=0,0,IF(E80="",B80*D80/100,E80))</f>
        <v/>
      </c>
      <c r="AE80" s="6">
        <f>IF(F80=0,0,IF(H80="",B80*G80/100,H80))</f>
        <v/>
      </c>
      <c r="AF80" s="6">
        <f>IF(I80=0,0,IF(K80="",B80*J80/100,K80))</f>
        <v/>
      </c>
      <c r="AG80" s="6">
        <f>IF(L80=0,0,IF(N80="",B80*M80/100,N80))</f>
        <v/>
      </c>
      <c r="AH80" s="6">
        <f>IF(O80=0,0,IF(Q80="",B80*P80/100,Q80))</f>
        <v/>
      </c>
      <c r="AI80" s="6">
        <f>IF(R80=0,0,IF(T80="",B80*S80/100,T80))</f>
        <v/>
      </c>
      <c r="AJ80" s="6">
        <f>B80*0.035</f>
        <v/>
      </c>
      <c r="AK80" s="6">
        <f>B80*0.065</f>
        <v/>
      </c>
      <c r="AL80" s="6">
        <f>SUM(B80,AD80,AE80,AF80,AG80,AH80,AI80,U80,V80,AJ80,AK80)</f>
        <v/>
      </c>
      <c r="AM80" s="6">
        <f>B80*0.055</f>
        <v/>
      </c>
      <c r="AN80" s="6">
        <f>B80*0.035</f>
        <v/>
      </c>
      <c r="AO80" s="6">
        <f>B80*0.165</f>
        <v/>
      </c>
      <c r="AP80" s="6">
        <f>MAX(0,AL80-AM80-AO80)</f>
        <v/>
      </c>
      <c r="AQ80" s="6">
        <f>IF(AP80&lt;=490,0,IF(AP80&lt;=600,(AP80-490)*0.05,IF(AP80&lt;=730,5.5+(AP80-600)*0.10,IF(AP80&lt;=3896.67,18.5+(AP80-730)*0.175,IF(AP80&lt;=19896.67,572.67+(AP80-3896.67)*0.25,IF(AP80&lt;=50416.67,4572.67+(AP80-19896.67)*0.30,13728.67+(AP80-50416.67)*0.35))))))</f>
        <v/>
      </c>
      <c r="AR80" s="6">
        <f>SUM(AM80,AQ80,W80,X80,Y80,Z80,AA80,AN80,AO80)</f>
        <v/>
      </c>
      <c r="AS80" s="6">
        <f>AL80-AR80</f>
        <v/>
      </c>
      <c r="AT80" s="6">
        <f>AB80-AC80</f>
        <v/>
      </c>
    </row>
    <row r="81">
      <c r="A81" s="2" t="n"/>
      <c r="B81" s="3" t="n"/>
      <c r="C81" s="4" t="n"/>
      <c r="D81" s="5" t="n"/>
      <c r="E81" s="3" t="n"/>
      <c r="F81" s="4" t="n"/>
      <c r="G81" s="5" t="n"/>
      <c r="H81" s="3" t="n"/>
      <c r="I81" s="4" t="n"/>
      <c r="J81" s="5" t="n"/>
      <c r="K81" s="3" t="n"/>
      <c r="L81" s="4" t="n"/>
      <c r="M81" s="5" t="n"/>
      <c r="N81" s="3" t="n"/>
      <c r="O81" s="4" t="n"/>
      <c r="P81" s="5" t="n"/>
      <c r="Q81" s="3" t="n"/>
      <c r="R81" s="4" t="n"/>
      <c r="S81" s="5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6">
        <f>IF(C81=0,0,IF(E81="",B81*D81/100,E81))</f>
        <v/>
      </c>
      <c r="AE81" s="6">
        <f>IF(F81=0,0,IF(H81="",B81*G81/100,H81))</f>
        <v/>
      </c>
      <c r="AF81" s="6">
        <f>IF(I81=0,0,IF(K81="",B81*J81/100,K81))</f>
        <v/>
      </c>
      <c r="AG81" s="6">
        <f>IF(L81=0,0,IF(N81="",B81*M81/100,N81))</f>
        <v/>
      </c>
      <c r="AH81" s="6">
        <f>IF(O81=0,0,IF(Q81="",B81*P81/100,Q81))</f>
        <v/>
      </c>
      <c r="AI81" s="6">
        <f>IF(R81=0,0,IF(T81="",B81*S81/100,T81))</f>
        <v/>
      </c>
      <c r="AJ81" s="6">
        <f>B81*0.035</f>
        <v/>
      </c>
      <c r="AK81" s="6">
        <f>B81*0.065</f>
        <v/>
      </c>
      <c r="AL81" s="6">
        <f>SUM(B81,AD81,AE81,AF81,AG81,AH81,AI81,U81,V81,AJ81,AK81)</f>
        <v/>
      </c>
      <c r="AM81" s="6">
        <f>B81*0.055</f>
        <v/>
      </c>
      <c r="AN81" s="6">
        <f>B81*0.035</f>
        <v/>
      </c>
      <c r="AO81" s="6">
        <f>B81*0.165</f>
        <v/>
      </c>
      <c r="AP81" s="6">
        <f>MAX(0,AL81-AM81-AO81)</f>
        <v/>
      </c>
      <c r="AQ81" s="6">
        <f>IF(AP81&lt;=490,0,IF(AP81&lt;=600,(AP81-490)*0.05,IF(AP81&lt;=730,5.5+(AP81-600)*0.10,IF(AP81&lt;=3896.67,18.5+(AP81-730)*0.175,IF(AP81&lt;=19896.67,572.67+(AP81-3896.67)*0.25,IF(AP81&lt;=50416.67,4572.67+(AP81-19896.67)*0.30,13728.67+(AP81-50416.67)*0.35))))))</f>
        <v/>
      </c>
      <c r="AR81" s="6">
        <f>SUM(AM81,AQ81,W81,X81,Y81,Z81,AA81,AN81,AO81)</f>
        <v/>
      </c>
      <c r="AS81" s="6">
        <f>AL81-AR81</f>
        <v/>
      </c>
      <c r="AT81" s="6">
        <f>AB81-AC81</f>
        <v/>
      </c>
    </row>
    <row r="82">
      <c r="A82" s="2" t="n"/>
      <c r="B82" s="3" t="n"/>
      <c r="C82" s="4" t="n"/>
      <c r="D82" s="5" t="n"/>
      <c r="E82" s="3" t="n"/>
      <c r="F82" s="4" t="n"/>
      <c r="G82" s="5" t="n"/>
      <c r="H82" s="3" t="n"/>
      <c r="I82" s="4" t="n"/>
      <c r="J82" s="5" t="n"/>
      <c r="K82" s="3" t="n"/>
      <c r="L82" s="4" t="n"/>
      <c r="M82" s="5" t="n"/>
      <c r="N82" s="3" t="n"/>
      <c r="O82" s="4" t="n"/>
      <c r="P82" s="5" t="n"/>
      <c r="Q82" s="3" t="n"/>
      <c r="R82" s="4" t="n"/>
      <c r="S82" s="5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6">
        <f>IF(C82=0,0,IF(E82="",B82*D82/100,E82))</f>
        <v/>
      </c>
      <c r="AE82" s="6">
        <f>IF(F82=0,0,IF(H82="",B82*G82/100,H82))</f>
        <v/>
      </c>
      <c r="AF82" s="6">
        <f>IF(I82=0,0,IF(K82="",B82*J82/100,K82))</f>
        <v/>
      </c>
      <c r="AG82" s="6">
        <f>IF(L82=0,0,IF(N82="",B82*M82/100,N82))</f>
        <v/>
      </c>
      <c r="AH82" s="6">
        <f>IF(O82=0,0,IF(Q82="",B82*P82/100,Q82))</f>
        <v/>
      </c>
      <c r="AI82" s="6">
        <f>IF(R82=0,0,IF(T82="",B82*S82/100,T82))</f>
        <v/>
      </c>
      <c r="AJ82" s="6">
        <f>B82*0.035</f>
        <v/>
      </c>
      <c r="AK82" s="6">
        <f>B82*0.065</f>
        <v/>
      </c>
      <c r="AL82" s="6">
        <f>SUM(B82,AD82,AE82,AF82,AG82,AH82,AI82,U82,V82,AJ82,AK82)</f>
        <v/>
      </c>
      <c r="AM82" s="6">
        <f>B82*0.055</f>
        <v/>
      </c>
      <c r="AN82" s="6">
        <f>B82*0.035</f>
        <v/>
      </c>
      <c r="AO82" s="6">
        <f>B82*0.165</f>
        <v/>
      </c>
      <c r="AP82" s="6">
        <f>MAX(0,AL82-AM82-AO82)</f>
        <v/>
      </c>
      <c r="AQ82" s="6">
        <f>IF(AP82&lt;=490,0,IF(AP82&lt;=600,(AP82-490)*0.05,IF(AP82&lt;=730,5.5+(AP82-600)*0.10,IF(AP82&lt;=3896.67,18.5+(AP82-730)*0.175,IF(AP82&lt;=19896.67,572.67+(AP82-3896.67)*0.25,IF(AP82&lt;=50416.67,4572.67+(AP82-19896.67)*0.30,13728.67+(AP82-50416.67)*0.35))))))</f>
        <v/>
      </c>
      <c r="AR82" s="6">
        <f>SUM(AM82,AQ82,W82,X82,Y82,Z82,AA82,AN82,AO82)</f>
        <v/>
      </c>
      <c r="AS82" s="6">
        <f>AL82-AR82</f>
        <v/>
      </c>
      <c r="AT82" s="6">
        <f>AB82-AC82</f>
        <v/>
      </c>
    </row>
    <row r="83">
      <c r="A83" s="2" t="n"/>
      <c r="B83" s="3" t="n"/>
      <c r="C83" s="4" t="n"/>
      <c r="D83" s="5" t="n"/>
      <c r="E83" s="3" t="n"/>
      <c r="F83" s="4" t="n"/>
      <c r="G83" s="5" t="n"/>
      <c r="H83" s="3" t="n"/>
      <c r="I83" s="4" t="n"/>
      <c r="J83" s="5" t="n"/>
      <c r="K83" s="3" t="n"/>
      <c r="L83" s="4" t="n"/>
      <c r="M83" s="5" t="n"/>
      <c r="N83" s="3" t="n"/>
      <c r="O83" s="4" t="n"/>
      <c r="P83" s="5" t="n"/>
      <c r="Q83" s="3" t="n"/>
      <c r="R83" s="4" t="n"/>
      <c r="S83" s="5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6">
        <f>IF(C83=0,0,IF(E83="",B83*D83/100,E83))</f>
        <v/>
      </c>
      <c r="AE83" s="6">
        <f>IF(F83=0,0,IF(H83="",B83*G83/100,H83))</f>
        <v/>
      </c>
      <c r="AF83" s="6">
        <f>IF(I83=0,0,IF(K83="",B83*J83/100,K83))</f>
        <v/>
      </c>
      <c r="AG83" s="6">
        <f>IF(L83=0,0,IF(N83="",B83*M83/100,N83))</f>
        <v/>
      </c>
      <c r="AH83" s="6">
        <f>IF(O83=0,0,IF(Q83="",B83*P83/100,Q83))</f>
        <v/>
      </c>
      <c r="AI83" s="6">
        <f>IF(R83=0,0,IF(T83="",B83*S83/100,T83))</f>
        <v/>
      </c>
      <c r="AJ83" s="6">
        <f>B83*0.035</f>
        <v/>
      </c>
      <c r="AK83" s="6">
        <f>B83*0.065</f>
        <v/>
      </c>
      <c r="AL83" s="6">
        <f>SUM(B83,AD83,AE83,AF83,AG83,AH83,AI83,U83,V83,AJ83,AK83)</f>
        <v/>
      </c>
      <c r="AM83" s="6">
        <f>B83*0.055</f>
        <v/>
      </c>
      <c r="AN83" s="6">
        <f>B83*0.035</f>
        <v/>
      </c>
      <c r="AO83" s="6">
        <f>B83*0.165</f>
        <v/>
      </c>
      <c r="AP83" s="6">
        <f>MAX(0,AL83-AM83-AO83)</f>
        <v/>
      </c>
      <c r="AQ83" s="6">
        <f>IF(AP83&lt;=490,0,IF(AP83&lt;=600,(AP83-490)*0.05,IF(AP83&lt;=730,5.5+(AP83-600)*0.10,IF(AP83&lt;=3896.67,18.5+(AP83-730)*0.175,IF(AP83&lt;=19896.67,572.67+(AP83-3896.67)*0.25,IF(AP83&lt;=50416.67,4572.67+(AP83-19896.67)*0.30,13728.67+(AP83-50416.67)*0.35))))))</f>
        <v/>
      </c>
      <c r="AR83" s="6">
        <f>SUM(AM83,AQ83,W83,X83,Y83,Z83,AA83,AN83,AO83)</f>
        <v/>
      </c>
      <c r="AS83" s="6">
        <f>AL83-AR83</f>
        <v/>
      </c>
      <c r="AT83" s="6">
        <f>AB83-AC83</f>
        <v/>
      </c>
    </row>
    <row r="84">
      <c r="A84" s="2" t="n"/>
      <c r="B84" s="3" t="n"/>
      <c r="C84" s="4" t="n"/>
      <c r="D84" s="5" t="n"/>
      <c r="E84" s="3" t="n"/>
      <c r="F84" s="4" t="n"/>
      <c r="G84" s="5" t="n"/>
      <c r="H84" s="3" t="n"/>
      <c r="I84" s="4" t="n"/>
      <c r="J84" s="5" t="n"/>
      <c r="K84" s="3" t="n"/>
      <c r="L84" s="4" t="n"/>
      <c r="M84" s="5" t="n"/>
      <c r="N84" s="3" t="n"/>
      <c r="O84" s="4" t="n"/>
      <c r="P84" s="5" t="n"/>
      <c r="Q84" s="3" t="n"/>
      <c r="R84" s="4" t="n"/>
      <c r="S84" s="5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6">
        <f>IF(C84=0,0,IF(E84="",B84*D84/100,E84))</f>
        <v/>
      </c>
      <c r="AE84" s="6">
        <f>IF(F84=0,0,IF(H84="",B84*G84/100,H84))</f>
        <v/>
      </c>
      <c r="AF84" s="6">
        <f>IF(I84=0,0,IF(K84="",B84*J84/100,K84))</f>
        <v/>
      </c>
      <c r="AG84" s="6">
        <f>IF(L84=0,0,IF(N84="",B84*M84/100,N84))</f>
        <v/>
      </c>
      <c r="AH84" s="6">
        <f>IF(O84=0,0,IF(Q84="",B84*P84/100,Q84))</f>
        <v/>
      </c>
      <c r="AI84" s="6">
        <f>IF(R84=0,0,IF(T84="",B84*S84/100,T84))</f>
        <v/>
      </c>
      <c r="AJ84" s="6">
        <f>B84*0.035</f>
        <v/>
      </c>
      <c r="AK84" s="6">
        <f>B84*0.065</f>
        <v/>
      </c>
      <c r="AL84" s="6">
        <f>SUM(B84,AD84,AE84,AF84,AG84,AH84,AI84,U84,V84,AJ84,AK84)</f>
        <v/>
      </c>
      <c r="AM84" s="6">
        <f>B84*0.055</f>
        <v/>
      </c>
      <c r="AN84" s="6">
        <f>B84*0.035</f>
        <v/>
      </c>
      <c r="AO84" s="6">
        <f>B84*0.165</f>
        <v/>
      </c>
      <c r="AP84" s="6">
        <f>MAX(0,AL84-AM84-AO84)</f>
        <v/>
      </c>
      <c r="AQ84" s="6">
        <f>IF(AP84&lt;=490,0,IF(AP84&lt;=600,(AP84-490)*0.05,IF(AP84&lt;=730,5.5+(AP84-600)*0.10,IF(AP84&lt;=3896.67,18.5+(AP84-730)*0.175,IF(AP84&lt;=19896.67,572.67+(AP84-3896.67)*0.25,IF(AP84&lt;=50416.67,4572.67+(AP84-19896.67)*0.30,13728.67+(AP84-50416.67)*0.35))))))</f>
        <v/>
      </c>
      <c r="AR84" s="6">
        <f>SUM(AM84,AQ84,W84,X84,Y84,Z84,AA84,AN84,AO84)</f>
        <v/>
      </c>
      <c r="AS84" s="6">
        <f>AL84-AR84</f>
        <v/>
      </c>
      <c r="AT84" s="6">
        <f>AB84-AC84</f>
        <v/>
      </c>
    </row>
    <row r="85">
      <c r="A85" s="2" t="n"/>
      <c r="B85" s="3" t="n"/>
      <c r="C85" s="4" t="n"/>
      <c r="D85" s="5" t="n"/>
      <c r="E85" s="3" t="n"/>
      <c r="F85" s="4" t="n"/>
      <c r="G85" s="5" t="n"/>
      <c r="H85" s="3" t="n"/>
      <c r="I85" s="4" t="n"/>
      <c r="J85" s="5" t="n"/>
      <c r="K85" s="3" t="n"/>
      <c r="L85" s="4" t="n"/>
      <c r="M85" s="5" t="n"/>
      <c r="N85" s="3" t="n"/>
      <c r="O85" s="4" t="n"/>
      <c r="P85" s="5" t="n"/>
      <c r="Q85" s="3" t="n"/>
      <c r="R85" s="4" t="n"/>
      <c r="S85" s="5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6">
        <f>IF(C85=0,0,IF(E85="",B85*D85/100,E85))</f>
        <v/>
      </c>
      <c r="AE85" s="6">
        <f>IF(F85=0,0,IF(H85="",B85*G85/100,H85))</f>
        <v/>
      </c>
      <c r="AF85" s="6">
        <f>IF(I85=0,0,IF(K85="",B85*J85/100,K85))</f>
        <v/>
      </c>
      <c r="AG85" s="6">
        <f>IF(L85=0,0,IF(N85="",B85*M85/100,N85))</f>
        <v/>
      </c>
      <c r="AH85" s="6">
        <f>IF(O85=0,0,IF(Q85="",B85*P85/100,Q85))</f>
        <v/>
      </c>
      <c r="AI85" s="6">
        <f>IF(R85=0,0,IF(T85="",B85*S85/100,T85))</f>
        <v/>
      </c>
      <c r="AJ85" s="6">
        <f>B85*0.035</f>
        <v/>
      </c>
      <c r="AK85" s="6">
        <f>B85*0.065</f>
        <v/>
      </c>
      <c r="AL85" s="6">
        <f>SUM(B85,AD85,AE85,AF85,AG85,AH85,AI85,U85,V85,AJ85,AK85)</f>
        <v/>
      </c>
      <c r="AM85" s="6">
        <f>B85*0.055</f>
        <v/>
      </c>
      <c r="AN85" s="6">
        <f>B85*0.035</f>
        <v/>
      </c>
      <c r="AO85" s="6">
        <f>B85*0.165</f>
        <v/>
      </c>
      <c r="AP85" s="6">
        <f>MAX(0,AL85-AM85-AO85)</f>
        <v/>
      </c>
      <c r="AQ85" s="6">
        <f>IF(AP85&lt;=490,0,IF(AP85&lt;=600,(AP85-490)*0.05,IF(AP85&lt;=730,5.5+(AP85-600)*0.10,IF(AP85&lt;=3896.67,18.5+(AP85-730)*0.175,IF(AP85&lt;=19896.67,572.67+(AP85-3896.67)*0.25,IF(AP85&lt;=50416.67,4572.67+(AP85-19896.67)*0.30,13728.67+(AP85-50416.67)*0.35))))))</f>
        <v/>
      </c>
      <c r="AR85" s="6">
        <f>SUM(AM85,AQ85,W85,X85,Y85,Z85,AA85,AN85,AO85)</f>
        <v/>
      </c>
      <c r="AS85" s="6">
        <f>AL85-AR85</f>
        <v/>
      </c>
      <c r="AT85" s="6">
        <f>AB85-AC85</f>
        <v/>
      </c>
    </row>
    <row r="86">
      <c r="A86" s="2" t="n"/>
      <c r="B86" s="3" t="n"/>
      <c r="C86" s="4" t="n"/>
      <c r="D86" s="5" t="n"/>
      <c r="E86" s="3" t="n"/>
      <c r="F86" s="4" t="n"/>
      <c r="G86" s="5" t="n"/>
      <c r="H86" s="3" t="n"/>
      <c r="I86" s="4" t="n"/>
      <c r="J86" s="5" t="n"/>
      <c r="K86" s="3" t="n"/>
      <c r="L86" s="4" t="n"/>
      <c r="M86" s="5" t="n"/>
      <c r="N86" s="3" t="n"/>
      <c r="O86" s="4" t="n"/>
      <c r="P86" s="5" t="n"/>
      <c r="Q86" s="3" t="n"/>
      <c r="R86" s="4" t="n"/>
      <c r="S86" s="5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6">
        <f>IF(C86=0,0,IF(E86="",B86*D86/100,E86))</f>
        <v/>
      </c>
      <c r="AE86" s="6">
        <f>IF(F86=0,0,IF(H86="",B86*G86/100,H86))</f>
        <v/>
      </c>
      <c r="AF86" s="6">
        <f>IF(I86=0,0,IF(K86="",B86*J86/100,K86))</f>
        <v/>
      </c>
      <c r="AG86" s="6">
        <f>IF(L86=0,0,IF(N86="",B86*M86/100,N86))</f>
        <v/>
      </c>
      <c r="AH86" s="6">
        <f>IF(O86=0,0,IF(Q86="",B86*P86/100,Q86))</f>
        <v/>
      </c>
      <c r="AI86" s="6">
        <f>IF(R86=0,0,IF(T86="",B86*S86/100,T86))</f>
        <v/>
      </c>
      <c r="AJ86" s="6">
        <f>B86*0.035</f>
        <v/>
      </c>
      <c r="AK86" s="6">
        <f>B86*0.065</f>
        <v/>
      </c>
      <c r="AL86" s="6">
        <f>SUM(B86,AD86,AE86,AF86,AG86,AH86,AI86,U86,V86,AJ86,AK86)</f>
        <v/>
      </c>
      <c r="AM86" s="6">
        <f>B86*0.055</f>
        <v/>
      </c>
      <c r="AN86" s="6">
        <f>B86*0.035</f>
        <v/>
      </c>
      <c r="AO86" s="6">
        <f>B86*0.165</f>
        <v/>
      </c>
      <c r="AP86" s="6">
        <f>MAX(0,AL86-AM86-AO86)</f>
        <v/>
      </c>
      <c r="AQ86" s="6">
        <f>IF(AP86&lt;=490,0,IF(AP86&lt;=600,(AP86-490)*0.05,IF(AP86&lt;=730,5.5+(AP86-600)*0.10,IF(AP86&lt;=3896.67,18.5+(AP86-730)*0.175,IF(AP86&lt;=19896.67,572.67+(AP86-3896.67)*0.25,IF(AP86&lt;=50416.67,4572.67+(AP86-19896.67)*0.30,13728.67+(AP86-50416.67)*0.35))))))</f>
        <v/>
      </c>
      <c r="AR86" s="6">
        <f>SUM(AM86,AQ86,W86,X86,Y86,Z86,AA86,AN86,AO86)</f>
        <v/>
      </c>
      <c r="AS86" s="6">
        <f>AL86-AR86</f>
        <v/>
      </c>
      <c r="AT86" s="6">
        <f>AB86-AC86</f>
        <v/>
      </c>
    </row>
    <row r="87">
      <c r="A87" s="2" t="n"/>
      <c r="B87" s="3" t="n"/>
      <c r="C87" s="4" t="n"/>
      <c r="D87" s="5" t="n"/>
      <c r="E87" s="3" t="n"/>
      <c r="F87" s="4" t="n"/>
      <c r="G87" s="5" t="n"/>
      <c r="H87" s="3" t="n"/>
      <c r="I87" s="4" t="n"/>
      <c r="J87" s="5" t="n"/>
      <c r="K87" s="3" t="n"/>
      <c r="L87" s="4" t="n"/>
      <c r="M87" s="5" t="n"/>
      <c r="N87" s="3" t="n"/>
      <c r="O87" s="4" t="n"/>
      <c r="P87" s="5" t="n"/>
      <c r="Q87" s="3" t="n"/>
      <c r="R87" s="4" t="n"/>
      <c r="S87" s="5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6">
        <f>IF(C87=0,0,IF(E87="",B87*D87/100,E87))</f>
        <v/>
      </c>
      <c r="AE87" s="6">
        <f>IF(F87=0,0,IF(H87="",B87*G87/100,H87))</f>
        <v/>
      </c>
      <c r="AF87" s="6">
        <f>IF(I87=0,0,IF(K87="",B87*J87/100,K87))</f>
        <v/>
      </c>
      <c r="AG87" s="6">
        <f>IF(L87=0,0,IF(N87="",B87*M87/100,N87))</f>
        <v/>
      </c>
      <c r="AH87" s="6">
        <f>IF(O87=0,0,IF(Q87="",B87*P87/100,Q87))</f>
        <v/>
      </c>
      <c r="AI87" s="6">
        <f>IF(R87=0,0,IF(T87="",B87*S87/100,T87))</f>
        <v/>
      </c>
      <c r="AJ87" s="6">
        <f>B87*0.035</f>
        <v/>
      </c>
      <c r="AK87" s="6">
        <f>B87*0.065</f>
        <v/>
      </c>
      <c r="AL87" s="6">
        <f>SUM(B87,AD87,AE87,AF87,AG87,AH87,AI87,U87,V87,AJ87,AK87)</f>
        <v/>
      </c>
      <c r="AM87" s="6">
        <f>B87*0.055</f>
        <v/>
      </c>
      <c r="AN87" s="6">
        <f>B87*0.035</f>
        <v/>
      </c>
      <c r="AO87" s="6">
        <f>B87*0.165</f>
        <v/>
      </c>
      <c r="AP87" s="6">
        <f>MAX(0,AL87-AM87-AO87)</f>
        <v/>
      </c>
      <c r="AQ87" s="6">
        <f>IF(AP87&lt;=490,0,IF(AP87&lt;=600,(AP87-490)*0.05,IF(AP87&lt;=730,5.5+(AP87-600)*0.10,IF(AP87&lt;=3896.67,18.5+(AP87-730)*0.175,IF(AP87&lt;=19896.67,572.67+(AP87-3896.67)*0.25,IF(AP87&lt;=50416.67,4572.67+(AP87-19896.67)*0.30,13728.67+(AP87-50416.67)*0.35))))))</f>
        <v/>
      </c>
      <c r="AR87" s="6">
        <f>SUM(AM87,AQ87,W87,X87,Y87,Z87,AA87,AN87,AO87)</f>
        <v/>
      </c>
      <c r="AS87" s="6">
        <f>AL87-AR87</f>
        <v/>
      </c>
      <c r="AT87" s="6">
        <f>AB87-AC87</f>
        <v/>
      </c>
    </row>
    <row r="88">
      <c r="A88" s="2" t="n"/>
      <c r="B88" s="3" t="n"/>
      <c r="C88" s="4" t="n"/>
      <c r="D88" s="5" t="n"/>
      <c r="E88" s="3" t="n"/>
      <c r="F88" s="4" t="n"/>
      <c r="G88" s="5" t="n"/>
      <c r="H88" s="3" t="n"/>
      <c r="I88" s="4" t="n"/>
      <c r="J88" s="5" t="n"/>
      <c r="K88" s="3" t="n"/>
      <c r="L88" s="4" t="n"/>
      <c r="M88" s="5" t="n"/>
      <c r="N88" s="3" t="n"/>
      <c r="O88" s="4" t="n"/>
      <c r="P88" s="5" t="n"/>
      <c r="Q88" s="3" t="n"/>
      <c r="R88" s="4" t="n"/>
      <c r="S88" s="5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6">
        <f>IF(C88=0,0,IF(E88="",B88*D88/100,E88))</f>
        <v/>
      </c>
      <c r="AE88" s="6">
        <f>IF(F88=0,0,IF(H88="",B88*G88/100,H88))</f>
        <v/>
      </c>
      <c r="AF88" s="6">
        <f>IF(I88=0,0,IF(K88="",B88*J88/100,K88))</f>
        <v/>
      </c>
      <c r="AG88" s="6">
        <f>IF(L88=0,0,IF(N88="",B88*M88/100,N88))</f>
        <v/>
      </c>
      <c r="AH88" s="6">
        <f>IF(O88=0,0,IF(Q88="",B88*P88/100,Q88))</f>
        <v/>
      </c>
      <c r="AI88" s="6">
        <f>IF(R88=0,0,IF(T88="",B88*S88/100,T88))</f>
        <v/>
      </c>
      <c r="AJ88" s="6">
        <f>B88*0.035</f>
        <v/>
      </c>
      <c r="AK88" s="6">
        <f>B88*0.065</f>
        <v/>
      </c>
      <c r="AL88" s="6">
        <f>SUM(B88,AD88,AE88,AF88,AG88,AH88,AI88,U88,V88,AJ88,AK88)</f>
        <v/>
      </c>
      <c r="AM88" s="6">
        <f>B88*0.055</f>
        <v/>
      </c>
      <c r="AN88" s="6">
        <f>B88*0.035</f>
        <v/>
      </c>
      <c r="AO88" s="6">
        <f>B88*0.165</f>
        <v/>
      </c>
      <c r="AP88" s="6">
        <f>MAX(0,AL88-AM88-AO88)</f>
        <v/>
      </c>
      <c r="AQ88" s="6">
        <f>IF(AP88&lt;=490,0,IF(AP88&lt;=600,(AP88-490)*0.05,IF(AP88&lt;=730,5.5+(AP88-600)*0.10,IF(AP88&lt;=3896.67,18.5+(AP88-730)*0.175,IF(AP88&lt;=19896.67,572.67+(AP88-3896.67)*0.25,IF(AP88&lt;=50416.67,4572.67+(AP88-19896.67)*0.30,13728.67+(AP88-50416.67)*0.35))))))</f>
        <v/>
      </c>
      <c r="AR88" s="6">
        <f>SUM(AM88,AQ88,W88,X88,Y88,Z88,AA88,AN88,AO88)</f>
        <v/>
      </c>
      <c r="AS88" s="6">
        <f>AL88-AR88</f>
        <v/>
      </c>
      <c r="AT88" s="6">
        <f>AB88-AC88</f>
        <v/>
      </c>
    </row>
    <row r="89">
      <c r="A89" s="2" t="n"/>
      <c r="B89" s="3" t="n"/>
      <c r="C89" s="4" t="n"/>
      <c r="D89" s="5" t="n"/>
      <c r="E89" s="3" t="n"/>
      <c r="F89" s="4" t="n"/>
      <c r="G89" s="5" t="n"/>
      <c r="H89" s="3" t="n"/>
      <c r="I89" s="4" t="n"/>
      <c r="J89" s="5" t="n"/>
      <c r="K89" s="3" t="n"/>
      <c r="L89" s="4" t="n"/>
      <c r="M89" s="5" t="n"/>
      <c r="N89" s="3" t="n"/>
      <c r="O89" s="4" t="n"/>
      <c r="P89" s="5" t="n"/>
      <c r="Q89" s="3" t="n"/>
      <c r="R89" s="4" t="n"/>
      <c r="S89" s="5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6">
        <f>IF(C89=0,0,IF(E89="",B89*D89/100,E89))</f>
        <v/>
      </c>
      <c r="AE89" s="6">
        <f>IF(F89=0,0,IF(H89="",B89*G89/100,H89))</f>
        <v/>
      </c>
      <c r="AF89" s="6">
        <f>IF(I89=0,0,IF(K89="",B89*J89/100,K89))</f>
        <v/>
      </c>
      <c r="AG89" s="6">
        <f>IF(L89=0,0,IF(N89="",B89*M89/100,N89))</f>
        <v/>
      </c>
      <c r="AH89" s="6">
        <f>IF(O89=0,0,IF(Q89="",B89*P89/100,Q89))</f>
        <v/>
      </c>
      <c r="AI89" s="6">
        <f>IF(R89=0,0,IF(T89="",B89*S89/100,T89))</f>
        <v/>
      </c>
      <c r="AJ89" s="6">
        <f>B89*0.035</f>
        <v/>
      </c>
      <c r="AK89" s="6">
        <f>B89*0.065</f>
        <v/>
      </c>
      <c r="AL89" s="6">
        <f>SUM(B89,AD89,AE89,AF89,AG89,AH89,AI89,U89,V89,AJ89,AK89)</f>
        <v/>
      </c>
      <c r="AM89" s="6">
        <f>B89*0.055</f>
        <v/>
      </c>
      <c r="AN89" s="6">
        <f>B89*0.035</f>
        <v/>
      </c>
      <c r="AO89" s="6">
        <f>B89*0.165</f>
        <v/>
      </c>
      <c r="AP89" s="6">
        <f>MAX(0,AL89-AM89-AO89)</f>
        <v/>
      </c>
      <c r="AQ89" s="6">
        <f>IF(AP89&lt;=490,0,IF(AP89&lt;=600,(AP89-490)*0.05,IF(AP89&lt;=730,5.5+(AP89-600)*0.10,IF(AP89&lt;=3896.67,18.5+(AP89-730)*0.175,IF(AP89&lt;=19896.67,572.67+(AP89-3896.67)*0.25,IF(AP89&lt;=50416.67,4572.67+(AP89-19896.67)*0.30,13728.67+(AP89-50416.67)*0.35))))))</f>
        <v/>
      </c>
      <c r="AR89" s="6">
        <f>SUM(AM89,AQ89,W89,X89,Y89,Z89,AA89,AN89,AO89)</f>
        <v/>
      </c>
      <c r="AS89" s="6">
        <f>AL89-AR89</f>
        <v/>
      </c>
      <c r="AT89" s="6">
        <f>AB89-AC89</f>
        <v/>
      </c>
    </row>
    <row r="90">
      <c r="A90" s="2" t="n"/>
      <c r="B90" s="3" t="n"/>
      <c r="C90" s="4" t="n"/>
      <c r="D90" s="5" t="n"/>
      <c r="E90" s="3" t="n"/>
      <c r="F90" s="4" t="n"/>
      <c r="G90" s="5" t="n"/>
      <c r="H90" s="3" t="n"/>
      <c r="I90" s="4" t="n"/>
      <c r="J90" s="5" t="n"/>
      <c r="K90" s="3" t="n"/>
      <c r="L90" s="4" t="n"/>
      <c r="M90" s="5" t="n"/>
      <c r="N90" s="3" t="n"/>
      <c r="O90" s="4" t="n"/>
      <c r="P90" s="5" t="n"/>
      <c r="Q90" s="3" t="n"/>
      <c r="R90" s="4" t="n"/>
      <c r="S90" s="5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6">
        <f>IF(C90=0,0,IF(E90="",B90*D90/100,E90))</f>
        <v/>
      </c>
      <c r="AE90" s="6">
        <f>IF(F90=0,0,IF(H90="",B90*G90/100,H90))</f>
        <v/>
      </c>
      <c r="AF90" s="6">
        <f>IF(I90=0,0,IF(K90="",B90*J90/100,K90))</f>
        <v/>
      </c>
      <c r="AG90" s="6">
        <f>IF(L90=0,0,IF(N90="",B90*M90/100,N90))</f>
        <v/>
      </c>
      <c r="AH90" s="6">
        <f>IF(O90=0,0,IF(Q90="",B90*P90/100,Q90))</f>
        <v/>
      </c>
      <c r="AI90" s="6">
        <f>IF(R90=0,0,IF(T90="",B90*S90/100,T90))</f>
        <v/>
      </c>
      <c r="AJ90" s="6">
        <f>B90*0.035</f>
        <v/>
      </c>
      <c r="AK90" s="6">
        <f>B90*0.065</f>
        <v/>
      </c>
      <c r="AL90" s="6">
        <f>SUM(B90,AD90,AE90,AF90,AG90,AH90,AI90,U90,V90,AJ90,AK90)</f>
        <v/>
      </c>
      <c r="AM90" s="6">
        <f>B90*0.055</f>
        <v/>
      </c>
      <c r="AN90" s="6">
        <f>B90*0.035</f>
        <v/>
      </c>
      <c r="AO90" s="6">
        <f>B90*0.165</f>
        <v/>
      </c>
      <c r="AP90" s="6">
        <f>MAX(0,AL90-AM90-AO90)</f>
        <v/>
      </c>
      <c r="AQ90" s="6">
        <f>IF(AP90&lt;=490,0,IF(AP90&lt;=600,(AP90-490)*0.05,IF(AP90&lt;=730,5.5+(AP90-600)*0.10,IF(AP90&lt;=3896.67,18.5+(AP90-730)*0.175,IF(AP90&lt;=19896.67,572.67+(AP90-3896.67)*0.25,IF(AP90&lt;=50416.67,4572.67+(AP90-19896.67)*0.30,13728.67+(AP90-50416.67)*0.35))))))</f>
        <v/>
      </c>
      <c r="AR90" s="6">
        <f>SUM(AM90,AQ90,W90,X90,Y90,Z90,AA90,AN90,AO90)</f>
        <v/>
      </c>
      <c r="AS90" s="6">
        <f>AL90-AR90</f>
        <v/>
      </c>
      <c r="AT90" s="6">
        <f>AB90-AC90</f>
        <v/>
      </c>
    </row>
    <row r="91">
      <c r="A91" s="2" t="n"/>
      <c r="B91" s="3" t="n"/>
      <c r="C91" s="4" t="n"/>
      <c r="D91" s="5" t="n"/>
      <c r="E91" s="3" t="n"/>
      <c r="F91" s="4" t="n"/>
      <c r="G91" s="5" t="n"/>
      <c r="H91" s="3" t="n"/>
      <c r="I91" s="4" t="n"/>
      <c r="J91" s="5" t="n"/>
      <c r="K91" s="3" t="n"/>
      <c r="L91" s="4" t="n"/>
      <c r="M91" s="5" t="n"/>
      <c r="N91" s="3" t="n"/>
      <c r="O91" s="4" t="n"/>
      <c r="P91" s="5" t="n"/>
      <c r="Q91" s="3" t="n"/>
      <c r="R91" s="4" t="n"/>
      <c r="S91" s="5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6">
        <f>IF(C91=0,0,IF(E91="",B91*D91/100,E91))</f>
        <v/>
      </c>
      <c r="AE91" s="6">
        <f>IF(F91=0,0,IF(H91="",B91*G91/100,H91))</f>
        <v/>
      </c>
      <c r="AF91" s="6">
        <f>IF(I91=0,0,IF(K91="",B91*J91/100,K91))</f>
        <v/>
      </c>
      <c r="AG91" s="6">
        <f>IF(L91=0,0,IF(N91="",B91*M91/100,N91))</f>
        <v/>
      </c>
      <c r="AH91" s="6">
        <f>IF(O91=0,0,IF(Q91="",B91*P91/100,Q91))</f>
        <v/>
      </c>
      <c r="AI91" s="6">
        <f>IF(R91=0,0,IF(T91="",B91*S91/100,T91))</f>
        <v/>
      </c>
      <c r="AJ91" s="6">
        <f>B91*0.035</f>
        <v/>
      </c>
      <c r="AK91" s="6">
        <f>B91*0.065</f>
        <v/>
      </c>
      <c r="AL91" s="6">
        <f>SUM(B91,AD91,AE91,AF91,AG91,AH91,AI91,U91,V91,AJ91,AK91)</f>
        <v/>
      </c>
      <c r="AM91" s="6">
        <f>B91*0.055</f>
        <v/>
      </c>
      <c r="AN91" s="6">
        <f>B91*0.035</f>
        <v/>
      </c>
      <c r="AO91" s="6">
        <f>B91*0.165</f>
        <v/>
      </c>
      <c r="AP91" s="6">
        <f>MAX(0,AL91-AM91-AO91)</f>
        <v/>
      </c>
      <c r="AQ91" s="6">
        <f>IF(AP91&lt;=490,0,IF(AP91&lt;=600,(AP91-490)*0.05,IF(AP91&lt;=730,5.5+(AP91-600)*0.10,IF(AP91&lt;=3896.67,18.5+(AP91-730)*0.175,IF(AP91&lt;=19896.67,572.67+(AP91-3896.67)*0.25,IF(AP91&lt;=50416.67,4572.67+(AP91-19896.67)*0.30,13728.67+(AP91-50416.67)*0.35))))))</f>
        <v/>
      </c>
      <c r="AR91" s="6">
        <f>SUM(AM91,AQ91,W91,X91,Y91,Z91,AA91,AN91,AO91)</f>
        <v/>
      </c>
      <c r="AS91" s="6">
        <f>AL91-AR91</f>
        <v/>
      </c>
      <c r="AT91" s="6">
        <f>AB91-AC91</f>
        <v/>
      </c>
    </row>
    <row r="92">
      <c r="A92" s="2" t="n"/>
      <c r="B92" s="3" t="n"/>
      <c r="C92" s="4" t="n"/>
      <c r="D92" s="5" t="n"/>
      <c r="E92" s="3" t="n"/>
      <c r="F92" s="4" t="n"/>
      <c r="G92" s="5" t="n"/>
      <c r="H92" s="3" t="n"/>
      <c r="I92" s="4" t="n"/>
      <c r="J92" s="5" t="n"/>
      <c r="K92" s="3" t="n"/>
      <c r="L92" s="4" t="n"/>
      <c r="M92" s="5" t="n"/>
      <c r="N92" s="3" t="n"/>
      <c r="O92" s="4" t="n"/>
      <c r="P92" s="5" t="n"/>
      <c r="Q92" s="3" t="n"/>
      <c r="R92" s="4" t="n"/>
      <c r="S92" s="5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6">
        <f>IF(C92=0,0,IF(E92="",B92*D92/100,E92))</f>
        <v/>
      </c>
      <c r="AE92" s="6">
        <f>IF(F92=0,0,IF(H92="",B92*G92/100,H92))</f>
        <v/>
      </c>
      <c r="AF92" s="6">
        <f>IF(I92=0,0,IF(K92="",B92*J92/100,K92))</f>
        <v/>
      </c>
      <c r="AG92" s="6">
        <f>IF(L92=0,0,IF(N92="",B92*M92/100,N92))</f>
        <v/>
      </c>
      <c r="AH92" s="6">
        <f>IF(O92=0,0,IF(Q92="",B92*P92/100,Q92))</f>
        <v/>
      </c>
      <c r="AI92" s="6">
        <f>IF(R92=0,0,IF(T92="",B92*S92/100,T92))</f>
        <v/>
      </c>
      <c r="AJ92" s="6">
        <f>B92*0.035</f>
        <v/>
      </c>
      <c r="AK92" s="6">
        <f>B92*0.065</f>
        <v/>
      </c>
      <c r="AL92" s="6">
        <f>SUM(B92,AD92,AE92,AF92,AG92,AH92,AI92,U92,V92,AJ92,AK92)</f>
        <v/>
      </c>
      <c r="AM92" s="6">
        <f>B92*0.055</f>
        <v/>
      </c>
      <c r="AN92" s="6">
        <f>B92*0.035</f>
        <v/>
      </c>
      <c r="AO92" s="6">
        <f>B92*0.165</f>
        <v/>
      </c>
      <c r="AP92" s="6">
        <f>MAX(0,AL92-AM92-AO92)</f>
        <v/>
      </c>
      <c r="AQ92" s="6">
        <f>IF(AP92&lt;=490,0,IF(AP92&lt;=600,(AP92-490)*0.05,IF(AP92&lt;=730,5.5+(AP92-600)*0.10,IF(AP92&lt;=3896.67,18.5+(AP92-730)*0.175,IF(AP92&lt;=19896.67,572.67+(AP92-3896.67)*0.25,IF(AP92&lt;=50416.67,4572.67+(AP92-19896.67)*0.30,13728.67+(AP92-50416.67)*0.35))))))</f>
        <v/>
      </c>
      <c r="AR92" s="6">
        <f>SUM(AM92,AQ92,W92,X92,Y92,Z92,AA92,AN92,AO92)</f>
        <v/>
      </c>
      <c r="AS92" s="6">
        <f>AL92-AR92</f>
        <v/>
      </c>
      <c r="AT92" s="6">
        <f>AB92-AC92</f>
        <v/>
      </c>
    </row>
    <row r="93">
      <c r="A93" s="2" t="n"/>
      <c r="B93" s="3" t="n"/>
      <c r="C93" s="4" t="n"/>
      <c r="D93" s="5" t="n"/>
      <c r="E93" s="3" t="n"/>
      <c r="F93" s="4" t="n"/>
      <c r="G93" s="5" t="n"/>
      <c r="H93" s="3" t="n"/>
      <c r="I93" s="4" t="n"/>
      <c r="J93" s="5" t="n"/>
      <c r="K93" s="3" t="n"/>
      <c r="L93" s="4" t="n"/>
      <c r="M93" s="5" t="n"/>
      <c r="N93" s="3" t="n"/>
      <c r="O93" s="4" t="n"/>
      <c r="P93" s="5" t="n"/>
      <c r="Q93" s="3" t="n"/>
      <c r="R93" s="4" t="n"/>
      <c r="S93" s="5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6">
        <f>IF(C93=0,0,IF(E93="",B93*D93/100,E93))</f>
        <v/>
      </c>
      <c r="AE93" s="6">
        <f>IF(F93=0,0,IF(H93="",B93*G93/100,H93))</f>
        <v/>
      </c>
      <c r="AF93" s="6">
        <f>IF(I93=0,0,IF(K93="",B93*J93/100,K93))</f>
        <v/>
      </c>
      <c r="AG93" s="6">
        <f>IF(L93=0,0,IF(N93="",B93*M93/100,N93))</f>
        <v/>
      </c>
      <c r="AH93" s="6">
        <f>IF(O93=0,0,IF(Q93="",B93*P93/100,Q93))</f>
        <v/>
      </c>
      <c r="AI93" s="6">
        <f>IF(R93=0,0,IF(T93="",B93*S93/100,T93))</f>
        <v/>
      </c>
      <c r="AJ93" s="6">
        <f>B93*0.035</f>
        <v/>
      </c>
      <c r="AK93" s="6">
        <f>B93*0.065</f>
        <v/>
      </c>
      <c r="AL93" s="6">
        <f>SUM(B93,AD93,AE93,AF93,AG93,AH93,AI93,U93,V93,AJ93,AK93)</f>
        <v/>
      </c>
      <c r="AM93" s="6">
        <f>B93*0.055</f>
        <v/>
      </c>
      <c r="AN93" s="6">
        <f>B93*0.035</f>
        <v/>
      </c>
      <c r="AO93" s="6">
        <f>B93*0.165</f>
        <v/>
      </c>
      <c r="AP93" s="6">
        <f>MAX(0,AL93-AM93-AO93)</f>
        <v/>
      </c>
      <c r="AQ93" s="6">
        <f>IF(AP93&lt;=490,0,IF(AP93&lt;=600,(AP93-490)*0.05,IF(AP93&lt;=730,5.5+(AP93-600)*0.10,IF(AP93&lt;=3896.67,18.5+(AP93-730)*0.175,IF(AP93&lt;=19896.67,572.67+(AP93-3896.67)*0.25,IF(AP93&lt;=50416.67,4572.67+(AP93-19896.67)*0.30,13728.67+(AP93-50416.67)*0.35))))))</f>
        <v/>
      </c>
      <c r="AR93" s="6">
        <f>SUM(AM93,AQ93,W93,X93,Y93,Z93,AA93,AN93,AO93)</f>
        <v/>
      </c>
      <c r="AS93" s="6">
        <f>AL93-AR93</f>
        <v/>
      </c>
      <c r="AT93" s="6">
        <f>AB93-AC93</f>
        <v/>
      </c>
    </row>
    <row r="94">
      <c r="A94" s="2" t="n"/>
      <c r="B94" s="3" t="n"/>
      <c r="C94" s="4" t="n"/>
      <c r="D94" s="5" t="n"/>
      <c r="E94" s="3" t="n"/>
      <c r="F94" s="4" t="n"/>
      <c r="G94" s="5" t="n"/>
      <c r="H94" s="3" t="n"/>
      <c r="I94" s="4" t="n"/>
      <c r="J94" s="5" t="n"/>
      <c r="K94" s="3" t="n"/>
      <c r="L94" s="4" t="n"/>
      <c r="M94" s="5" t="n"/>
      <c r="N94" s="3" t="n"/>
      <c r="O94" s="4" t="n"/>
      <c r="P94" s="5" t="n"/>
      <c r="Q94" s="3" t="n"/>
      <c r="R94" s="4" t="n"/>
      <c r="S94" s="5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6">
        <f>IF(C94=0,0,IF(E94="",B94*D94/100,E94))</f>
        <v/>
      </c>
      <c r="AE94" s="6">
        <f>IF(F94=0,0,IF(H94="",B94*G94/100,H94))</f>
        <v/>
      </c>
      <c r="AF94" s="6">
        <f>IF(I94=0,0,IF(K94="",B94*J94/100,K94))</f>
        <v/>
      </c>
      <c r="AG94" s="6">
        <f>IF(L94=0,0,IF(N94="",B94*M94/100,N94))</f>
        <v/>
      </c>
      <c r="AH94" s="6">
        <f>IF(O94=0,0,IF(Q94="",B94*P94/100,Q94))</f>
        <v/>
      </c>
      <c r="AI94" s="6">
        <f>IF(R94=0,0,IF(T94="",B94*S94/100,T94))</f>
        <v/>
      </c>
      <c r="AJ94" s="6">
        <f>B94*0.035</f>
        <v/>
      </c>
      <c r="AK94" s="6">
        <f>B94*0.065</f>
        <v/>
      </c>
      <c r="AL94" s="6">
        <f>SUM(B94,AD94,AE94,AF94,AG94,AH94,AI94,U94,V94,AJ94,AK94)</f>
        <v/>
      </c>
      <c r="AM94" s="6">
        <f>B94*0.055</f>
        <v/>
      </c>
      <c r="AN94" s="6">
        <f>B94*0.035</f>
        <v/>
      </c>
      <c r="AO94" s="6">
        <f>B94*0.165</f>
        <v/>
      </c>
      <c r="AP94" s="6">
        <f>MAX(0,AL94-AM94-AO94)</f>
        <v/>
      </c>
      <c r="AQ94" s="6">
        <f>IF(AP94&lt;=490,0,IF(AP94&lt;=600,(AP94-490)*0.05,IF(AP94&lt;=730,5.5+(AP94-600)*0.10,IF(AP94&lt;=3896.67,18.5+(AP94-730)*0.175,IF(AP94&lt;=19896.67,572.67+(AP94-3896.67)*0.25,IF(AP94&lt;=50416.67,4572.67+(AP94-19896.67)*0.30,13728.67+(AP94-50416.67)*0.35))))))</f>
        <v/>
      </c>
      <c r="AR94" s="6">
        <f>SUM(AM94,AQ94,W94,X94,Y94,Z94,AA94,AN94,AO94)</f>
        <v/>
      </c>
      <c r="AS94" s="6">
        <f>AL94-AR94</f>
        <v/>
      </c>
      <c r="AT94" s="6">
        <f>AB94-AC94</f>
        <v/>
      </c>
    </row>
    <row r="95">
      <c r="A95" s="2" t="n"/>
      <c r="B95" s="3" t="n"/>
      <c r="C95" s="4" t="n"/>
      <c r="D95" s="5" t="n"/>
      <c r="E95" s="3" t="n"/>
      <c r="F95" s="4" t="n"/>
      <c r="G95" s="5" t="n"/>
      <c r="H95" s="3" t="n"/>
      <c r="I95" s="4" t="n"/>
      <c r="J95" s="5" t="n"/>
      <c r="K95" s="3" t="n"/>
      <c r="L95" s="4" t="n"/>
      <c r="M95" s="5" t="n"/>
      <c r="N95" s="3" t="n"/>
      <c r="O95" s="4" t="n"/>
      <c r="P95" s="5" t="n"/>
      <c r="Q95" s="3" t="n"/>
      <c r="R95" s="4" t="n"/>
      <c r="S95" s="5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6">
        <f>IF(C95=0,0,IF(E95="",B95*D95/100,E95))</f>
        <v/>
      </c>
      <c r="AE95" s="6">
        <f>IF(F95=0,0,IF(H95="",B95*G95/100,H95))</f>
        <v/>
      </c>
      <c r="AF95" s="6">
        <f>IF(I95=0,0,IF(K95="",B95*J95/100,K95))</f>
        <v/>
      </c>
      <c r="AG95" s="6">
        <f>IF(L95=0,0,IF(N95="",B95*M95/100,N95))</f>
        <v/>
      </c>
      <c r="AH95" s="6">
        <f>IF(O95=0,0,IF(Q95="",B95*P95/100,Q95))</f>
        <v/>
      </c>
      <c r="AI95" s="6">
        <f>IF(R95=0,0,IF(T95="",B95*S95/100,T95))</f>
        <v/>
      </c>
      <c r="AJ95" s="6">
        <f>B95*0.035</f>
        <v/>
      </c>
      <c r="AK95" s="6">
        <f>B95*0.065</f>
        <v/>
      </c>
      <c r="AL95" s="6">
        <f>SUM(B95,AD95,AE95,AF95,AG95,AH95,AI95,U95,V95,AJ95,AK95)</f>
        <v/>
      </c>
      <c r="AM95" s="6">
        <f>B95*0.055</f>
        <v/>
      </c>
      <c r="AN95" s="6">
        <f>B95*0.035</f>
        <v/>
      </c>
      <c r="AO95" s="6">
        <f>B95*0.165</f>
        <v/>
      </c>
      <c r="AP95" s="6">
        <f>MAX(0,AL95-AM95-AO95)</f>
        <v/>
      </c>
      <c r="AQ95" s="6">
        <f>IF(AP95&lt;=490,0,IF(AP95&lt;=600,(AP95-490)*0.05,IF(AP95&lt;=730,5.5+(AP95-600)*0.10,IF(AP95&lt;=3896.67,18.5+(AP95-730)*0.175,IF(AP95&lt;=19896.67,572.67+(AP95-3896.67)*0.25,IF(AP95&lt;=50416.67,4572.67+(AP95-19896.67)*0.30,13728.67+(AP95-50416.67)*0.35))))))</f>
        <v/>
      </c>
      <c r="AR95" s="6">
        <f>SUM(AM95,AQ95,W95,X95,Y95,Z95,AA95,AN95,AO95)</f>
        <v/>
      </c>
      <c r="AS95" s="6">
        <f>AL95-AR95</f>
        <v/>
      </c>
      <c r="AT95" s="6">
        <f>AB95-AC95</f>
        <v/>
      </c>
    </row>
    <row r="96">
      <c r="A96" s="2" t="n"/>
      <c r="B96" s="3" t="n"/>
      <c r="C96" s="4" t="n"/>
      <c r="D96" s="5" t="n"/>
      <c r="E96" s="3" t="n"/>
      <c r="F96" s="4" t="n"/>
      <c r="G96" s="5" t="n"/>
      <c r="H96" s="3" t="n"/>
      <c r="I96" s="4" t="n"/>
      <c r="J96" s="5" t="n"/>
      <c r="K96" s="3" t="n"/>
      <c r="L96" s="4" t="n"/>
      <c r="M96" s="5" t="n"/>
      <c r="N96" s="3" t="n"/>
      <c r="O96" s="4" t="n"/>
      <c r="P96" s="5" t="n"/>
      <c r="Q96" s="3" t="n"/>
      <c r="R96" s="4" t="n"/>
      <c r="S96" s="5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6">
        <f>IF(C96=0,0,IF(E96="",B96*D96/100,E96))</f>
        <v/>
      </c>
      <c r="AE96" s="6">
        <f>IF(F96=0,0,IF(H96="",B96*G96/100,H96))</f>
        <v/>
      </c>
      <c r="AF96" s="6">
        <f>IF(I96=0,0,IF(K96="",B96*J96/100,K96))</f>
        <v/>
      </c>
      <c r="AG96" s="6">
        <f>IF(L96=0,0,IF(N96="",B96*M96/100,N96))</f>
        <v/>
      </c>
      <c r="AH96" s="6">
        <f>IF(O96=0,0,IF(Q96="",B96*P96/100,Q96))</f>
        <v/>
      </c>
      <c r="AI96" s="6">
        <f>IF(R96=0,0,IF(T96="",B96*S96/100,T96))</f>
        <v/>
      </c>
      <c r="AJ96" s="6">
        <f>B96*0.035</f>
        <v/>
      </c>
      <c r="AK96" s="6">
        <f>B96*0.065</f>
        <v/>
      </c>
      <c r="AL96" s="6">
        <f>SUM(B96,AD96,AE96,AF96,AG96,AH96,AI96,U96,V96,AJ96,AK96)</f>
        <v/>
      </c>
      <c r="AM96" s="6">
        <f>B96*0.055</f>
        <v/>
      </c>
      <c r="AN96" s="6">
        <f>B96*0.035</f>
        <v/>
      </c>
      <c r="AO96" s="6">
        <f>B96*0.165</f>
        <v/>
      </c>
      <c r="AP96" s="6">
        <f>MAX(0,AL96-AM96-AO96)</f>
        <v/>
      </c>
      <c r="AQ96" s="6">
        <f>IF(AP96&lt;=490,0,IF(AP96&lt;=600,(AP96-490)*0.05,IF(AP96&lt;=730,5.5+(AP96-600)*0.10,IF(AP96&lt;=3896.67,18.5+(AP96-730)*0.175,IF(AP96&lt;=19896.67,572.67+(AP96-3896.67)*0.25,IF(AP96&lt;=50416.67,4572.67+(AP96-19896.67)*0.30,13728.67+(AP96-50416.67)*0.35))))))</f>
        <v/>
      </c>
      <c r="AR96" s="6">
        <f>SUM(AM96,AQ96,W96,X96,Y96,Z96,AA96,AN96,AO96)</f>
        <v/>
      </c>
      <c r="AS96" s="6">
        <f>AL96-AR96</f>
        <v/>
      </c>
      <c r="AT96" s="6">
        <f>AB96-AC96</f>
        <v/>
      </c>
    </row>
    <row r="97">
      <c r="A97" s="2" t="n"/>
      <c r="B97" s="3" t="n"/>
      <c r="C97" s="4" t="n"/>
      <c r="D97" s="5" t="n"/>
      <c r="E97" s="3" t="n"/>
      <c r="F97" s="4" t="n"/>
      <c r="G97" s="5" t="n"/>
      <c r="H97" s="3" t="n"/>
      <c r="I97" s="4" t="n"/>
      <c r="J97" s="5" t="n"/>
      <c r="K97" s="3" t="n"/>
      <c r="L97" s="4" t="n"/>
      <c r="M97" s="5" t="n"/>
      <c r="N97" s="3" t="n"/>
      <c r="O97" s="4" t="n"/>
      <c r="P97" s="5" t="n"/>
      <c r="Q97" s="3" t="n"/>
      <c r="R97" s="4" t="n"/>
      <c r="S97" s="5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6">
        <f>IF(C97=0,0,IF(E97="",B97*D97/100,E97))</f>
        <v/>
      </c>
      <c r="AE97" s="6">
        <f>IF(F97=0,0,IF(H97="",B97*G97/100,H97))</f>
        <v/>
      </c>
      <c r="AF97" s="6">
        <f>IF(I97=0,0,IF(K97="",B97*J97/100,K97))</f>
        <v/>
      </c>
      <c r="AG97" s="6">
        <f>IF(L97=0,0,IF(N97="",B97*M97/100,N97))</f>
        <v/>
      </c>
      <c r="AH97" s="6">
        <f>IF(O97=0,0,IF(Q97="",B97*P97/100,Q97))</f>
        <v/>
      </c>
      <c r="AI97" s="6">
        <f>IF(R97=0,0,IF(T97="",B97*S97/100,T97))</f>
        <v/>
      </c>
      <c r="AJ97" s="6">
        <f>B97*0.035</f>
        <v/>
      </c>
      <c r="AK97" s="6">
        <f>B97*0.065</f>
        <v/>
      </c>
      <c r="AL97" s="6">
        <f>SUM(B97,AD97,AE97,AF97,AG97,AH97,AI97,U97,V97,AJ97,AK97)</f>
        <v/>
      </c>
      <c r="AM97" s="6">
        <f>B97*0.055</f>
        <v/>
      </c>
      <c r="AN97" s="6">
        <f>B97*0.035</f>
        <v/>
      </c>
      <c r="AO97" s="6">
        <f>B97*0.165</f>
        <v/>
      </c>
      <c r="AP97" s="6">
        <f>MAX(0,AL97-AM97-AO97)</f>
        <v/>
      </c>
      <c r="AQ97" s="6">
        <f>IF(AP97&lt;=490,0,IF(AP97&lt;=600,(AP97-490)*0.05,IF(AP97&lt;=730,5.5+(AP97-600)*0.10,IF(AP97&lt;=3896.67,18.5+(AP97-730)*0.175,IF(AP97&lt;=19896.67,572.67+(AP97-3896.67)*0.25,IF(AP97&lt;=50416.67,4572.67+(AP97-19896.67)*0.30,13728.67+(AP97-50416.67)*0.35))))))</f>
        <v/>
      </c>
      <c r="AR97" s="6">
        <f>SUM(AM97,AQ97,W97,X97,Y97,Z97,AA97,AN97,AO97)</f>
        <v/>
      </c>
      <c r="AS97" s="6">
        <f>AL97-AR97</f>
        <v/>
      </c>
      <c r="AT97" s="6">
        <f>AB97-AC97</f>
        <v/>
      </c>
    </row>
    <row r="98">
      <c r="A98" s="2" t="n"/>
      <c r="B98" s="3" t="n"/>
      <c r="C98" s="4" t="n"/>
      <c r="D98" s="5" t="n"/>
      <c r="E98" s="3" t="n"/>
      <c r="F98" s="4" t="n"/>
      <c r="G98" s="5" t="n"/>
      <c r="H98" s="3" t="n"/>
      <c r="I98" s="4" t="n"/>
      <c r="J98" s="5" t="n"/>
      <c r="K98" s="3" t="n"/>
      <c r="L98" s="4" t="n"/>
      <c r="M98" s="5" t="n"/>
      <c r="N98" s="3" t="n"/>
      <c r="O98" s="4" t="n"/>
      <c r="P98" s="5" t="n"/>
      <c r="Q98" s="3" t="n"/>
      <c r="R98" s="4" t="n"/>
      <c r="S98" s="5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6">
        <f>IF(C98=0,0,IF(E98="",B98*D98/100,E98))</f>
        <v/>
      </c>
      <c r="AE98" s="6">
        <f>IF(F98=0,0,IF(H98="",B98*G98/100,H98))</f>
        <v/>
      </c>
      <c r="AF98" s="6">
        <f>IF(I98=0,0,IF(K98="",B98*J98/100,K98))</f>
        <v/>
      </c>
      <c r="AG98" s="6">
        <f>IF(L98=0,0,IF(N98="",B98*M98/100,N98))</f>
        <v/>
      </c>
      <c r="AH98" s="6">
        <f>IF(O98=0,0,IF(Q98="",B98*P98/100,Q98))</f>
        <v/>
      </c>
      <c r="AI98" s="6">
        <f>IF(R98=0,0,IF(T98="",B98*S98/100,T98))</f>
        <v/>
      </c>
      <c r="AJ98" s="6">
        <f>B98*0.035</f>
        <v/>
      </c>
      <c r="AK98" s="6">
        <f>B98*0.065</f>
        <v/>
      </c>
      <c r="AL98" s="6">
        <f>SUM(B98,AD98,AE98,AF98,AG98,AH98,AI98,U98,V98,AJ98,AK98)</f>
        <v/>
      </c>
      <c r="AM98" s="6">
        <f>B98*0.055</f>
        <v/>
      </c>
      <c r="AN98" s="6">
        <f>B98*0.035</f>
        <v/>
      </c>
      <c r="AO98" s="6">
        <f>B98*0.165</f>
        <v/>
      </c>
      <c r="AP98" s="6">
        <f>MAX(0,AL98-AM98-AO98)</f>
        <v/>
      </c>
      <c r="AQ98" s="6">
        <f>IF(AP98&lt;=490,0,IF(AP98&lt;=600,(AP98-490)*0.05,IF(AP98&lt;=730,5.5+(AP98-600)*0.10,IF(AP98&lt;=3896.67,18.5+(AP98-730)*0.175,IF(AP98&lt;=19896.67,572.67+(AP98-3896.67)*0.25,IF(AP98&lt;=50416.67,4572.67+(AP98-19896.67)*0.30,13728.67+(AP98-50416.67)*0.35))))))</f>
        <v/>
      </c>
      <c r="AR98" s="6">
        <f>SUM(AM98,AQ98,W98,X98,Y98,Z98,AA98,AN98,AO98)</f>
        <v/>
      </c>
      <c r="AS98" s="6">
        <f>AL98-AR98</f>
        <v/>
      </c>
      <c r="AT98" s="6">
        <f>AB98-AC98</f>
        <v/>
      </c>
    </row>
    <row r="99">
      <c r="A99" s="2" t="n"/>
      <c r="B99" s="3" t="n"/>
      <c r="C99" s="4" t="n"/>
      <c r="D99" s="5" t="n"/>
      <c r="E99" s="3" t="n"/>
      <c r="F99" s="4" t="n"/>
      <c r="G99" s="5" t="n"/>
      <c r="H99" s="3" t="n"/>
      <c r="I99" s="4" t="n"/>
      <c r="J99" s="5" t="n"/>
      <c r="K99" s="3" t="n"/>
      <c r="L99" s="4" t="n"/>
      <c r="M99" s="5" t="n"/>
      <c r="N99" s="3" t="n"/>
      <c r="O99" s="4" t="n"/>
      <c r="P99" s="5" t="n"/>
      <c r="Q99" s="3" t="n"/>
      <c r="R99" s="4" t="n"/>
      <c r="S99" s="5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6">
        <f>IF(C99=0,0,IF(E99="",B99*D99/100,E99))</f>
        <v/>
      </c>
      <c r="AE99" s="6">
        <f>IF(F99=0,0,IF(H99="",B99*G99/100,H99))</f>
        <v/>
      </c>
      <c r="AF99" s="6">
        <f>IF(I99=0,0,IF(K99="",B99*J99/100,K99))</f>
        <v/>
      </c>
      <c r="AG99" s="6">
        <f>IF(L99=0,0,IF(N99="",B99*M99/100,N99))</f>
        <v/>
      </c>
      <c r="AH99" s="6">
        <f>IF(O99=0,0,IF(Q99="",B99*P99/100,Q99))</f>
        <v/>
      </c>
      <c r="AI99" s="6">
        <f>IF(R99=0,0,IF(T99="",B99*S99/100,T99))</f>
        <v/>
      </c>
      <c r="AJ99" s="6">
        <f>B99*0.035</f>
        <v/>
      </c>
      <c r="AK99" s="6">
        <f>B99*0.065</f>
        <v/>
      </c>
      <c r="AL99" s="6">
        <f>SUM(B99,AD99,AE99,AF99,AG99,AH99,AI99,U99,V99,AJ99,AK99)</f>
        <v/>
      </c>
      <c r="AM99" s="6">
        <f>B99*0.055</f>
        <v/>
      </c>
      <c r="AN99" s="6">
        <f>B99*0.035</f>
        <v/>
      </c>
      <c r="AO99" s="6">
        <f>B99*0.165</f>
        <v/>
      </c>
      <c r="AP99" s="6">
        <f>MAX(0,AL99-AM99-AO99)</f>
        <v/>
      </c>
      <c r="AQ99" s="6">
        <f>IF(AP99&lt;=490,0,IF(AP99&lt;=600,(AP99-490)*0.05,IF(AP99&lt;=730,5.5+(AP99-600)*0.10,IF(AP99&lt;=3896.67,18.5+(AP99-730)*0.175,IF(AP99&lt;=19896.67,572.67+(AP99-3896.67)*0.25,IF(AP99&lt;=50416.67,4572.67+(AP99-19896.67)*0.30,13728.67+(AP99-50416.67)*0.35))))))</f>
        <v/>
      </c>
      <c r="AR99" s="6">
        <f>SUM(AM99,AQ99,W99,X99,Y99,Z99,AA99,AN99,AO99)</f>
        <v/>
      </c>
      <c r="AS99" s="6">
        <f>AL99-AR99</f>
        <v/>
      </c>
      <c r="AT99" s="6">
        <f>AB99-AC99</f>
        <v/>
      </c>
    </row>
    <row r="100">
      <c r="A100" s="2" t="n"/>
      <c r="B100" s="3" t="n"/>
      <c r="C100" s="4" t="n"/>
      <c r="D100" s="5" t="n"/>
      <c r="E100" s="3" t="n"/>
      <c r="F100" s="4" t="n"/>
      <c r="G100" s="5" t="n"/>
      <c r="H100" s="3" t="n"/>
      <c r="I100" s="4" t="n"/>
      <c r="J100" s="5" t="n"/>
      <c r="K100" s="3" t="n"/>
      <c r="L100" s="4" t="n"/>
      <c r="M100" s="5" t="n"/>
      <c r="N100" s="3" t="n"/>
      <c r="O100" s="4" t="n"/>
      <c r="P100" s="5" t="n"/>
      <c r="Q100" s="3" t="n"/>
      <c r="R100" s="4" t="n"/>
      <c r="S100" s="5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6">
        <f>IF(C100=0,0,IF(E100="",B100*D100/100,E100))</f>
        <v/>
      </c>
      <c r="AE100" s="6">
        <f>IF(F100=0,0,IF(H100="",B100*G100/100,H100))</f>
        <v/>
      </c>
      <c r="AF100" s="6">
        <f>IF(I100=0,0,IF(K100="",B100*J100/100,K100))</f>
        <v/>
      </c>
      <c r="AG100" s="6">
        <f>IF(L100=0,0,IF(N100="",B100*M100/100,N100))</f>
        <v/>
      </c>
      <c r="AH100" s="6">
        <f>IF(O100=0,0,IF(Q100="",B100*P100/100,Q100))</f>
        <v/>
      </c>
      <c r="AI100" s="6">
        <f>IF(R100=0,0,IF(T100="",B100*S100/100,T100))</f>
        <v/>
      </c>
      <c r="AJ100" s="6">
        <f>B100*0.035</f>
        <v/>
      </c>
      <c r="AK100" s="6">
        <f>B100*0.065</f>
        <v/>
      </c>
      <c r="AL100" s="6">
        <f>SUM(B100,AD100,AE100,AF100,AG100,AH100,AI100,U100,V100,AJ100,AK100)</f>
        <v/>
      </c>
      <c r="AM100" s="6">
        <f>B100*0.055</f>
        <v/>
      </c>
      <c r="AN100" s="6">
        <f>B100*0.035</f>
        <v/>
      </c>
      <c r="AO100" s="6">
        <f>B100*0.165</f>
        <v/>
      </c>
      <c r="AP100" s="6">
        <f>MAX(0,AL100-AM100-AO100)</f>
        <v/>
      </c>
      <c r="AQ100" s="6">
        <f>IF(AP100&lt;=490,0,IF(AP100&lt;=600,(AP100-490)*0.05,IF(AP100&lt;=730,5.5+(AP100-600)*0.10,IF(AP100&lt;=3896.67,18.5+(AP100-730)*0.175,IF(AP100&lt;=19896.67,572.67+(AP100-3896.67)*0.25,IF(AP100&lt;=50416.67,4572.67+(AP100-19896.67)*0.30,13728.67+(AP100-50416.67)*0.35))))))</f>
        <v/>
      </c>
      <c r="AR100" s="6">
        <f>SUM(AM100,AQ100,W100,X100,Y100,Z100,AA100,AN100,AO100)</f>
        <v/>
      </c>
      <c r="AS100" s="6">
        <f>AL100-AR100</f>
        <v/>
      </c>
      <c r="AT100" s="6">
        <f>AB100-AC100</f>
        <v/>
      </c>
    </row>
    <row r="101">
      <c r="A101" s="2" t="n"/>
      <c r="B101" s="3" t="n"/>
      <c r="C101" s="4" t="n"/>
      <c r="D101" s="5" t="n"/>
      <c r="E101" s="3" t="n"/>
      <c r="F101" s="4" t="n"/>
      <c r="G101" s="5" t="n"/>
      <c r="H101" s="3" t="n"/>
      <c r="I101" s="4" t="n"/>
      <c r="J101" s="5" t="n"/>
      <c r="K101" s="3" t="n"/>
      <c r="L101" s="4" t="n"/>
      <c r="M101" s="5" t="n"/>
      <c r="N101" s="3" t="n"/>
      <c r="O101" s="4" t="n"/>
      <c r="P101" s="5" t="n"/>
      <c r="Q101" s="3" t="n"/>
      <c r="R101" s="4" t="n"/>
      <c r="S101" s="5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6">
        <f>IF(C101=0,0,IF(E101="",B101*D101/100,E101))</f>
        <v/>
      </c>
      <c r="AE101" s="6">
        <f>IF(F101=0,0,IF(H101="",B101*G101/100,H101))</f>
        <v/>
      </c>
      <c r="AF101" s="6">
        <f>IF(I101=0,0,IF(K101="",B101*J101/100,K101))</f>
        <v/>
      </c>
      <c r="AG101" s="6">
        <f>IF(L101=0,0,IF(N101="",B101*M101/100,N101))</f>
        <v/>
      </c>
      <c r="AH101" s="6">
        <f>IF(O101=0,0,IF(Q101="",B101*P101/100,Q101))</f>
        <v/>
      </c>
      <c r="AI101" s="6">
        <f>IF(R101=0,0,IF(T101="",B101*S101/100,T101))</f>
        <v/>
      </c>
      <c r="AJ101" s="6">
        <f>B101*0.035</f>
        <v/>
      </c>
      <c r="AK101" s="6">
        <f>B101*0.065</f>
        <v/>
      </c>
      <c r="AL101" s="6">
        <f>SUM(B101,AD101,AE101,AF101,AG101,AH101,AI101,U101,V101,AJ101,AK101)</f>
        <v/>
      </c>
      <c r="AM101" s="6">
        <f>B101*0.055</f>
        <v/>
      </c>
      <c r="AN101" s="6">
        <f>B101*0.035</f>
        <v/>
      </c>
      <c r="AO101" s="6">
        <f>B101*0.165</f>
        <v/>
      </c>
      <c r="AP101" s="6">
        <f>MAX(0,AL101-AM101-AO101)</f>
        <v/>
      </c>
      <c r="AQ101" s="6">
        <f>IF(AP101&lt;=490,0,IF(AP101&lt;=600,(AP101-490)*0.05,IF(AP101&lt;=730,5.5+(AP101-600)*0.10,IF(AP101&lt;=3896.67,18.5+(AP101-730)*0.175,IF(AP101&lt;=19896.67,572.67+(AP101-3896.67)*0.25,IF(AP101&lt;=50416.67,4572.67+(AP101-19896.67)*0.30,13728.67+(AP101-50416.67)*0.35))))))</f>
        <v/>
      </c>
      <c r="AR101" s="6">
        <f>SUM(AM101,AQ101,W101,X101,Y101,Z101,AA101,AN101,AO101)</f>
        <v/>
      </c>
      <c r="AS101" s="6">
        <f>AL101-AR101</f>
        <v/>
      </c>
      <c r="AT101" s="6">
        <f>AB101-AC101</f>
        <v/>
      </c>
    </row>
    <row r="102">
      <c r="A102" s="2" t="n"/>
      <c r="B102" s="3" t="n"/>
      <c r="C102" s="4" t="n"/>
      <c r="D102" s="5" t="n"/>
      <c r="E102" s="3" t="n"/>
      <c r="F102" s="4" t="n"/>
      <c r="G102" s="5" t="n"/>
      <c r="H102" s="3" t="n"/>
      <c r="I102" s="4" t="n"/>
      <c r="J102" s="5" t="n"/>
      <c r="K102" s="3" t="n"/>
      <c r="L102" s="4" t="n"/>
      <c r="M102" s="5" t="n"/>
      <c r="N102" s="3" t="n"/>
      <c r="O102" s="4" t="n"/>
      <c r="P102" s="5" t="n"/>
      <c r="Q102" s="3" t="n"/>
      <c r="R102" s="4" t="n"/>
      <c r="S102" s="5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6">
        <f>IF(C102=0,0,IF(E102="",B102*D102/100,E102))</f>
        <v/>
      </c>
      <c r="AE102" s="6">
        <f>IF(F102=0,0,IF(H102="",B102*G102/100,H102))</f>
        <v/>
      </c>
      <c r="AF102" s="6">
        <f>IF(I102=0,0,IF(K102="",B102*J102/100,K102))</f>
        <v/>
      </c>
      <c r="AG102" s="6">
        <f>IF(L102=0,0,IF(N102="",B102*M102/100,N102))</f>
        <v/>
      </c>
      <c r="AH102" s="6">
        <f>IF(O102=0,0,IF(Q102="",B102*P102/100,Q102))</f>
        <v/>
      </c>
      <c r="AI102" s="6">
        <f>IF(R102=0,0,IF(T102="",B102*S102/100,T102))</f>
        <v/>
      </c>
      <c r="AJ102" s="6">
        <f>B102*0.035</f>
        <v/>
      </c>
      <c r="AK102" s="6">
        <f>B102*0.065</f>
        <v/>
      </c>
      <c r="AL102" s="6">
        <f>SUM(B102,AD102,AE102,AF102,AG102,AH102,AI102,U102,V102,AJ102,AK102)</f>
        <v/>
      </c>
      <c r="AM102" s="6">
        <f>B102*0.055</f>
        <v/>
      </c>
      <c r="AN102" s="6">
        <f>B102*0.035</f>
        <v/>
      </c>
      <c r="AO102" s="6">
        <f>B102*0.165</f>
        <v/>
      </c>
      <c r="AP102" s="6">
        <f>MAX(0,AL102-AM102-AO102)</f>
        <v/>
      </c>
      <c r="AQ102" s="6">
        <f>IF(AP102&lt;=490,0,IF(AP102&lt;=600,(AP102-490)*0.05,IF(AP102&lt;=730,5.5+(AP102-600)*0.10,IF(AP102&lt;=3896.67,18.5+(AP102-730)*0.175,IF(AP102&lt;=19896.67,572.67+(AP102-3896.67)*0.25,IF(AP102&lt;=50416.67,4572.67+(AP102-19896.67)*0.30,13728.67+(AP102-50416.67)*0.35))))))</f>
        <v/>
      </c>
      <c r="AR102" s="6">
        <f>SUM(AM102,AQ102,W102,X102,Y102,Z102,AA102,AN102,AO102)</f>
        <v/>
      </c>
      <c r="AS102" s="6">
        <f>AL102-AR102</f>
        <v/>
      </c>
      <c r="AT102" s="6">
        <f>AB102-AC102</f>
        <v/>
      </c>
    </row>
    <row r="103">
      <c r="A103" s="2" t="n"/>
      <c r="B103" s="3" t="n"/>
      <c r="C103" s="4" t="n"/>
      <c r="D103" s="5" t="n"/>
      <c r="E103" s="3" t="n"/>
      <c r="F103" s="4" t="n"/>
      <c r="G103" s="5" t="n"/>
      <c r="H103" s="3" t="n"/>
      <c r="I103" s="4" t="n"/>
      <c r="J103" s="5" t="n"/>
      <c r="K103" s="3" t="n"/>
      <c r="L103" s="4" t="n"/>
      <c r="M103" s="5" t="n"/>
      <c r="N103" s="3" t="n"/>
      <c r="O103" s="4" t="n"/>
      <c r="P103" s="5" t="n"/>
      <c r="Q103" s="3" t="n"/>
      <c r="R103" s="4" t="n"/>
      <c r="S103" s="5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6">
        <f>IF(C103=0,0,IF(E103="",B103*D103/100,E103))</f>
        <v/>
      </c>
      <c r="AE103" s="6">
        <f>IF(F103=0,0,IF(H103="",B103*G103/100,H103))</f>
        <v/>
      </c>
      <c r="AF103" s="6">
        <f>IF(I103=0,0,IF(K103="",B103*J103/100,K103))</f>
        <v/>
      </c>
      <c r="AG103" s="6">
        <f>IF(L103=0,0,IF(N103="",B103*M103/100,N103))</f>
        <v/>
      </c>
      <c r="AH103" s="6">
        <f>IF(O103=0,0,IF(Q103="",B103*P103/100,Q103))</f>
        <v/>
      </c>
      <c r="AI103" s="6">
        <f>IF(R103=0,0,IF(T103="",B103*S103/100,T103))</f>
        <v/>
      </c>
      <c r="AJ103" s="6">
        <f>B103*0.035</f>
        <v/>
      </c>
      <c r="AK103" s="6">
        <f>B103*0.065</f>
        <v/>
      </c>
      <c r="AL103" s="6">
        <f>SUM(B103,AD103,AE103,AF103,AG103,AH103,AI103,U103,V103,AJ103,AK103)</f>
        <v/>
      </c>
      <c r="AM103" s="6">
        <f>B103*0.055</f>
        <v/>
      </c>
      <c r="AN103" s="6">
        <f>B103*0.035</f>
        <v/>
      </c>
      <c r="AO103" s="6">
        <f>B103*0.165</f>
        <v/>
      </c>
      <c r="AP103" s="6">
        <f>MAX(0,AL103-AM103-AO103)</f>
        <v/>
      </c>
      <c r="AQ103" s="6">
        <f>IF(AP103&lt;=490,0,IF(AP103&lt;=600,(AP103-490)*0.05,IF(AP103&lt;=730,5.5+(AP103-600)*0.10,IF(AP103&lt;=3896.67,18.5+(AP103-730)*0.175,IF(AP103&lt;=19896.67,572.67+(AP103-3896.67)*0.25,IF(AP103&lt;=50416.67,4572.67+(AP103-19896.67)*0.30,13728.67+(AP103-50416.67)*0.35))))))</f>
        <v/>
      </c>
      <c r="AR103" s="6">
        <f>SUM(AM103,AQ103,W103,X103,Y103,Z103,AA103,AN103,AO103)</f>
        <v/>
      </c>
      <c r="AS103" s="6">
        <f>AL103-AR103</f>
        <v/>
      </c>
      <c r="AT103" s="6">
        <f>AB103-AC103</f>
        <v/>
      </c>
    </row>
    <row r="104">
      <c r="A104" s="2" t="n"/>
      <c r="B104" s="3" t="n"/>
      <c r="C104" s="4" t="n"/>
      <c r="D104" s="5" t="n"/>
      <c r="E104" s="3" t="n"/>
      <c r="F104" s="4" t="n"/>
      <c r="G104" s="5" t="n"/>
      <c r="H104" s="3" t="n"/>
      <c r="I104" s="4" t="n"/>
      <c r="J104" s="5" t="n"/>
      <c r="K104" s="3" t="n"/>
      <c r="L104" s="4" t="n"/>
      <c r="M104" s="5" t="n"/>
      <c r="N104" s="3" t="n"/>
      <c r="O104" s="4" t="n"/>
      <c r="P104" s="5" t="n"/>
      <c r="Q104" s="3" t="n"/>
      <c r="R104" s="4" t="n"/>
      <c r="S104" s="5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6">
        <f>IF(C104=0,0,IF(E104="",B104*D104/100,E104))</f>
        <v/>
      </c>
      <c r="AE104" s="6">
        <f>IF(F104=0,0,IF(H104="",B104*G104/100,H104))</f>
        <v/>
      </c>
      <c r="AF104" s="6">
        <f>IF(I104=0,0,IF(K104="",B104*J104/100,K104))</f>
        <v/>
      </c>
      <c r="AG104" s="6">
        <f>IF(L104=0,0,IF(N104="",B104*M104/100,N104))</f>
        <v/>
      </c>
      <c r="AH104" s="6">
        <f>IF(O104=0,0,IF(Q104="",B104*P104/100,Q104))</f>
        <v/>
      </c>
      <c r="AI104" s="6">
        <f>IF(R104=0,0,IF(T104="",B104*S104/100,T104))</f>
        <v/>
      </c>
      <c r="AJ104" s="6">
        <f>B104*0.035</f>
        <v/>
      </c>
      <c r="AK104" s="6">
        <f>B104*0.065</f>
        <v/>
      </c>
      <c r="AL104" s="6">
        <f>SUM(B104,AD104,AE104,AF104,AG104,AH104,AI104,U104,V104,AJ104,AK104)</f>
        <v/>
      </c>
      <c r="AM104" s="6">
        <f>B104*0.055</f>
        <v/>
      </c>
      <c r="AN104" s="6">
        <f>B104*0.035</f>
        <v/>
      </c>
      <c r="AO104" s="6">
        <f>B104*0.165</f>
        <v/>
      </c>
      <c r="AP104" s="6">
        <f>MAX(0,AL104-AM104-AO104)</f>
        <v/>
      </c>
      <c r="AQ104" s="6">
        <f>IF(AP104&lt;=490,0,IF(AP104&lt;=600,(AP104-490)*0.05,IF(AP104&lt;=730,5.5+(AP104-600)*0.10,IF(AP104&lt;=3896.67,18.5+(AP104-730)*0.175,IF(AP104&lt;=19896.67,572.67+(AP104-3896.67)*0.25,IF(AP104&lt;=50416.67,4572.67+(AP104-19896.67)*0.30,13728.67+(AP104-50416.67)*0.35))))))</f>
        <v/>
      </c>
      <c r="AR104" s="6">
        <f>SUM(AM104,AQ104,W104,X104,Y104,Z104,AA104,AN104,AO104)</f>
        <v/>
      </c>
      <c r="AS104" s="6">
        <f>AL104-AR104</f>
        <v/>
      </c>
      <c r="AT104" s="6">
        <f>AB104-AC104</f>
        <v/>
      </c>
    </row>
    <row r="105">
      <c r="A105" s="2" t="n"/>
      <c r="B105" s="3" t="n"/>
      <c r="C105" s="4" t="n"/>
      <c r="D105" s="5" t="n"/>
      <c r="E105" s="3" t="n"/>
      <c r="F105" s="4" t="n"/>
      <c r="G105" s="5" t="n"/>
      <c r="H105" s="3" t="n"/>
      <c r="I105" s="4" t="n"/>
      <c r="J105" s="5" t="n"/>
      <c r="K105" s="3" t="n"/>
      <c r="L105" s="4" t="n"/>
      <c r="M105" s="5" t="n"/>
      <c r="N105" s="3" t="n"/>
      <c r="O105" s="4" t="n"/>
      <c r="P105" s="5" t="n"/>
      <c r="Q105" s="3" t="n"/>
      <c r="R105" s="4" t="n"/>
      <c r="S105" s="5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6">
        <f>IF(C105=0,0,IF(E105="",B105*D105/100,E105))</f>
        <v/>
      </c>
      <c r="AE105" s="6">
        <f>IF(F105=0,0,IF(H105="",B105*G105/100,H105))</f>
        <v/>
      </c>
      <c r="AF105" s="6">
        <f>IF(I105=0,0,IF(K105="",B105*J105/100,K105))</f>
        <v/>
      </c>
      <c r="AG105" s="6">
        <f>IF(L105=0,0,IF(N105="",B105*M105/100,N105))</f>
        <v/>
      </c>
      <c r="AH105" s="6">
        <f>IF(O105=0,0,IF(Q105="",B105*P105/100,Q105))</f>
        <v/>
      </c>
      <c r="AI105" s="6">
        <f>IF(R105=0,0,IF(T105="",B105*S105/100,T105))</f>
        <v/>
      </c>
      <c r="AJ105" s="6">
        <f>B105*0.035</f>
        <v/>
      </c>
      <c r="AK105" s="6">
        <f>B105*0.065</f>
        <v/>
      </c>
      <c r="AL105" s="6">
        <f>SUM(B105,AD105,AE105,AF105,AG105,AH105,AI105,U105,V105,AJ105,AK105)</f>
        <v/>
      </c>
      <c r="AM105" s="6">
        <f>B105*0.055</f>
        <v/>
      </c>
      <c r="AN105" s="6">
        <f>B105*0.035</f>
        <v/>
      </c>
      <c r="AO105" s="6">
        <f>B105*0.165</f>
        <v/>
      </c>
      <c r="AP105" s="6">
        <f>MAX(0,AL105-AM105-AO105)</f>
        <v/>
      </c>
      <c r="AQ105" s="6">
        <f>IF(AP105&lt;=490,0,IF(AP105&lt;=600,(AP105-490)*0.05,IF(AP105&lt;=730,5.5+(AP105-600)*0.10,IF(AP105&lt;=3896.67,18.5+(AP105-730)*0.175,IF(AP105&lt;=19896.67,572.67+(AP105-3896.67)*0.25,IF(AP105&lt;=50416.67,4572.67+(AP105-19896.67)*0.30,13728.67+(AP105-50416.67)*0.35))))))</f>
        <v/>
      </c>
      <c r="AR105" s="6">
        <f>SUM(AM105,AQ105,W105,X105,Y105,Z105,AA105,AN105,AO105)</f>
        <v/>
      </c>
      <c r="AS105" s="6">
        <f>AL105-AR105</f>
        <v/>
      </c>
      <c r="AT105" s="6">
        <f>AB105-AC105</f>
        <v/>
      </c>
    </row>
    <row r="106">
      <c r="A106" s="2" t="n"/>
      <c r="B106" s="3" t="n"/>
      <c r="C106" s="4" t="n"/>
      <c r="D106" s="5" t="n"/>
      <c r="E106" s="3" t="n"/>
      <c r="F106" s="4" t="n"/>
      <c r="G106" s="5" t="n"/>
      <c r="H106" s="3" t="n"/>
      <c r="I106" s="4" t="n"/>
      <c r="J106" s="5" t="n"/>
      <c r="K106" s="3" t="n"/>
      <c r="L106" s="4" t="n"/>
      <c r="M106" s="5" t="n"/>
      <c r="N106" s="3" t="n"/>
      <c r="O106" s="4" t="n"/>
      <c r="P106" s="5" t="n"/>
      <c r="Q106" s="3" t="n"/>
      <c r="R106" s="4" t="n"/>
      <c r="S106" s="5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6">
        <f>IF(C106=0,0,IF(E106="",B106*D106/100,E106))</f>
        <v/>
      </c>
      <c r="AE106" s="6">
        <f>IF(F106=0,0,IF(H106="",B106*G106/100,H106))</f>
        <v/>
      </c>
      <c r="AF106" s="6">
        <f>IF(I106=0,0,IF(K106="",B106*J106/100,K106))</f>
        <v/>
      </c>
      <c r="AG106" s="6">
        <f>IF(L106=0,0,IF(N106="",B106*M106/100,N106))</f>
        <v/>
      </c>
      <c r="AH106" s="6">
        <f>IF(O106=0,0,IF(Q106="",B106*P106/100,Q106))</f>
        <v/>
      </c>
      <c r="AI106" s="6">
        <f>IF(R106=0,0,IF(T106="",B106*S106/100,T106))</f>
        <v/>
      </c>
      <c r="AJ106" s="6">
        <f>B106*0.035</f>
        <v/>
      </c>
      <c r="AK106" s="6">
        <f>B106*0.065</f>
        <v/>
      </c>
      <c r="AL106" s="6">
        <f>SUM(B106,AD106,AE106,AF106,AG106,AH106,AI106,U106,V106,AJ106,AK106)</f>
        <v/>
      </c>
      <c r="AM106" s="6">
        <f>B106*0.055</f>
        <v/>
      </c>
      <c r="AN106" s="6">
        <f>B106*0.035</f>
        <v/>
      </c>
      <c r="AO106" s="6">
        <f>B106*0.165</f>
        <v/>
      </c>
      <c r="AP106" s="6">
        <f>MAX(0,AL106-AM106-AO106)</f>
        <v/>
      </c>
      <c r="AQ106" s="6">
        <f>IF(AP106&lt;=490,0,IF(AP106&lt;=600,(AP106-490)*0.05,IF(AP106&lt;=730,5.5+(AP106-600)*0.10,IF(AP106&lt;=3896.67,18.5+(AP106-730)*0.175,IF(AP106&lt;=19896.67,572.67+(AP106-3896.67)*0.25,IF(AP106&lt;=50416.67,4572.67+(AP106-19896.67)*0.30,13728.67+(AP106-50416.67)*0.35))))))</f>
        <v/>
      </c>
      <c r="AR106" s="6">
        <f>SUM(AM106,AQ106,W106,X106,Y106,Z106,AA106,AN106,AO106)</f>
        <v/>
      </c>
      <c r="AS106" s="6">
        <f>AL106-AR106</f>
        <v/>
      </c>
      <c r="AT106" s="6">
        <f>AB106-AC106</f>
        <v/>
      </c>
    </row>
    <row r="107">
      <c r="A107" s="2" t="n"/>
      <c r="B107" s="3" t="n"/>
      <c r="C107" s="4" t="n"/>
      <c r="D107" s="5" t="n"/>
      <c r="E107" s="3" t="n"/>
      <c r="F107" s="4" t="n"/>
      <c r="G107" s="5" t="n"/>
      <c r="H107" s="3" t="n"/>
      <c r="I107" s="4" t="n"/>
      <c r="J107" s="5" t="n"/>
      <c r="K107" s="3" t="n"/>
      <c r="L107" s="4" t="n"/>
      <c r="M107" s="5" t="n"/>
      <c r="N107" s="3" t="n"/>
      <c r="O107" s="4" t="n"/>
      <c r="P107" s="5" t="n"/>
      <c r="Q107" s="3" t="n"/>
      <c r="R107" s="4" t="n"/>
      <c r="S107" s="5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6">
        <f>IF(C107=0,0,IF(E107="",B107*D107/100,E107))</f>
        <v/>
      </c>
      <c r="AE107" s="6">
        <f>IF(F107=0,0,IF(H107="",B107*G107/100,H107))</f>
        <v/>
      </c>
      <c r="AF107" s="6">
        <f>IF(I107=0,0,IF(K107="",B107*J107/100,K107))</f>
        <v/>
      </c>
      <c r="AG107" s="6">
        <f>IF(L107=0,0,IF(N107="",B107*M107/100,N107))</f>
        <v/>
      </c>
      <c r="AH107" s="6">
        <f>IF(O107=0,0,IF(Q107="",B107*P107/100,Q107))</f>
        <v/>
      </c>
      <c r="AI107" s="6">
        <f>IF(R107=0,0,IF(T107="",B107*S107/100,T107))</f>
        <v/>
      </c>
      <c r="AJ107" s="6">
        <f>B107*0.035</f>
        <v/>
      </c>
      <c r="AK107" s="6">
        <f>B107*0.065</f>
        <v/>
      </c>
      <c r="AL107" s="6">
        <f>SUM(B107,AD107,AE107,AF107,AG107,AH107,AI107,U107,V107,AJ107,AK107)</f>
        <v/>
      </c>
      <c r="AM107" s="6">
        <f>B107*0.055</f>
        <v/>
      </c>
      <c r="AN107" s="6">
        <f>B107*0.035</f>
        <v/>
      </c>
      <c r="AO107" s="6">
        <f>B107*0.165</f>
        <v/>
      </c>
      <c r="AP107" s="6">
        <f>MAX(0,AL107-AM107-AO107)</f>
        <v/>
      </c>
      <c r="AQ107" s="6">
        <f>IF(AP107&lt;=490,0,IF(AP107&lt;=600,(AP107-490)*0.05,IF(AP107&lt;=730,5.5+(AP107-600)*0.10,IF(AP107&lt;=3896.67,18.5+(AP107-730)*0.175,IF(AP107&lt;=19896.67,572.67+(AP107-3896.67)*0.25,IF(AP107&lt;=50416.67,4572.67+(AP107-19896.67)*0.30,13728.67+(AP107-50416.67)*0.35))))))</f>
        <v/>
      </c>
      <c r="AR107" s="6">
        <f>SUM(AM107,AQ107,W107,X107,Y107,Z107,AA107,AN107,AO107)</f>
        <v/>
      </c>
      <c r="AS107" s="6">
        <f>AL107-AR107</f>
        <v/>
      </c>
      <c r="AT107" s="6">
        <f>AB107-AC107</f>
        <v/>
      </c>
    </row>
    <row r="108">
      <c r="A108" s="2" t="n"/>
      <c r="B108" s="3" t="n"/>
      <c r="C108" s="4" t="n"/>
      <c r="D108" s="5" t="n"/>
      <c r="E108" s="3" t="n"/>
      <c r="F108" s="4" t="n"/>
      <c r="G108" s="5" t="n"/>
      <c r="H108" s="3" t="n"/>
      <c r="I108" s="4" t="n"/>
      <c r="J108" s="5" t="n"/>
      <c r="K108" s="3" t="n"/>
      <c r="L108" s="4" t="n"/>
      <c r="M108" s="5" t="n"/>
      <c r="N108" s="3" t="n"/>
      <c r="O108" s="4" t="n"/>
      <c r="P108" s="5" t="n"/>
      <c r="Q108" s="3" t="n"/>
      <c r="R108" s="4" t="n"/>
      <c r="S108" s="5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6">
        <f>IF(C108=0,0,IF(E108="",B108*D108/100,E108))</f>
        <v/>
      </c>
      <c r="AE108" s="6">
        <f>IF(F108=0,0,IF(H108="",B108*G108/100,H108))</f>
        <v/>
      </c>
      <c r="AF108" s="6">
        <f>IF(I108=0,0,IF(K108="",B108*J108/100,K108))</f>
        <v/>
      </c>
      <c r="AG108" s="6">
        <f>IF(L108=0,0,IF(N108="",B108*M108/100,N108))</f>
        <v/>
      </c>
      <c r="AH108" s="6">
        <f>IF(O108=0,0,IF(Q108="",B108*P108/100,Q108))</f>
        <v/>
      </c>
      <c r="AI108" s="6">
        <f>IF(R108=0,0,IF(T108="",B108*S108/100,T108))</f>
        <v/>
      </c>
      <c r="AJ108" s="6">
        <f>B108*0.035</f>
        <v/>
      </c>
      <c r="AK108" s="6">
        <f>B108*0.065</f>
        <v/>
      </c>
      <c r="AL108" s="6">
        <f>SUM(B108,AD108,AE108,AF108,AG108,AH108,AI108,U108,V108,AJ108,AK108)</f>
        <v/>
      </c>
      <c r="AM108" s="6">
        <f>B108*0.055</f>
        <v/>
      </c>
      <c r="AN108" s="6">
        <f>B108*0.035</f>
        <v/>
      </c>
      <c r="AO108" s="6">
        <f>B108*0.165</f>
        <v/>
      </c>
      <c r="AP108" s="6">
        <f>MAX(0,AL108-AM108-AO108)</f>
        <v/>
      </c>
      <c r="AQ108" s="6">
        <f>IF(AP108&lt;=490,0,IF(AP108&lt;=600,(AP108-490)*0.05,IF(AP108&lt;=730,5.5+(AP108-600)*0.10,IF(AP108&lt;=3896.67,18.5+(AP108-730)*0.175,IF(AP108&lt;=19896.67,572.67+(AP108-3896.67)*0.25,IF(AP108&lt;=50416.67,4572.67+(AP108-19896.67)*0.30,13728.67+(AP108-50416.67)*0.35))))))</f>
        <v/>
      </c>
      <c r="AR108" s="6">
        <f>SUM(AM108,AQ108,W108,X108,Y108,Z108,AA108,AN108,AO108)</f>
        <v/>
      </c>
      <c r="AS108" s="6">
        <f>AL108-AR108</f>
        <v/>
      </c>
      <c r="AT108" s="6">
        <f>AB108-AC108</f>
        <v/>
      </c>
    </row>
    <row r="109">
      <c r="A109" s="2" t="n"/>
      <c r="B109" s="3" t="n"/>
      <c r="C109" s="4" t="n"/>
      <c r="D109" s="5" t="n"/>
      <c r="E109" s="3" t="n"/>
      <c r="F109" s="4" t="n"/>
      <c r="G109" s="5" t="n"/>
      <c r="H109" s="3" t="n"/>
      <c r="I109" s="4" t="n"/>
      <c r="J109" s="5" t="n"/>
      <c r="K109" s="3" t="n"/>
      <c r="L109" s="4" t="n"/>
      <c r="M109" s="5" t="n"/>
      <c r="N109" s="3" t="n"/>
      <c r="O109" s="4" t="n"/>
      <c r="P109" s="5" t="n"/>
      <c r="Q109" s="3" t="n"/>
      <c r="R109" s="4" t="n"/>
      <c r="S109" s="5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6">
        <f>IF(C109=0,0,IF(E109="",B109*D109/100,E109))</f>
        <v/>
      </c>
      <c r="AE109" s="6">
        <f>IF(F109=0,0,IF(H109="",B109*G109/100,H109))</f>
        <v/>
      </c>
      <c r="AF109" s="6">
        <f>IF(I109=0,0,IF(K109="",B109*J109/100,K109))</f>
        <v/>
      </c>
      <c r="AG109" s="6">
        <f>IF(L109=0,0,IF(N109="",B109*M109/100,N109))</f>
        <v/>
      </c>
      <c r="AH109" s="6">
        <f>IF(O109=0,0,IF(Q109="",B109*P109/100,Q109))</f>
        <v/>
      </c>
      <c r="AI109" s="6">
        <f>IF(R109=0,0,IF(T109="",B109*S109/100,T109))</f>
        <v/>
      </c>
      <c r="AJ109" s="6">
        <f>B109*0.035</f>
        <v/>
      </c>
      <c r="AK109" s="6">
        <f>B109*0.065</f>
        <v/>
      </c>
      <c r="AL109" s="6">
        <f>SUM(B109,AD109,AE109,AF109,AG109,AH109,AI109,U109,V109,AJ109,AK109)</f>
        <v/>
      </c>
      <c r="AM109" s="6">
        <f>B109*0.055</f>
        <v/>
      </c>
      <c r="AN109" s="6">
        <f>B109*0.035</f>
        <v/>
      </c>
      <c r="AO109" s="6">
        <f>B109*0.165</f>
        <v/>
      </c>
      <c r="AP109" s="6">
        <f>MAX(0,AL109-AM109-AO109)</f>
        <v/>
      </c>
      <c r="AQ109" s="6">
        <f>IF(AP109&lt;=490,0,IF(AP109&lt;=600,(AP109-490)*0.05,IF(AP109&lt;=730,5.5+(AP109-600)*0.10,IF(AP109&lt;=3896.67,18.5+(AP109-730)*0.175,IF(AP109&lt;=19896.67,572.67+(AP109-3896.67)*0.25,IF(AP109&lt;=50416.67,4572.67+(AP109-19896.67)*0.30,13728.67+(AP109-50416.67)*0.35))))))</f>
        <v/>
      </c>
      <c r="AR109" s="6">
        <f>SUM(AM109,AQ109,W109,X109,Y109,Z109,AA109,AN109,AO109)</f>
        <v/>
      </c>
      <c r="AS109" s="6">
        <f>AL109-AR109</f>
        <v/>
      </c>
      <c r="AT109" s="6">
        <f>AB109-AC109</f>
        <v/>
      </c>
    </row>
    <row r="110">
      <c r="A110" s="2" t="n"/>
      <c r="B110" s="3" t="n"/>
      <c r="C110" s="4" t="n"/>
      <c r="D110" s="5" t="n"/>
      <c r="E110" s="3" t="n"/>
      <c r="F110" s="4" t="n"/>
      <c r="G110" s="5" t="n"/>
      <c r="H110" s="3" t="n"/>
      <c r="I110" s="4" t="n"/>
      <c r="J110" s="5" t="n"/>
      <c r="K110" s="3" t="n"/>
      <c r="L110" s="4" t="n"/>
      <c r="M110" s="5" t="n"/>
      <c r="N110" s="3" t="n"/>
      <c r="O110" s="4" t="n"/>
      <c r="P110" s="5" t="n"/>
      <c r="Q110" s="3" t="n"/>
      <c r="R110" s="4" t="n"/>
      <c r="S110" s="5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6">
        <f>IF(C110=0,0,IF(E110="",B110*D110/100,E110))</f>
        <v/>
      </c>
      <c r="AE110" s="6">
        <f>IF(F110=0,0,IF(H110="",B110*G110/100,H110))</f>
        <v/>
      </c>
      <c r="AF110" s="6">
        <f>IF(I110=0,0,IF(K110="",B110*J110/100,K110))</f>
        <v/>
      </c>
      <c r="AG110" s="6">
        <f>IF(L110=0,0,IF(N110="",B110*M110/100,N110))</f>
        <v/>
      </c>
      <c r="AH110" s="6">
        <f>IF(O110=0,0,IF(Q110="",B110*P110/100,Q110))</f>
        <v/>
      </c>
      <c r="AI110" s="6">
        <f>IF(R110=0,0,IF(T110="",B110*S110/100,T110))</f>
        <v/>
      </c>
      <c r="AJ110" s="6">
        <f>B110*0.035</f>
        <v/>
      </c>
      <c r="AK110" s="6">
        <f>B110*0.065</f>
        <v/>
      </c>
      <c r="AL110" s="6">
        <f>SUM(B110,AD110,AE110,AF110,AG110,AH110,AI110,U110,V110,AJ110,AK110)</f>
        <v/>
      </c>
      <c r="AM110" s="6">
        <f>B110*0.055</f>
        <v/>
      </c>
      <c r="AN110" s="6">
        <f>B110*0.035</f>
        <v/>
      </c>
      <c r="AO110" s="6">
        <f>B110*0.165</f>
        <v/>
      </c>
      <c r="AP110" s="6">
        <f>MAX(0,AL110-AM110-AO110)</f>
        <v/>
      </c>
      <c r="AQ110" s="6">
        <f>IF(AP110&lt;=490,0,IF(AP110&lt;=600,(AP110-490)*0.05,IF(AP110&lt;=730,5.5+(AP110-600)*0.10,IF(AP110&lt;=3896.67,18.5+(AP110-730)*0.175,IF(AP110&lt;=19896.67,572.67+(AP110-3896.67)*0.25,IF(AP110&lt;=50416.67,4572.67+(AP110-19896.67)*0.30,13728.67+(AP110-50416.67)*0.35))))))</f>
        <v/>
      </c>
      <c r="AR110" s="6">
        <f>SUM(AM110,AQ110,W110,X110,Y110,Z110,AA110,AN110,AO110)</f>
        <v/>
      </c>
      <c r="AS110" s="6">
        <f>AL110-AR110</f>
        <v/>
      </c>
      <c r="AT110" s="6">
        <f>AB110-AC110</f>
        <v/>
      </c>
    </row>
    <row r="111">
      <c r="A111" s="2" t="n"/>
      <c r="B111" s="3" t="n"/>
      <c r="C111" s="4" t="n"/>
      <c r="D111" s="5" t="n"/>
      <c r="E111" s="3" t="n"/>
      <c r="F111" s="4" t="n"/>
      <c r="G111" s="5" t="n"/>
      <c r="H111" s="3" t="n"/>
      <c r="I111" s="4" t="n"/>
      <c r="J111" s="5" t="n"/>
      <c r="K111" s="3" t="n"/>
      <c r="L111" s="4" t="n"/>
      <c r="M111" s="5" t="n"/>
      <c r="N111" s="3" t="n"/>
      <c r="O111" s="4" t="n"/>
      <c r="P111" s="5" t="n"/>
      <c r="Q111" s="3" t="n"/>
      <c r="R111" s="4" t="n"/>
      <c r="S111" s="5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6">
        <f>IF(C111=0,0,IF(E111="",B111*D111/100,E111))</f>
        <v/>
      </c>
      <c r="AE111" s="6">
        <f>IF(F111=0,0,IF(H111="",B111*G111/100,H111))</f>
        <v/>
      </c>
      <c r="AF111" s="6">
        <f>IF(I111=0,0,IF(K111="",B111*J111/100,K111))</f>
        <v/>
      </c>
      <c r="AG111" s="6">
        <f>IF(L111=0,0,IF(N111="",B111*M111/100,N111))</f>
        <v/>
      </c>
      <c r="AH111" s="6">
        <f>IF(O111=0,0,IF(Q111="",B111*P111/100,Q111))</f>
        <v/>
      </c>
      <c r="AI111" s="6">
        <f>IF(R111=0,0,IF(T111="",B111*S111/100,T111))</f>
        <v/>
      </c>
      <c r="AJ111" s="6">
        <f>B111*0.035</f>
        <v/>
      </c>
      <c r="AK111" s="6">
        <f>B111*0.065</f>
        <v/>
      </c>
      <c r="AL111" s="6">
        <f>SUM(B111,AD111,AE111,AF111,AG111,AH111,AI111,U111,V111,AJ111,AK111)</f>
        <v/>
      </c>
      <c r="AM111" s="6">
        <f>B111*0.055</f>
        <v/>
      </c>
      <c r="AN111" s="6">
        <f>B111*0.035</f>
        <v/>
      </c>
      <c r="AO111" s="6">
        <f>B111*0.165</f>
        <v/>
      </c>
      <c r="AP111" s="6">
        <f>MAX(0,AL111-AM111-AO111)</f>
        <v/>
      </c>
      <c r="AQ111" s="6">
        <f>IF(AP111&lt;=490,0,IF(AP111&lt;=600,(AP111-490)*0.05,IF(AP111&lt;=730,5.5+(AP111-600)*0.10,IF(AP111&lt;=3896.67,18.5+(AP111-730)*0.175,IF(AP111&lt;=19896.67,572.67+(AP111-3896.67)*0.25,IF(AP111&lt;=50416.67,4572.67+(AP111-19896.67)*0.30,13728.67+(AP111-50416.67)*0.35))))))</f>
        <v/>
      </c>
      <c r="AR111" s="6">
        <f>SUM(AM111,AQ111,W111,X111,Y111,Z111,AA111,AN111,AO111)</f>
        <v/>
      </c>
      <c r="AS111" s="6">
        <f>AL111-AR111</f>
        <v/>
      </c>
      <c r="AT111" s="6">
        <f>AB111-AC111</f>
        <v/>
      </c>
    </row>
    <row r="112">
      <c r="A112" s="2" t="n"/>
      <c r="B112" s="3" t="n"/>
      <c r="C112" s="4" t="n"/>
      <c r="D112" s="5" t="n"/>
      <c r="E112" s="3" t="n"/>
      <c r="F112" s="4" t="n"/>
      <c r="G112" s="5" t="n"/>
      <c r="H112" s="3" t="n"/>
      <c r="I112" s="4" t="n"/>
      <c r="J112" s="5" t="n"/>
      <c r="K112" s="3" t="n"/>
      <c r="L112" s="4" t="n"/>
      <c r="M112" s="5" t="n"/>
      <c r="N112" s="3" t="n"/>
      <c r="O112" s="4" t="n"/>
      <c r="P112" s="5" t="n"/>
      <c r="Q112" s="3" t="n"/>
      <c r="R112" s="4" t="n"/>
      <c r="S112" s="5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6">
        <f>IF(C112=0,0,IF(E112="",B112*D112/100,E112))</f>
        <v/>
      </c>
      <c r="AE112" s="6">
        <f>IF(F112=0,0,IF(H112="",B112*G112/100,H112))</f>
        <v/>
      </c>
      <c r="AF112" s="6">
        <f>IF(I112=0,0,IF(K112="",B112*J112/100,K112))</f>
        <v/>
      </c>
      <c r="AG112" s="6">
        <f>IF(L112=0,0,IF(N112="",B112*M112/100,N112))</f>
        <v/>
      </c>
      <c r="AH112" s="6">
        <f>IF(O112=0,0,IF(Q112="",B112*P112/100,Q112))</f>
        <v/>
      </c>
      <c r="AI112" s="6">
        <f>IF(R112=0,0,IF(T112="",B112*S112/100,T112))</f>
        <v/>
      </c>
      <c r="AJ112" s="6">
        <f>B112*0.035</f>
        <v/>
      </c>
      <c r="AK112" s="6">
        <f>B112*0.065</f>
        <v/>
      </c>
      <c r="AL112" s="6">
        <f>SUM(B112,AD112,AE112,AF112,AG112,AH112,AI112,U112,V112,AJ112,AK112)</f>
        <v/>
      </c>
      <c r="AM112" s="6">
        <f>B112*0.055</f>
        <v/>
      </c>
      <c r="AN112" s="6">
        <f>B112*0.035</f>
        <v/>
      </c>
      <c r="AO112" s="6">
        <f>B112*0.165</f>
        <v/>
      </c>
      <c r="AP112" s="6">
        <f>MAX(0,AL112-AM112-AO112)</f>
        <v/>
      </c>
      <c r="AQ112" s="6">
        <f>IF(AP112&lt;=490,0,IF(AP112&lt;=600,(AP112-490)*0.05,IF(AP112&lt;=730,5.5+(AP112-600)*0.10,IF(AP112&lt;=3896.67,18.5+(AP112-730)*0.175,IF(AP112&lt;=19896.67,572.67+(AP112-3896.67)*0.25,IF(AP112&lt;=50416.67,4572.67+(AP112-19896.67)*0.30,13728.67+(AP112-50416.67)*0.35))))))</f>
        <v/>
      </c>
      <c r="AR112" s="6">
        <f>SUM(AM112,AQ112,W112,X112,Y112,Z112,AA112,AN112,AO112)</f>
        <v/>
      </c>
      <c r="AS112" s="6">
        <f>AL112-AR112</f>
        <v/>
      </c>
      <c r="AT112" s="6">
        <f>AB112-AC112</f>
        <v/>
      </c>
    </row>
    <row r="113">
      <c r="A113" s="2" t="n"/>
      <c r="B113" s="3" t="n"/>
      <c r="C113" s="4" t="n"/>
      <c r="D113" s="5" t="n"/>
      <c r="E113" s="3" t="n"/>
      <c r="F113" s="4" t="n"/>
      <c r="G113" s="5" t="n"/>
      <c r="H113" s="3" t="n"/>
      <c r="I113" s="4" t="n"/>
      <c r="J113" s="5" t="n"/>
      <c r="K113" s="3" t="n"/>
      <c r="L113" s="4" t="n"/>
      <c r="M113" s="5" t="n"/>
      <c r="N113" s="3" t="n"/>
      <c r="O113" s="4" t="n"/>
      <c r="P113" s="5" t="n"/>
      <c r="Q113" s="3" t="n"/>
      <c r="R113" s="4" t="n"/>
      <c r="S113" s="5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6">
        <f>IF(C113=0,0,IF(E113="",B113*D113/100,E113))</f>
        <v/>
      </c>
      <c r="AE113" s="6">
        <f>IF(F113=0,0,IF(H113="",B113*G113/100,H113))</f>
        <v/>
      </c>
      <c r="AF113" s="6">
        <f>IF(I113=0,0,IF(K113="",B113*J113/100,K113))</f>
        <v/>
      </c>
      <c r="AG113" s="6">
        <f>IF(L113=0,0,IF(N113="",B113*M113/100,N113))</f>
        <v/>
      </c>
      <c r="AH113" s="6">
        <f>IF(O113=0,0,IF(Q113="",B113*P113/100,Q113))</f>
        <v/>
      </c>
      <c r="AI113" s="6">
        <f>IF(R113=0,0,IF(T113="",B113*S113/100,T113))</f>
        <v/>
      </c>
      <c r="AJ113" s="6">
        <f>B113*0.035</f>
        <v/>
      </c>
      <c r="AK113" s="6">
        <f>B113*0.065</f>
        <v/>
      </c>
      <c r="AL113" s="6">
        <f>SUM(B113,AD113,AE113,AF113,AG113,AH113,AI113,U113,V113,AJ113,AK113)</f>
        <v/>
      </c>
      <c r="AM113" s="6">
        <f>B113*0.055</f>
        <v/>
      </c>
      <c r="AN113" s="6">
        <f>B113*0.035</f>
        <v/>
      </c>
      <c r="AO113" s="6">
        <f>B113*0.165</f>
        <v/>
      </c>
      <c r="AP113" s="6">
        <f>MAX(0,AL113-AM113-AO113)</f>
        <v/>
      </c>
      <c r="AQ113" s="6">
        <f>IF(AP113&lt;=490,0,IF(AP113&lt;=600,(AP113-490)*0.05,IF(AP113&lt;=730,5.5+(AP113-600)*0.10,IF(AP113&lt;=3896.67,18.5+(AP113-730)*0.175,IF(AP113&lt;=19896.67,572.67+(AP113-3896.67)*0.25,IF(AP113&lt;=50416.67,4572.67+(AP113-19896.67)*0.30,13728.67+(AP113-50416.67)*0.35))))))</f>
        <v/>
      </c>
      <c r="AR113" s="6">
        <f>SUM(AM113,AQ113,W113,X113,Y113,Z113,AA113,AN113,AO113)</f>
        <v/>
      </c>
      <c r="AS113" s="6">
        <f>AL113-AR113</f>
        <v/>
      </c>
      <c r="AT113" s="6">
        <f>AB113-AC113</f>
        <v/>
      </c>
    </row>
    <row r="114">
      <c r="A114" s="2" t="n"/>
      <c r="B114" s="3" t="n"/>
      <c r="C114" s="4" t="n"/>
      <c r="D114" s="5" t="n"/>
      <c r="E114" s="3" t="n"/>
      <c r="F114" s="4" t="n"/>
      <c r="G114" s="5" t="n"/>
      <c r="H114" s="3" t="n"/>
      <c r="I114" s="4" t="n"/>
      <c r="J114" s="5" t="n"/>
      <c r="K114" s="3" t="n"/>
      <c r="L114" s="4" t="n"/>
      <c r="M114" s="5" t="n"/>
      <c r="N114" s="3" t="n"/>
      <c r="O114" s="4" t="n"/>
      <c r="P114" s="5" t="n"/>
      <c r="Q114" s="3" t="n"/>
      <c r="R114" s="4" t="n"/>
      <c r="S114" s="5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6">
        <f>IF(C114=0,0,IF(E114="",B114*D114/100,E114))</f>
        <v/>
      </c>
      <c r="AE114" s="6">
        <f>IF(F114=0,0,IF(H114="",B114*G114/100,H114))</f>
        <v/>
      </c>
      <c r="AF114" s="6">
        <f>IF(I114=0,0,IF(K114="",B114*J114/100,K114))</f>
        <v/>
      </c>
      <c r="AG114" s="6">
        <f>IF(L114=0,0,IF(N114="",B114*M114/100,N114))</f>
        <v/>
      </c>
      <c r="AH114" s="6">
        <f>IF(O114=0,0,IF(Q114="",B114*P114/100,Q114))</f>
        <v/>
      </c>
      <c r="AI114" s="6">
        <f>IF(R114=0,0,IF(T114="",B114*S114/100,T114))</f>
        <v/>
      </c>
      <c r="AJ114" s="6">
        <f>B114*0.035</f>
        <v/>
      </c>
      <c r="AK114" s="6">
        <f>B114*0.065</f>
        <v/>
      </c>
      <c r="AL114" s="6">
        <f>SUM(B114,AD114,AE114,AF114,AG114,AH114,AI114,U114,V114,AJ114,AK114)</f>
        <v/>
      </c>
      <c r="AM114" s="6">
        <f>B114*0.055</f>
        <v/>
      </c>
      <c r="AN114" s="6">
        <f>B114*0.035</f>
        <v/>
      </c>
      <c r="AO114" s="6">
        <f>B114*0.165</f>
        <v/>
      </c>
      <c r="AP114" s="6">
        <f>MAX(0,AL114-AM114-AO114)</f>
        <v/>
      </c>
      <c r="AQ114" s="6">
        <f>IF(AP114&lt;=490,0,IF(AP114&lt;=600,(AP114-490)*0.05,IF(AP114&lt;=730,5.5+(AP114-600)*0.10,IF(AP114&lt;=3896.67,18.5+(AP114-730)*0.175,IF(AP114&lt;=19896.67,572.67+(AP114-3896.67)*0.25,IF(AP114&lt;=50416.67,4572.67+(AP114-19896.67)*0.30,13728.67+(AP114-50416.67)*0.35))))))</f>
        <v/>
      </c>
      <c r="AR114" s="6">
        <f>SUM(AM114,AQ114,W114,X114,Y114,Z114,AA114,AN114,AO114)</f>
        <v/>
      </c>
      <c r="AS114" s="6">
        <f>AL114-AR114</f>
        <v/>
      </c>
      <c r="AT114" s="6">
        <f>AB114-AC114</f>
        <v/>
      </c>
    </row>
    <row r="115">
      <c r="A115" s="2" t="n"/>
      <c r="B115" s="3" t="n"/>
      <c r="C115" s="4" t="n"/>
      <c r="D115" s="5" t="n"/>
      <c r="E115" s="3" t="n"/>
      <c r="F115" s="4" t="n"/>
      <c r="G115" s="5" t="n"/>
      <c r="H115" s="3" t="n"/>
      <c r="I115" s="4" t="n"/>
      <c r="J115" s="5" t="n"/>
      <c r="K115" s="3" t="n"/>
      <c r="L115" s="4" t="n"/>
      <c r="M115" s="5" t="n"/>
      <c r="N115" s="3" t="n"/>
      <c r="O115" s="4" t="n"/>
      <c r="P115" s="5" t="n"/>
      <c r="Q115" s="3" t="n"/>
      <c r="R115" s="4" t="n"/>
      <c r="S115" s="5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6">
        <f>IF(C115=0,0,IF(E115="",B115*D115/100,E115))</f>
        <v/>
      </c>
      <c r="AE115" s="6">
        <f>IF(F115=0,0,IF(H115="",B115*G115/100,H115))</f>
        <v/>
      </c>
      <c r="AF115" s="6">
        <f>IF(I115=0,0,IF(K115="",B115*J115/100,K115))</f>
        <v/>
      </c>
      <c r="AG115" s="6">
        <f>IF(L115=0,0,IF(N115="",B115*M115/100,N115))</f>
        <v/>
      </c>
      <c r="AH115" s="6">
        <f>IF(O115=0,0,IF(Q115="",B115*P115/100,Q115))</f>
        <v/>
      </c>
      <c r="AI115" s="6">
        <f>IF(R115=0,0,IF(T115="",B115*S115/100,T115))</f>
        <v/>
      </c>
      <c r="AJ115" s="6">
        <f>B115*0.035</f>
        <v/>
      </c>
      <c r="AK115" s="6">
        <f>B115*0.065</f>
        <v/>
      </c>
      <c r="AL115" s="6">
        <f>SUM(B115,AD115,AE115,AF115,AG115,AH115,AI115,U115,V115,AJ115,AK115)</f>
        <v/>
      </c>
      <c r="AM115" s="6">
        <f>B115*0.055</f>
        <v/>
      </c>
      <c r="AN115" s="6">
        <f>B115*0.035</f>
        <v/>
      </c>
      <c r="AO115" s="6">
        <f>B115*0.165</f>
        <v/>
      </c>
      <c r="AP115" s="6">
        <f>MAX(0,AL115-AM115-AO115)</f>
        <v/>
      </c>
      <c r="AQ115" s="6">
        <f>IF(AP115&lt;=490,0,IF(AP115&lt;=600,(AP115-490)*0.05,IF(AP115&lt;=730,5.5+(AP115-600)*0.10,IF(AP115&lt;=3896.67,18.5+(AP115-730)*0.175,IF(AP115&lt;=19896.67,572.67+(AP115-3896.67)*0.25,IF(AP115&lt;=50416.67,4572.67+(AP115-19896.67)*0.30,13728.67+(AP115-50416.67)*0.35))))))</f>
        <v/>
      </c>
      <c r="AR115" s="6">
        <f>SUM(AM115,AQ115,W115,X115,Y115,Z115,AA115,AN115,AO115)</f>
        <v/>
      </c>
      <c r="AS115" s="6">
        <f>AL115-AR115</f>
        <v/>
      </c>
      <c r="AT115" s="6">
        <f>AB115-AC115</f>
        <v/>
      </c>
    </row>
    <row r="116">
      <c r="A116" s="2" t="n"/>
      <c r="B116" s="3" t="n"/>
      <c r="C116" s="4" t="n"/>
      <c r="D116" s="5" t="n"/>
      <c r="E116" s="3" t="n"/>
      <c r="F116" s="4" t="n"/>
      <c r="G116" s="5" t="n"/>
      <c r="H116" s="3" t="n"/>
      <c r="I116" s="4" t="n"/>
      <c r="J116" s="5" t="n"/>
      <c r="K116" s="3" t="n"/>
      <c r="L116" s="4" t="n"/>
      <c r="M116" s="5" t="n"/>
      <c r="N116" s="3" t="n"/>
      <c r="O116" s="4" t="n"/>
      <c r="P116" s="5" t="n"/>
      <c r="Q116" s="3" t="n"/>
      <c r="R116" s="4" t="n"/>
      <c r="S116" s="5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6">
        <f>IF(C116=0,0,IF(E116="",B116*D116/100,E116))</f>
        <v/>
      </c>
      <c r="AE116" s="6">
        <f>IF(F116=0,0,IF(H116="",B116*G116/100,H116))</f>
        <v/>
      </c>
      <c r="AF116" s="6">
        <f>IF(I116=0,0,IF(K116="",B116*J116/100,K116))</f>
        <v/>
      </c>
      <c r="AG116" s="6">
        <f>IF(L116=0,0,IF(N116="",B116*M116/100,N116))</f>
        <v/>
      </c>
      <c r="AH116" s="6">
        <f>IF(O116=0,0,IF(Q116="",B116*P116/100,Q116))</f>
        <v/>
      </c>
      <c r="AI116" s="6">
        <f>IF(R116=0,0,IF(T116="",B116*S116/100,T116))</f>
        <v/>
      </c>
      <c r="AJ116" s="6">
        <f>B116*0.035</f>
        <v/>
      </c>
      <c r="AK116" s="6">
        <f>B116*0.065</f>
        <v/>
      </c>
      <c r="AL116" s="6">
        <f>SUM(B116,AD116,AE116,AF116,AG116,AH116,AI116,U116,V116,AJ116,AK116)</f>
        <v/>
      </c>
      <c r="AM116" s="6">
        <f>B116*0.055</f>
        <v/>
      </c>
      <c r="AN116" s="6">
        <f>B116*0.035</f>
        <v/>
      </c>
      <c r="AO116" s="6">
        <f>B116*0.165</f>
        <v/>
      </c>
      <c r="AP116" s="6">
        <f>MAX(0,AL116-AM116-AO116)</f>
        <v/>
      </c>
      <c r="AQ116" s="6">
        <f>IF(AP116&lt;=490,0,IF(AP116&lt;=600,(AP116-490)*0.05,IF(AP116&lt;=730,5.5+(AP116-600)*0.10,IF(AP116&lt;=3896.67,18.5+(AP116-730)*0.175,IF(AP116&lt;=19896.67,572.67+(AP116-3896.67)*0.25,IF(AP116&lt;=50416.67,4572.67+(AP116-19896.67)*0.30,13728.67+(AP116-50416.67)*0.35))))))</f>
        <v/>
      </c>
      <c r="AR116" s="6">
        <f>SUM(AM116,AQ116,W116,X116,Y116,Z116,AA116,AN116,AO116)</f>
        <v/>
      </c>
      <c r="AS116" s="6">
        <f>AL116-AR116</f>
        <v/>
      </c>
      <c r="AT116" s="6">
        <f>AB116-AC116</f>
        <v/>
      </c>
    </row>
    <row r="117">
      <c r="A117" s="2" t="n"/>
      <c r="B117" s="3" t="n"/>
      <c r="C117" s="4" t="n"/>
      <c r="D117" s="5" t="n"/>
      <c r="E117" s="3" t="n"/>
      <c r="F117" s="4" t="n"/>
      <c r="G117" s="5" t="n"/>
      <c r="H117" s="3" t="n"/>
      <c r="I117" s="4" t="n"/>
      <c r="J117" s="5" t="n"/>
      <c r="K117" s="3" t="n"/>
      <c r="L117" s="4" t="n"/>
      <c r="M117" s="5" t="n"/>
      <c r="N117" s="3" t="n"/>
      <c r="O117" s="4" t="n"/>
      <c r="P117" s="5" t="n"/>
      <c r="Q117" s="3" t="n"/>
      <c r="R117" s="4" t="n"/>
      <c r="S117" s="5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6">
        <f>IF(C117=0,0,IF(E117="",B117*D117/100,E117))</f>
        <v/>
      </c>
      <c r="AE117" s="6">
        <f>IF(F117=0,0,IF(H117="",B117*G117/100,H117))</f>
        <v/>
      </c>
      <c r="AF117" s="6">
        <f>IF(I117=0,0,IF(K117="",B117*J117/100,K117))</f>
        <v/>
      </c>
      <c r="AG117" s="6">
        <f>IF(L117=0,0,IF(N117="",B117*M117/100,N117))</f>
        <v/>
      </c>
      <c r="AH117" s="6">
        <f>IF(O117=0,0,IF(Q117="",B117*P117/100,Q117))</f>
        <v/>
      </c>
      <c r="AI117" s="6">
        <f>IF(R117=0,0,IF(T117="",B117*S117/100,T117))</f>
        <v/>
      </c>
      <c r="AJ117" s="6">
        <f>B117*0.035</f>
        <v/>
      </c>
      <c r="AK117" s="6">
        <f>B117*0.065</f>
        <v/>
      </c>
      <c r="AL117" s="6">
        <f>SUM(B117,AD117,AE117,AF117,AG117,AH117,AI117,U117,V117,AJ117,AK117)</f>
        <v/>
      </c>
      <c r="AM117" s="6">
        <f>B117*0.055</f>
        <v/>
      </c>
      <c r="AN117" s="6">
        <f>B117*0.035</f>
        <v/>
      </c>
      <c r="AO117" s="6">
        <f>B117*0.165</f>
        <v/>
      </c>
      <c r="AP117" s="6">
        <f>MAX(0,AL117-AM117-AO117)</f>
        <v/>
      </c>
      <c r="AQ117" s="6">
        <f>IF(AP117&lt;=490,0,IF(AP117&lt;=600,(AP117-490)*0.05,IF(AP117&lt;=730,5.5+(AP117-600)*0.10,IF(AP117&lt;=3896.67,18.5+(AP117-730)*0.175,IF(AP117&lt;=19896.67,572.67+(AP117-3896.67)*0.25,IF(AP117&lt;=50416.67,4572.67+(AP117-19896.67)*0.30,13728.67+(AP117-50416.67)*0.35))))))</f>
        <v/>
      </c>
      <c r="AR117" s="6">
        <f>SUM(AM117,AQ117,W117,X117,Y117,Z117,AA117,AN117,AO117)</f>
        <v/>
      </c>
      <c r="AS117" s="6">
        <f>AL117-AR117</f>
        <v/>
      </c>
      <c r="AT117" s="6">
        <f>AB117-AC117</f>
        <v/>
      </c>
    </row>
    <row r="118">
      <c r="A118" s="2" t="n"/>
      <c r="B118" s="3" t="n"/>
      <c r="C118" s="4" t="n"/>
      <c r="D118" s="5" t="n"/>
      <c r="E118" s="3" t="n"/>
      <c r="F118" s="4" t="n"/>
      <c r="G118" s="5" t="n"/>
      <c r="H118" s="3" t="n"/>
      <c r="I118" s="4" t="n"/>
      <c r="J118" s="5" t="n"/>
      <c r="K118" s="3" t="n"/>
      <c r="L118" s="4" t="n"/>
      <c r="M118" s="5" t="n"/>
      <c r="N118" s="3" t="n"/>
      <c r="O118" s="4" t="n"/>
      <c r="P118" s="5" t="n"/>
      <c r="Q118" s="3" t="n"/>
      <c r="R118" s="4" t="n"/>
      <c r="S118" s="5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6">
        <f>IF(C118=0,0,IF(E118="",B118*D118/100,E118))</f>
        <v/>
      </c>
      <c r="AE118" s="6">
        <f>IF(F118=0,0,IF(H118="",B118*G118/100,H118))</f>
        <v/>
      </c>
      <c r="AF118" s="6">
        <f>IF(I118=0,0,IF(K118="",B118*J118/100,K118))</f>
        <v/>
      </c>
      <c r="AG118" s="6">
        <f>IF(L118=0,0,IF(N118="",B118*M118/100,N118))</f>
        <v/>
      </c>
      <c r="AH118" s="6">
        <f>IF(O118=0,0,IF(Q118="",B118*P118/100,Q118))</f>
        <v/>
      </c>
      <c r="AI118" s="6">
        <f>IF(R118=0,0,IF(T118="",B118*S118/100,T118))</f>
        <v/>
      </c>
      <c r="AJ118" s="6">
        <f>B118*0.035</f>
        <v/>
      </c>
      <c r="AK118" s="6">
        <f>B118*0.065</f>
        <v/>
      </c>
      <c r="AL118" s="6">
        <f>SUM(B118,AD118,AE118,AF118,AG118,AH118,AI118,U118,V118,AJ118,AK118)</f>
        <v/>
      </c>
      <c r="AM118" s="6">
        <f>B118*0.055</f>
        <v/>
      </c>
      <c r="AN118" s="6">
        <f>B118*0.035</f>
        <v/>
      </c>
      <c r="AO118" s="6">
        <f>B118*0.165</f>
        <v/>
      </c>
      <c r="AP118" s="6">
        <f>MAX(0,AL118-AM118-AO118)</f>
        <v/>
      </c>
      <c r="AQ118" s="6">
        <f>IF(AP118&lt;=490,0,IF(AP118&lt;=600,(AP118-490)*0.05,IF(AP118&lt;=730,5.5+(AP118-600)*0.10,IF(AP118&lt;=3896.67,18.5+(AP118-730)*0.175,IF(AP118&lt;=19896.67,572.67+(AP118-3896.67)*0.25,IF(AP118&lt;=50416.67,4572.67+(AP118-19896.67)*0.30,13728.67+(AP118-50416.67)*0.35))))))</f>
        <v/>
      </c>
      <c r="AR118" s="6">
        <f>SUM(AM118,AQ118,W118,X118,Y118,Z118,AA118,AN118,AO118)</f>
        <v/>
      </c>
      <c r="AS118" s="6">
        <f>AL118-AR118</f>
        <v/>
      </c>
      <c r="AT118" s="6">
        <f>AB118-AC118</f>
        <v/>
      </c>
    </row>
    <row r="119">
      <c r="A119" s="2" t="n"/>
      <c r="B119" s="3" t="n"/>
      <c r="C119" s="4" t="n"/>
      <c r="D119" s="5" t="n"/>
      <c r="E119" s="3" t="n"/>
      <c r="F119" s="4" t="n"/>
      <c r="G119" s="5" t="n"/>
      <c r="H119" s="3" t="n"/>
      <c r="I119" s="4" t="n"/>
      <c r="J119" s="5" t="n"/>
      <c r="K119" s="3" t="n"/>
      <c r="L119" s="4" t="n"/>
      <c r="M119" s="5" t="n"/>
      <c r="N119" s="3" t="n"/>
      <c r="O119" s="4" t="n"/>
      <c r="P119" s="5" t="n"/>
      <c r="Q119" s="3" t="n"/>
      <c r="R119" s="4" t="n"/>
      <c r="S119" s="5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6">
        <f>IF(C119=0,0,IF(E119="",B119*D119/100,E119))</f>
        <v/>
      </c>
      <c r="AE119" s="6">
        <f>IF(F119=0,0,IF(H119="",B119*G119/100,H119))</f>
        <v/>
      </c>
      <c r="AF119" s="6">
        <f>IF(I119=0,0,IF(K119="",B119*J119/100,K119))</f>
        <v/>
      </c>
      <c r="AG119" s="6">
        <f>IF(L119=0,0,IF(N119="",B119*M119/100,N119))</f>
        <v/>
      </c>
      <c r="AH119" s="6">
        <f>IF(O119=0,0,IF(Q119="",B119*P119/100,Q119))</f>
        <v/>
      </c>
      <c r="AI119" s="6">
        <f>IF(R119=0,0,IF(T119="",B119*S119/100,T119))</f>
        <v/>
      </c>
      <c r="AJ119" s="6">
        <f>B119*0.035</f>
        <v/>
      </c>
      <c r="AK119" s="6">
        <f>B119*0.065</f>
        <v/>
      </c>
      <c r="AL119" s="6">
        <f>SUM(B119,AD119,AE119,AF119,AG119,AH119,AI119,U119,V119,AJ119,AK119)</f>
        <v/>
      </c>
      <c r="AM119" s="6">
        <f>B119*0.055</f>
        <v/>
      </c>
      <c r="AN119" s="6">
        <f>B119*0.035</f>
        <v/>
      </c>
      <c r="AO119" s="6">
        <f>B119*0.165</f>
        <v/>
      </c>
      <c r="AP119" s="6">
        <f>MAX(0,AL119-AM119-AO119)</f>
        <v/>
      </c>
      <c r="AQ119" s="6">
        <f>IF(AP119&lt;=490,0,IF(AP119&lt;=600,(AP119-490)*0.05,IF(AP119&lt;=730,5.5+(AP119-600)*0.10,IF(AP119&lt;=3896.67,18.5+(AP119-730)*0.175,IF(AP119&lt;=19896.67,572.67+(AP119-3896.67)*0.25,IF(AP119&lt;=50416.67,4572.67+(AP119-19896.67)*0.30,13728.67+(AP119-50416.67)*0.35))))))</f>
        <v/>
      </c>
      <c r="AR119" s="6">
        <f>SUM(AM119,AQ119,W119,X119,Y119,Z119,AA119,AN119,AO119)</f>
        <v/>
      </c>
      <c r="AS119" s="6">
        <f>AL119-AR119</f>
        <v/>
      </c>
      <c r="AT119" s="6">
        <f>AB119-AC119</f>
        <v/>
      </c>
    </row>
    <row r="120">
      <c r="A120" s="2" t="n"/>
      <c r="B120" s="3" t="n"/>
      <c r="C120" s="4" t="n"/>
      <c r="D120" s="5" t="n"/>
      <c r="E120" s="3" t="n"/>
      <c r="F120" s="4" t="n"/>
      <c r="G120" s="5" t="n"/>
      <c r="H120" s="3" t="n"/>
      <c r="I120" s="4" t="n"/>
      <c r="J120" s="5" t="n"/>
      <c r="K120" s="3" t="n"/>
      <c r="L120" s="4" t="n"/>
      <c r="M120" s="5" t="n"/>
      <c r="N120" s="3" t="n"/>
      <c r="O120" s="4" t="n"/>
      <c r="P120" s="5" t="n"/>
      <c r="Q120" s="3" t="n"/>
      <c r="R120" s="4" t="n"/>
      <c r="S120" s="5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6">
        <f>IF(C120=0,0,IF(E120="",B120*D120/100,E120))</f>
        <v/>
      </c>
      <c r="AE120" s="6">
        <f>IF(F120=0,0,IF(H120="",B120*G120/100,H120))</f>
        <v/>
      </c>
      <c r="AF120" s="6">
        <f>IF(I120=0,0,IF(K120="",B120*J120/100,K120))</f>
        <v/>
      </c>
      <c r="AG120" s="6">
        <f>IF(L120=0,0,IF(N120="",B120*M120/100,N120))</f>
        <v/>
      </c>
      <c r="AH120" s="6">
        <f>IF(O120=0,0,IF(Q120="",B120*P120/100,Q120))</f>
        <v/>
      </c>
      <c r="AI120" s="6">
        <f>IF(R120=0,0,IF(T120="",B120*S120/100,T120))</f>
        <v/>
      </c>
      <c r="AJ120" s="6">
        <f>B120*0.035</f>
        <v/>
      </c>
      <c r="AK120" s="6">
        <f>B120*0.065</f>
        <v/>
      </c>
      <c r="AL120" s="6">
        <f>SUM(B120,AD120,AE120,AF120,AG120,AH120,AI120,U120,V120,AJ120,AK120)</f>
        <v/>
      </c>
      <c r="AM120" s="6">
        <f>B120*0.055</f>
        <v/>
      </c>
      <c r="AN120" s="6">
        <f>B120*0.035</f>
        <v/>
      </c>
      <c r="AO120" s="6">
        <f>B120*0.165</f>
        <v/>
      </c>
      <c r="AP120" s="6">
        <f>MAX(0,AL120-AM120-AO120)</f>
        <v/>
      </c>
      <c r="AQ120" s="6">
        <f>IF(AP120&lt;=490,0,IF(AP120&lt;=600,(AP120-490)*0.05,IF(AP120&lt;=730,5.5+(AP120-600)*0.10,IF(AP120&lt;=3896.67,18.5+(AP120-730)*0.175,IF(AP120&lt;=19896.67,572.67+(AP120-3896.67)*0.25,IF(AP120&lt;=50416.67,4572.67+(AP120-19896.67)*0.30,13728.67+(AP120-50416.67)*0.35))))))</f>
        <v/>
      </c>
      <c r="AR120" s="6">
        <f>SUM(AM120,AQ120,W120,X120,Y120,Z120,AA120,AN120,AO120)</f>
        <v/>
      </c>
      <c r="AS120" s="6">
        <f>AL120-AR120</f>
        <v/>
      </c>
      <c r="AT120" s="6">
        <f>AB120-AC120</f>
        <v/>
      </c>
    </row>
    <row r="121">
      <c r="A121" s="2" t="n"/>
      <c r="B121" s="3" t="n"/>
      <c r="C121" s="4" t="n"/>
      <c r="D121" s="5" t="n"/>
      <c r="E121" s="3" t="n"/>
      <c r="F121" s="4" t="n"/>
      <c r="G121" s="5" t="n"/>
      <c r="H121" s="3" t="n"/>
      <c r="I121" s="4" t="n"/>
      <c r="J121" s="5" t="n"/>
      <c r="K121" s="3" t="n"/>
      <c r="L121" s="4" t="n"/>
      <c r="M121" s="5" t="n"/>
      <c r="N121" s="3" t="n"/>
      <c r="O121" s="4" t="n"/>
      <c r="P121" s="5" t="n"/>
      <c r="Q121" s="3" t="n"/>
      <c r="R121" s="4" t="n"/>
      <c r="S121" s="5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6">
        <f>IF(C121=0,0,IF(E121="",B121*D121/100,E121))</f>
        <v/>
      </c>
      <c r="AE121" s="6">
        <f>IF(F121=0,0,IF(H121="",B121*G121/100,H121))</f>
        <v/>
      </c>
      <c r="AF121" s="6">
        <f>IF(I121=0,0,IF(K121="",B121*J121/100,K121))</f>
        <v/>
      </c>
      <c r="AG121" s="6">
        <f>IF(L121=0,0,IF(N121="",B121*M121/100,N121))</f>
        <v/>
      </c>
      <c r="AH121" s="6">
        <f>IF(O121=0,0,IF(Q121="",B121*P121/100,Q121))</f>
        <v/>
      </c>
      <c r="AI121" s="6">
        <f>IF(R121=0,0,IF(T121="",B121*S121/100,T121))</f>
        <v/>
      </c>
      <c r="AJ121" s="6">
        <f>B121*0.035</f>
        <v/>
      </c>
      <c r="AK121" s="6">
        <f>B121*0.065</f>
        <v/>
      </c>
      <c r="AL121" s="6">
        <f>SUM(B121,AD121,AE121,AF121,AG121,AH121,AI121,U121,V121,AJ121,AK121)</f>
        <v/>
      </c>
      <c r="AM121" s="6">
        <f>B121*0.055</f>
        <v/>
      </c>
      <c r="AN121" s="6">
        <f>B121*0.035</f>
        <v/>
      </c>
      <c r="AO121" s="6">
        <f>B121*0.165</f>
        <v/>
      </c>
      <c r="AP121" s="6">
        <f>MAX(0,AL121-AM121-AO121)</f>
        <v/>
      </c>
      <c r="AQ121" s="6">
        <f>IF(AP121&lt;=490,0,IF(AP121&lt;=600,(AP121-490)*0.05,IF(AP121&lt;=730,5.5+(AP121-600)*0.10,IF(AP121&lt;=3896.67,18.5+(AP121-730)*0.175,IF(AP121&lt;=19896.67,572.67+(AP121-3896.67)*0.25,IF(AP121&lt;=50416.67,4572.67+(AP121-19896.67)*0.30,13728.67+(AP121-50416.67)*0.35))))))</f>
        <v/>
      </c>
      <c r="AR121" s="6">
        <f>SUM(AM121,AQ121,W121,X121,Y121,Z121,AA121,AN121,AO121)</f>
        <v/>
      </c>
      <c r="AS121" s="6">
        <f>AL121-AR121</f>
        <v/>
      </c>
      <c r="AT121" s="6">
        <f>AB121-AC121</f>
        <v/>
      </c>
    </row>
    <row r="122">
      <c r="A122" s="2" t="n"/>
      <c r="B122" s="3" t="n"/>
      <c r="C122" s="4" t="n"/>
      <c r="D122" s="5" t="n"/>
      <c r="E122" s="3" t="n"/>
      <c r="F122" s="4" t="n"/>
      <c r="G122" s="5" t="n"/>
      <c r="H122" s="3" t="n"/>
      <c r="I122" s="4" t="n"/>
      <c r="J122" s="5" t="n"/>
      <c r="K122" s="3" t="n"/>
      <c r="L122" s="4" t="n"/>
      <c r="M122" s="5" t="n"/>
      <c r="N122" s="3" t="n"/>
      <c r="O122" s="4" t="n"/>
      <c r="P122" s="5" t="n"/>
      <c r="Q122" s="3" t="n"/>
      <c r="R122" s="4" t="n"/>
      <c r="S122" s="5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6">
        <f>IF(C122=0,0,IF(E122="",B122*D122/100,E122))</f>
        <v/>
      </c>
      <c r="AE122" s="6">
        <f>IF(F122=0,0,IF(H122="",B122*G122/100,H122))</f>
        <v/>
      </c>
      <c r="AF122" s="6">
        <f>IF(I122=0,0,IF(K122="",B122*J122/100,K122))</f>
        <v/>
      </c>
      <c r="AG122" s="6">
        <f>IF(L122=0,0,IF(N122="",B122*M122/100,N122))</f>
        <v/>
      </c>
      <c r="AH122" s="6">
        <f>IF(O122=0,0,IF(Q122="",B122*P122/100,Q122))</f>
        <v/>
      </c>
      <c r="AI122" s="6">
        <f>IF(R122=0,0,IF(T122="",B122*S122/100,T122))</f>
        <v/>
      </c>
      <c r="AJ122" s="6">
        <f>B122*0.035</f>
        <v/>
      </c>
      <c r="AK122" s="6">
        <f>B122*0.065</f>
        <v/>
      </c>
      <c r="AL122" s="6">
        <f>SUM(B122,AD122,AE122,AF122,AG122,AH122,AI122,U122,V122,AJ122,AK122)</f>
        <v/>
      </c>
      <c r="AM122" s="6">
        <f>B122*0.055</f>
        <v/>
      </c>
      <c r="AN122" s="6">
        <f>B122*0.035</f>
        <v/>
      </c>
      <c r="AO122" s="6">
        <f>B122*0.165</f>
        <v/>
      </c>
      <c r="AP122" s="6">
        <f>MAX(0,AL122-AM122-AO122)</f>
        <v/>
      </c>
      <c r="AQ122" s="6">
        <f>IF(AP122&lt;=490,0,IF(AP122&lt;=600,(AP122-490)*0.05,IF(AP122&lt;=730,5.5+(AP122-600)*0.10,IF(AP122&lt;=3896.67,18.5+(AP122-730)*0.175,IF(AP122&lt;=19896.67,572.67+(AP122-3896.67)*0.25,IF(AP122&lt;=50416.67,4572.67+(AP122-19896.67)*0.30,13728.67+(AP122-50416.67)*0.35))))))</f>
        <v/>
      </c>
      <c r="AR122" s="6">
        <f>SUM(AM122,AQ122,W122,X122,Y122,Z122,AA122,AN122,AO122)</f>
        <v/>
      </c>
      <c r="AS122" s="6">
        <f>AL122-AR122</f>
        <v/>
      </c>
      <c r="AT122" s="6">
        <f>AB122-AC122</f>
        <v/>
      </c>
    </row>
    <row r="123">
      <c r="A123" s="2" t="n"/>
      <c r="B123" s="3" t="n"/>
      <c r="C123" s="4" t="n"/>
      <c r="D123" s="5" t="n"/>
      <c r="E123" s="3" t="n"/>
      <c r="F123" s="4" t="n"/>
      <c r="G123" s="5" t="n"/>
      <c r="H123" s="3" t="n"/>
      <c r="I123" s="4" t="n"/>
      <c r="J123" s="5" t="n"/>
      <c r="K123" s="3" t="n"/>
      <c r="L123" s="4" t="n"/>
      <c r="M123" s="5" t="n"/>
      <c r="N123" s="3" t="n"/>
      <c r="O123" s="4" t="n"/>
      <c r="P123" s="5" t="n"/>
      <c r="Q123" s="3" t="n"/>
      <c r="R123" s="4" t="n"/>
      <c r="S123" s="5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6">
        <f>IF(C123=0,0,IF(E123="",B123*D123/100,E123))</f>
        <v/>
      </c>
      <c r="AE123" s="6">
        <f>IF(F123=0,0,IF(H123="",B123*G123/100,H123))</f>
        <v/>
      </c>
      <c r="AF123" s="6">
        <f>IF(I123=0,0,IF(K123="",B123*J123/100,K123))</f>
        <v/>
      </c>
      <c r="AG123" s="6">
        <f>IF(L123=0,0,IF(N123="",B123*M123/100,N123))</f>
        <v/>
      </c>
      <c r="AH123" s="6">
        <f>IF(O123=0,0,IF(Q123="",B123*P123/100,Q123))</f>
        <v/>
      </c>
      <c r="AI123" s="6">
        <f>IF(R123=0,0,IF(T123="",B123*S123/100,T123))</f>
        <v/>
      </c>
      <c r="AJ123" s="6">
        <f>B123*0.035</f>
        <v/>
      </c>
      <c r="AK123" s="6">
        <f>B123*0.065</f>
        <v/>
      </c>
      <c r="AL123" s="6">
        <f>SUM(B123,AD123,AE123,AF123,AG123,AH123,AI123,U123,V123,AJ123,AK123)</f>
        <v/>
      </c>
      <c r="AM123" s="6">
        <f>B123*0.055</f>
        <v/>
      </c>
      <c r="AN123" s="6">
        <f>B123*0.035</f>
        <v/>
      </c>
      <c r="AO123" s="6">
        <f>B123*0.165</f>
        <v/>
      </c>
      <c r="AP123" s="6">
        <f>MAX(0,AL123-AM123-AO123)</f>
        <v/>
      </c>
      <c r="AQ123" s="6">
        <f>IF(AP123&lt;=490,0,IF(AP123&lt;=600,(AP123-490)*0.05,IF(AP123&lt;=730,5.5+(AP123-600)*0.10,IF(AP123&lt;=3896.67,18.5+(AP123-730)*0.175,IF(AP123&lt;=19896.67,572.67+(AP123-3896.67)*0.25,IF(AP123&lt;=50416.67,4572.67+(AP123-19896.67)*0.30,13728.67+(AP123-50416.67)*0.35))))))</f>
        <v/>
      </c>
      <c r="AR123" s="6">
        <f>SUM(AM123,AQ123,W123,X123,Y123,Z123,AA123,AN123,AO123)</f>
        <v/>
      </c>
      <c r="AS123" s="6">
        <f>AL123-AR123</f>
        <v/>
      </c>
      <c r="AT123" s="6">
        <f>AB123-AC123</f>
        <v/>
      </c>
    </row>
    <row r="124">
      <c r="A124" s="2" t="n"/>
      <c r="B124" s="3" t="n"/>
      <c r="C124" s="4" t="n"/>
      <c r="D124" s="5" t="n"/>
      <c r="E124" s="3" t="n"/>
      <c r="F124" s="4" t="n"/>
      <c r="G124" s="5" t="n"/>
      <c r="H124" s="3" t="n"/>
      <c r="I124" s="4" t="n"/>
      <c r="J124" s="5" t="n"/>
      <c r="K124" s="3" t="n"/>
      <c r="L124" s="4" t="n"/>
      <c r="M124" s="5" t="n"/>
      <c r="N124" s="3" t="n"/>
      <c r="O124" s="4" t="n"/>
      <c r="P124" s="5" t="n"/>
      <c r="Q124" s="3" t="n"/>
      <c r="R124" s="4" t="n"/>
      <c r="S124" s="5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6">
        <f>IF(C124=0,0,IF(E124="",B124*D124/100,E124))</f>
        <v/>
      </c>
      <c r="AE124" s="6">
        <f>IF(F124=0,0,IF(H124="",B124*G124/100,H124))</f>
        <v/>
      </c>
      <c r="AF124" s="6">
        <f>IF(I124=0,0,IF(K124="",B124*J124/100,K124))</f>
        <v/>
      </c>
      <c r="AG124" s="6">
        <f>IF(L124=0,0,IF(N124="",B124*M124/100,N124))</f>
        <v/>
      </c>
      <c r="AH124" s="6">
        <f>IF(O124=0,0,IF(Q124="",B124*P124/100,Q124))</f>
        <v/>
      </c>
      <c r="AI124" s="6">
        <f>IF(R124=0,0,IF(T124="",B124*S124/100,T124))</f>
        <v/>
      </c>
      <c r="AJ124" s="6">
        <f>B124*0.035</f>
        <v/>
      </c>
      <c r="AK124" s="6">
        <f>B124*0.065</f>
        <v/>
      </c>
      <c r="AL124" s="6">
        <f>SUM(B124,AD124,AE124,AF124,AG124,AH124,AI124,U124,V124,AJ124,AK124)</f>
        <v/>
      </c>
      <c r="AM124" s="6">
        <f>B124*0.055</f>
        <v/>
      </c>
      <c r="AN124" s="6">
        <f>B124*0.035</f>
        <v/>
      </c>
      <c r="AO124" s="6">
        <f>B124*0.165</f>
        <v/>
      </c>
      <c r="AP124" s="6">
        <f>MAX(0,AL124-AM124-AO124)</f>
        <v/>
      </c>
      <c r="AQ124" s="6">
        <f>IF(AP124&lt;=490,0,IF(AP124&lt;=600,(AP124-490)*0.05,IF(AP124&lt;=730,5.5+(AP124-600)*0.10,IF(AP124&lt;=3896.67,18.5+(AP124-730)*0.175,IF(AP124&lt;=19896.67,572.67+(AP124-3896.67)*0.25,IF(AP124&lt;=50416.67,4572.67+(AP124-19896.67)*0.30,13728.67+(AP124-50416.67)*0.35))))))</f>
        <v/>
      </c>
      <c r="AR124" s="6">
        <f>SUM(AM124,AQ124,W124,X124,Y124,Z124,AA124,AN124,AO124)</f>
        <v/>
      </c>
      <c r="AS124" s="6">
        <f>AL124-AR124</f>
        <v/>
      </c>
      <c r="AT124" s="6">
        <f>AB124-AC124</f>
        <v/>
      </c>
    </row>
    <row r="125">
      <c r="A125" s="2" t="n"/>
      <c r="B125" s="3" t="n"/>
      <c r="C125" s="4" t="n"/>
      <c r="D125" s="5" t="n"/>
      <c r="E125" s="3" t="n"/>
      <c r="F125" s="4" t="n"/>
      <c r="G125" s="5" t="n"/>
      <c r="H125" s="3" t="n"/>
      <c r="I125" s="4" t="n"/>
      <c r="J125" s="5" t="n"/>
      <c r="K125" s="3" t="n"/>
      <c r="L125" s="4" t="n"/>
      <c r="M125" s="5" t="n"/>
      <c r="N125" s="3" t="n"/>
      <c r="O125" s="4" t="n"/>
      <c r="P125" s="5" t="n"/>
      <c r="Q125" s="3" t="n"/>
      <c r="R125" s="4" t="n"/>
      <c r="S125" s="5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6">
        <f>IF(C125=0,0,IF(E125="",B125*D125/100,E125))</f>
        <v/>
      </c>
      <c r="AE125" s="6">
        <f>IF(F125=0,0,IF(H125="",B125*G125/100,H125))</f>
        <v/>
      </c>
      <c r="AF125" s="6">
        <f>IF(I125=0,0,IF(K125="",B125*J125/100,K125))</f>
        <v/>
      </c>
      <c r="AG125" s="6">
        <f>IF(L125=0,0,IF(N125="",B125*M125/100,N125))</f>
        <v/>
      </c>
      <c r="AH125" s="6">
        <f>IF(O125=0,0,IF(Q125="",B125*P125/100,Q125))</f>
        <v/>
      </c>
      <c r="AI125" s="6">
        <f>IF(R125=0,0,IF(T125="",B125*S125/100,T125))</f>
        <v/>
      </c>
      <c r="AJ125" s="6">
        <f>B125*0.035</f>
        <v/>
      </c>
      <c r="AK125" s="6">
        <f>B125*0.065</f>
        <v/>
      </c>
      <c r="AL125" s="6">
        <f>SUM(B125,AD125,AE125,AF125,AG125,AH125,AI125,U125,V125,AJ125,AK125)</f>
        <v/>
      </c>
      <c r="AM125" s="6">
        <f>B125*0.055</f>
        <v/>
      </c>
      <c r="AN125" s="6">
        <f>B125*0.035</f>
        <v/>
      </c>
      <c r="AO125" s="6">
        <f>B125*0.165</f>
        <v/>
      </c>
      <c r="AP125" s="6">
        <f>MAX(0,AL125-AM125-AO125)</f>
        <v/>
      </c>
      <c r="AQ125" s="6">
        <f>IF(AP125&lt;=490,0,IF(AP125&lt;=600,(AP125-490)*0.05,IF(AP125&lt;=730,5.5+(AP125-600)*0.10,IF(AP125&lt;=3896.67,18.5+(AP125-730)*0.175,IF(AP125&lt;=19896.67,572.67+(AP125-3896.67)*0.25,IF(AP125&lt;=50416.67,4572.67+(AP125-19896.67)*0.30,13728.67+(AP125-50416.67)*0.35))))))</f>
        <v/>
      </c>
      <c r="AR125" s="6">
        <f>SUM(AM125,AQ125,W125,X125,Y125,Z125,AA125,AN125,AO125)</f>
        <v/>
      </c>
      <c r="AS125" s="6">
        <f>AL125-AR125</f>
        <v/>
      </c>
      <c r="AT125" s="6">
        <f>AB125-AC125</f>
        <v/>
      </c>
    </row>
    <row r="126">
      <c r="A126" s="2" t="n"/>
      <c r="B126" s="3" t="n"/>
      <c r="C126" s="4" t="n"/>
      <c r="D126" s="5" t="n"/>
      <c r="E126" s="3" t="n"/>
      <c r="F126" s="4" t="n"/>
      <c r="G126" s="5" t="n"/>
      <c r="H126" s="3" t="n"/>
      <c r="I126" s="4" t="n"/>
      <c r="J126" s="5" t="n"/>
      <c r="K126" s="3" t="n"/>
      <c r="L126" s="4" t="n"/>
      <c r="M126" s="5" t="n"/>
      <c r="N126" s="3" t="n"/>
      <c r="O126" s="4" t="n"/>
      <c r="P126" s="5" t="n"/>
      <c r="Q126" s="3" t="n"/>
      <c r="R126" s="4" t="n"/>
      <c r="S126" s="5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6">
        <f>IF(C126=0,0,IF(E126="",B126*D126/100,E126))</f>
        <v/>
      </c>
      <c r="AE126" s="6">
        <f>IF(F126=0,0,IF(H126="",B126*G126/100,H126))</f>
        <v/>
      </c>
      <c r="AF126" s="6">
        <f>IF(I126=0,0,IF(K126="",B126*J126/100,K126))</f>
        <v/>
      </c>
      <c r="AG126" s="6">
        <f>IF(L126=0,0,IF(N126="",B126*M126/100,N126))</f>
        <v/>
      </c>
      <c r="AH126" s="6">
        <f>IF(O126=0,0,IF(Q126="",B126*P126/100,Q126))</f>
        <v/>
      </c>
      <c r="AI126" s="6">
        <f>IF(R126=0,0,IF(T126="",B126*S126/100,T126))</f>
        <v/>
      </c>
      <c r="AJ126" s="6">
        <f>B126*0.035</f>
        <v/>
      </c>
      <c r="AK126" s="6">
        <f>B126*0.065</f>
        <v/>
      </c>
      <c r="AL126" s="6">
        <f>SUM(B126,AD126,AE126,AF126,AG126,AH126,AI126,U126,V126,AJ126,AK126)</f>
        <v/>
      </c>
      <c r="AM126" s="6">
        <f>B126*0.055</f>
        <v/>
      </c>
      <c r="AN126" s="6">
        <f>B126*0.035</f>
        <v/>
      </c>
      <c r="AO126" s="6">
        <f>B126*0.165</f>
        <v/>
      </c>
      <c r="AP126" s="6">
        <f>MAX(0,AL126-AM126-AO126)</f>
        <v/>
      </c>
      <c r="AQ126" s="6">
        <f>IF(AP126&lt;=490,0,IF(AP126&lt;=600,(AP126-490)*0.05,IF(AP126&lt;=730,5.5+(AP126-600)*0.10,IF(AP126&lt;=3896.67,18.5+(AP126-730)*0.175,IF(AP126&lt;=19896.67,572.67+(AP126-3896.67)*0.25,IF(AP126&lt;=50416.67,4572.67+(AP126-19896.67)*0.30,13728.67+(AP126-50416.67)*0.35))))))</f>
        <v/>
      </c>
      <c r="AR126" s="6">
        <f>SUM(AM126,AQ126,W126,X126,Y126,Z126,AA126,AN126,AO126)</f>
        <v/>
      </c>
      <c r="AS126" s="6">
        <f>AL126-AR126</f>
        <v/>
      </c>
      <c r="AT126" s="6">
        <f>AB126-AC126</f>
        <v/>
      </c>
    </row>
    <row r="127">
      <c r="A127" s="2" t="n"/>
      <c r="B127" s="3" t="n"/>
      <c r="C127" s="4" t="n"/>
      <c r="D127" s="5" t="n"/>
      <c r="E127" s="3" t="n"/>
      <c r="F127" s="4" t="n"/>
      <c r="G127" s="5" t="n"/>
      <c r="H127" s="3" t="n"/>
      <c r="I127" s="4" t="n"/>
      <c r="J127" s="5" t="n"/>
      <c r="K127" s="3" t="n"/>
      <c r="L127" s="4" t="n"/>
      <c r="M127" s="5" t="n"/>
      <c r="N127" s="3" t="n"/>
      <c r="O127" s="4" t="n"/>
      <c r="P127" s="5" t="n"/>
      <c r="Q127" s="3" t="n"/>
      <c r="R127" s="4" t="n"/>
      <c r="S127" s="5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6">
        <f>IF(C127=0,0,IF(E127="",B127*D127/100,E127))</f>
        <v/>
      </c>
      <c r="AE127" s="6">
        <f>IF(F127=0,0,IF(H127="",B127*G127/100,H127))</f>
        <v/>
      </c>
      <c r="AF127" s="6">
        <f>IF(I127=0,0,IF(K127="",B127*J127/100,K127))</f>
        <v/>
      </c>
      <c r="AG127" s="6">
        <f>IF(L127=0,0,IF(N127="",B127*M127/100,N127))</f>
        <v/>
      </c>
      <c r="AH127" s="6">
        <f>IF(O127=0,0,IF(Q127="",B127*P127/100,Q127))</f>
        <v/>
      </c>
      <c r="AI127" s="6">
        <f>IF(R127=0,0,IF(T127="",B127*S127/100,T127))</f>
        <v/>
      </c>
      <c r="AJ127" s="6">
        <f>B127*0.035</f>
        <v/>
      </c>
      <c r="AK127" s="6">
        <f>B127*0.065</f>
        <v/>
      </c>
      <c r="AL127" s="6">
        <f>SUM(B127,AD127,AE127,AF127,AG127,AH127,AI127,U127,V127,AJ127,AK127)</f>
        <v/>
      </c>
      <c r="AM127" s="6">
        <f>B127*0.055</f>
        <v/>
      </c>
      <c r="AN127" s="6">
        <f>B127*0.035</f>
        <v/>
      </c>
      <c r="AO127" s="6">
        <f>B127*0.165</f>
        <v/>
      </c>
      <c r="AP127" s="6">
        <f>MAX(0,AL127-AM127-AO127)</f>
        <v/>
      </c>
      <c r="AQ127" s="6">
        <f>IF(AP127&lt;=490,0,IF(AP127&lt;=600,(AP127-490)*0.05,IF(AP127&lt;=730,5.5+(AP127-600)*0.10,IF(AP127&lt;=3896.67,18.5+(AP127-730)*0.175,IF(AP127&lt;=19896.67,572.67+(AP127-3896.67)*0.25,IF(AP127&lt;=50416.67,4572.67+(AP127-19896.67)*0.30,13728.67+(AP127-50416.67)*0.35))))))</f>
        <v/>
      </c>
      <c r="AR127" s="6">
        <f>SUM(AM127,AQ127,W127,X127,Y127,Z127,AA127,AN127,AO127)</f>
        <v/>
      </c>
      <c r="AS127" s="6">
        <f>AL127-AR127</f>
        <v/>
      </c>
      <c r="AT127" s="6">
        <f>AB127-AC127</f>
        <v/>
      </c>
    </row>
    <row r="128">
      <c r="A128" s="2" t="n"/>
      <c r="B128" s="3" t="n"/>
      <c r="C128" s="4" t="n"/>
      <c r="D128" s="5" t="n"/>
      <c r="E128" s="3" t="n"/>
      <c r="F128" s="4" t="n"/>
      <c r="G128" s="5" t="n"/>
      <c r="H128" s="3" t="n"/>
      <c r="I128" s="4" t="n"/>
      <c r="J128" s="5" t="n"/>
      <c r="K128" s="3" t="n"/>
      <c r="L128" s="4" t="n"/>
      <c r="M128" s="5" t="n"/>
      <c r="N128" s="3" t="n"/>
      <c r="O128" s="4" t="n"/>
      <c r="P128" s="5" t="n"/>
      <c r="Q128" s="3" t="n"/>
      <c r="R128" s="4" t="n"/>
      <c r="S128" s="5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6">
        <f>IF(C128=0,0,IF(E128="",B128*D128/100,E128))</f>
        <v/>
      </c>
      <c r="AE128" s="6">
        <f>IF(F128=0,0,IF(H128="",B128*G128/100,H128))</f>
        <v/>
      </c>
      <c r="AF128" s="6">
        <f>IF(I128=0,0,IF(K128="",B128*J128/100,K128))</f>
        <v/>
      </c>
      <c r="AG128" s="6">
        <f>IF(L128=0,0,IF(N128="",B128*M128/100,N128))</f>
        <v/>
      </c>
      <c r="AH128" s="6">
        <f>IF(O128=0,0,IF(Q128="",B128*P128/100,Q128))</f>
        <v/>
      </c>
      <c r="AI128" s="6">
        <f>IF(R128=0,0,IF(T128="",B128*S128/100,T128))</f>
        <v/>
      </c>
      <c r="AJ128" s="6">
        <f>B128*0.035</f>
        <v/>
      </c>
      <c r="AK128" s="6">
        <f>B128*0.065</f>
        <v/>
      </c>
      <c r="AL128" s="6">
        <f>SUM(B128,AD128,AE128,AF128,AG128,AH128,AI128,U128,V128,AJ128,AK128)</f>
        <v/>
      </c>
      <c r="AM128" s="6">
        <f>B128*0.055</f>
        <v/>
      </c>
      <c r="AN128" s="6">
        <f>B128*0.035</f>
        <v/>
      </c>
      <c r="AO128" s="6">
        <f>B128*0.165</f>
        <v/>
      </c>
      <c r="AP128" s="6">
        <f>MAX(0,AL128-AM128-AO128)</f>
        <v/>
      </c>
      <c r="AQ128" s="6">
        <f>IF(AP128&lt;=490,0,IF(AP128&lt;=600,(AP128-490)*0.05,IF(AP128&lt;=730,5.5+(AP128-600)*0.10,IF(AP128&lt;=3896.67,18.5+(AP128-730)*0.175,IF(AP128&lt;=19896.67,572.67+(AP128-3896.67)*0.25,IF(AP128&lt;=50416.67,4572.67+(AP128-19896.67)*0.30,13728.67+(AP128-50416.67)*0.35))))))</f>
        <v/>
      </c>
      <c r="AR128" s="6">
        <f>SUM(AM128,AQ128,W128,X128,Y128,Z128,AA128,AN128,AO128)</f>
        <v/>
      </c>
      <c r="AS128" s="6">
        <f>AL128-AR128</f>
        <v/>
      </c>
      <c r="AT128" s="6">
        <f>AB128-AC128</f>
        <v/>
      </c>
    </row>
    <row r="129">
      <c r="A129" s="2" t="n"/>
      <c r="B129" s="3" t="n"/>
      <c r="C129" s="4" t="n"/>
      <c r="D129" s="5" t="n"/>
      <c r="E129" s="3" t="n"/>
      <c r="F129" s="4" t="n"/>
      <c r="G129" s="5" t="n"/>
      <c r="H129" s="3" t="n"/>
      <c r="I129" s="4" t="n"/>
      <c r="J129" s="5" t="n"/>
      <c r="K129" s="3" t="n"/>
      <c r="L129" s="4" t="n"/>
      <c r="M129" s="5" t="n"/>
      <c r="N129" s="3" t="n"/>
      <c r="O129" s="4" t="n"/>
      <c r="P129" s="5" t="n"/>
      <c r="Q129" s="3" t="n"/>
      <c r="R129" s="4" t="n"/>
      <c r="S129" s="5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6">
        <f>IF(C129=0,0,IF(E129="",B129*D129/100,E129))</f>
        <v/>
      </c>
      <c r="AE129" s="6">
        <f>IF(F129=0,0,IF(H129="",B129*G129/100,H129))</f>
        <v/>
      </c>
      <c r="AF129" s="6">
        <f>IF(I129=0,0,IF(K129="",B129*J129/100,K129))</f>
        <v/>
      </c>
      <c r="AG129" s="6">
        <f>IF(L129=0,0,IF(N129="",B129*M129/100,N129))</f>
        <v/>
      </c>
      <c r="AH129" s="6">
        <f>IF(O129=0,0,IF(Q129="",B129*P129/100,Q129))</f>
        <v/>
      </c>
      <c r="AI129" s="6">
        <f>IF(R129=0,0,IF(T129="",B129*S129/100,T129))</f>
        <v/>
      </c>
      <c r="AJ129" s="6">
        <f>B129*0.035</f>
        <v/>
      </c>
      <c r="AK129" s="6">
        <f>B129*0.065</f>
        <v/>
      </c>
      <c r="AL129" s="6">
        <f>SUM(B129,AD129,AE129,AF129,AG129,AH129,AI129,U129,V129,AJ129,AK129)</f>
        <v/>
      </c>
      <c r="AM129" s="6">
        <f>B129*0.055</f>
        <v/>
      </c>
      <c r="AN129" s="6">
        <f>B129*0.035</f>
        <v/>
      </c>
      <c r="AO129" s="6">
        <f>B129*0.165</f>
        <v/>
      </c>
      <c r="AP129" s="6">
        <f>MAX(0,AL129-AM129-AO129)</f>
        <v/>
      </c>
      <c r="AQ129" s="6">
        <f>IF(AP129&lt;=490,0,IF(AP129&lt;=600,(AP129-490)*0.05,IF(AP129&lt;=730,5.5+(AP129-600)*0.10,IF(AP129&lt;=3896.67,18.5+(AP129-730)*0.175,IF(AP129&lt;=19896.67,572.67+(AP129-3896.67)*0.25,IF(AP129&lt;=50416.67,4572.67+(AP129-19896.67)*0.30,13728.67+(AP129-50416.67)*0.35))))))</f>
        <v/>
      </c>
      <c r="AR129" s="6">
        <f>SUM(AM129,AQ129,W129,X129,Y129,Z129,AA129,AN129,AO129)</f>
        <v/>
      </c>
      <c r="AS129" s="6">
        <f>AL129-AR129</f>
        <v/>
      </c>
      <c r="AT129" s="6">
        <f>AB129-AC129</f>
        <v/>
      </c>
    </row>
    <row r="130">
      <c r="A130" s="2" t="n"/>
      <c r="B130" s="3" t="n"/>
      <c r="C130" s="4" t="n"/>
      <c r="D130" s="5" t="n"/>
      <c r="E130" s="3" t="n"/>
      <c r="F130" s="4" t="n"/>
      <c r="G130" s="5" t="n"/>
      <c r="H130" s="3" t="n"/>
      <c r="I130" s="4" t="n"/>
      <c r="J130" s="5" t="n"/>
      <c r="K130" s="3" t="n"/>
      <c r="L130" s="4" t="n"/>
      <c r="M130" s="5" t="n"/>
      <c r="N130" s="3" t="n"/>
      <c r="O130" s="4" t="n"/>
      <c r="P130" s="5" t="n"/>
      <c r="Q130" s="3" t="n"/>
      <c r="R130" s="4" t="n"/>
      <c r="S130" s="5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6">
        <f>IF(C130=0,0,IF(E130="",B130*D130/100,E130))</f>
        <v/>
      </c>
      <c r="AE130" s="6">
        <f>IF(F130=0,0,IF(H130="",B130*G130/100,H130))</f>
        <v/>
      </c>
      <c r="AF130" s="6">
        <f>IF(I130=0,0,IF(K130="",B130*J130/100,K130))</f>
        <v/>
      </c>
      <c r="AG130" s="6">
        <f>IF(L130=0,0,IF(N130="",B130*M130/100,N130))</f>
        <v/>
      </c>
      <c r="AH130" s="6">
        <f>IF(O130=0,0,IF(Q130="",B130*P130/100,Q130))</f>
        <v/>
      </c>
      <c r="AI130" s="6">
        <f>IF(R130=0,0,IF(T130="",B130*S130/100,T130))</f>
        <v/>
      </c>
      <c r="AJ130" s="6">
        <f>B130*0.035</f>
        <v/>
      </c>
      <c r="AK130" s="6">
        <f>B130*0.065</f>
        <v/>
      </c>
      <c r="AL130" s="6">
        <f>SUM(B130,AD130,AE130,AF130,AG130,AH130,AI130,U130,V130,AJ130,AK130)</f>
        <v/>
      </c>
      <c r="AM130" s="6">
        <f>B130*0.055</f>
        <v/>
      </c>
      <c r="AN130" s="6">
        <f>B130*0.035</f>
        <v/>
      </c>
      <c r="AO130" s="6">
        <f>B130*0.165</f>
        <v/>
      </c>
      <c r="AP130" s="6">
        <f>MAX(0,AL130-AM130-AO130)</f>
        <v/>
      </c>
      <c r="AQ130" s="6">
        <f>IF(AP130&lt;=490,0,IF(AP130&lt;=600,(AP130-490)*0.05,IF(AP130&lt;=730,5.5+(AP130-600)*0.10,IF(AP130&lt;=3896.67,18.5+(AP130-730)*0.175,IF(AP130&lt;=19896.67,572.67+(AP130-3896.67)*0.25,IF(AP130&lt;=50416.67,4572.67+(AP130-19896.67)*0.30,13728.67+(AP130-50416.67)*0.35))))))</f>
        <v/>
      </c>
      <c r="AR130" s="6">
        <f>SUM(AM130,AQ130,W130,X130,Y130,Z130,AA130,AN130,AO130)</f>
        <v/>
      </c>
      <c r="AS130" s="6">
        <f>AL130-AR130</f>
        <v/>
      </c>
      <c r="AT130" s="6">
        <f>AB130-AC130</f>
        <v/>
      </c>
    </row>
    <row r="131">
      <c r="A131" s="2" t="n"/>
      <c r="B131" s="3" t="n"/>
      <c r="C131" s="4" t="n"/>
      <c r="D131" s="5" t="n"/>
      <c r="E131" s="3" t="n"/>
      <c r="F131" s="4" t="n"/>
      <c r="G131" s="5" t="n"/>
      <c r="H131" s="3" t="n"/>
      <c r="I131" s="4" t="n"/>
      <c r="J131" s="5" t="n"/>
      <c r="K131" s="3" t="n"/>
      <c r="L131" s="4" t="n"/>
      <c r="M131" s="5" t="n"/>
      <c r="N131" s="3" t="n"/>
      <c r="O131" s="4" t="n"/>
      <c r="P131" s="5" t="n"/>
      <c r="Q131" s="3" t="n"/>
      <c r="R131" s="4" t="n"/>
      <c r="S131" s="5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6">
        <f>IF(C131=0,0,IF(E131="",B131*D131/100,E131))</f>
        <v/>
      </c>
      <c r="AE131" s="6">
        <f>IF(F131=0,0,IF(H131="",B131*G131/100,H131))</f>
        <v/>
      </c>
      <c r="AF131" s="6">
        <f>IF(I131=0,0,IF(K131="",B131*J131/100,K131))</f>
        <v/>
      </c>
      <c r="AG131" s="6">
        <f>IF(L131=0,0,IF(N131="",B131*M131/100,N131))</f>
        <v/>
      </c>
      <c r="AH131" s="6">
        <f>IF(O131=0,0,IF(Q131="",B131*P131/100,Q131))</f>
        <v/>
      </c>
      <c r="AI131" s="6">
        <f>IF(R131=0,0,IF(T131="",B131*S131/100,T131))</f>
        <v/>
      </c>
      <c r="AJ131" s="6">
        <f>B131*0.035</f>
        <v/>
      </c>
      <c r="AK131" s="6">
        <f>B131*0.065</f>
        <v/>
      </c>
      <c r="AL131" s="6">
        <f>SUM(B131,AD131,AE131,AF131,AG131,AH131,AI131,U131,V131,AJ131,AK131)</f>
        <v/>
      </c>
      <c r="AM131" s="6">
        <f>B131*0.055</f>
        <v/>
      </c>
      <c r="AN131" s="6">
        <f>B131*0.035</f>
        <v/>
      </c>
      <c r="AO131" s="6">
        <f>B131*0.165</f>
        <v/>
      </c>
      <c r="AP131" s="6">
        <f>MAX(0,AL131-AM131-AO131)</f>
        <v/>
      </c>
      <c r="AQ131" s="6">
        <f>IF(AP131&lt;=490,0,IF(AP131&lt;=600,(AP131-490)*0.05,IF(AP131&lt;=730,5.5+(AP131-600)*0.10,IF(AP131&lt;=3896.67,18.5+(AP131-730)*0.175,IF(AP131&lt;=19896.67,572.67+(AP131-3896.67)*0.25,IF(AP131&lt;=50416.67,4572.67+(AP131-19896.67)*0.30,13728.67+(AP131-50416.67)*0.35))))))</f>
        <v/>
      </c>
      <c r="AR131" s="6">
        <f>SUM(AM131,AQ131,W131,X131,Y131,Z131,AA131,AN131,AO131)</f>
        <v/>
      </c>
      <c r="AS131" s="6">
        <f>AL131-AR131</f>
        <v/>
      </c>
      <c r="AT131" s="6">
        <f>AB131-AC131</f>
        <v/>
      </c>
    </row>
    <row r="132">
      <c r="A132" s="2" t="n"/>
      <c r="B132" s="3" t="n"/>
      <c r="C132" s="4" t="n"/>
      <c r="D132" s="5" t="n"/>
      <c r="E132" s="3" t="n"/>
      <c r="F132" s="4" t="n"/>
      <c r="G132" s="5" t="n"/>
      <c r="H132" s="3" t="n"/>
      <c r="I132" s="4" t="n"/>
      <c r="J132" s="5" t="n"/>
      <c r="K132" s="3" t="n"/>
      <c r="L132" s="4" t="n"/>
      <c r="M132" s="5" t="n"/>
      <c r="N132" s="3" t="n"/>
      <c r="O132" s="4" t="n"/>
      <c r="P132" s="5" t="n"/>
      <c r="Q132" s="3" t="n"/>
      <c r="R132" s="4" t="n"/>
      <c r="S132" s="5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6">
        <f>IF(C132=0,0,IF(E132="",B132*D132/100,E132))</f>
        <v/>
      </c>
      <c r="AE132" s="6">
        <f>IF(F132=0,0,IF(H132="",B132*G132/100,H132))</f>
        <v/>
      </c>
      <c r="AF132" s="6">
        <f>IF(I132=0,0,IF(K132="",B132*J132/100,K132))</f>
        <v/>
      </c>
      <c r="AG132" s="6">
        <f>IF(L132=0,0,IF(N132="",B132*M132/100,N132))</f>
        <v/>
      </c>
      <c r="AH132" s="6">
        <f>IF(O132=0,0,IF(Q132="",B132*P132/100,Q132))</f>
        <v/>
      </c>
      <c r="AI132" s="6">
        <f>IF(R132=0,0,IF(T132="",B132*S132/100,T132))</f>
        <v/>
      </c>
      <c r="AJ132" s="6">
        <f>B132*0.035</f>
        <v/>
      </c>
      <c r="AK132" s="6">
        <f>B132*0.065</f>
        <v/>
      </c>
      <c r="AL132" s="6">
        <f>SUM(B132,AD132,AE132,AF132,AG132,AH132,AI132,U132,V132,AJ132,AK132)</f>
        <v/>
      </c>
      <c r="AM132" s="6">
        <f>B132*0.055</f>
        <v/>
      </c>
      <c r="AN132" s="6">
        <f>B132*0.035</f>
        <v/>
      </c>
      <c r="AO132" s="6">
        <f>B132*0.165</f>
        <v/>
      </c>
      <c r="AP132" s="6">
        <f>MAX(0,AL132-AM132-AO132)</f>
        <v/>
      </c>
      <c r="AQ132" s="6">
        <f>IF(AP132&lt;=490,0,IF(AP132&lt;=600,(AP132-490)*0.05,IF(AP132&lt;=730,5.5+(AP132-600)*0.10,IF(AP132&lt;=3896.67,18.5+(AP132-730)*0.175,IF(AP132&lt;=19896.67,572.67+(AP132-3896.67)*0.25,IF(AP132&lt;=50416.67,4572.67+(AP132-19896.67)*0.30,13728.67+(AP132-50416.67)*0.35))))))</f>
        <v/>
      </c>
      <c r="AR132" s="6">
        <f>SUM(AM132,AQ132,W132,X132,Y132,Z132,AA132,AN132,AO132)</f>
        <v/>
      </c>
      <c r="AS132" s="6">
        <f>AL132-AR132</f>
        <v/>
      </c>
      <c r="AT132" s="6">
        <f>AB132-AC132</f>
        <v/>
      </c>
    </row>
    <row r="133">
      <c r="A133" s="2" t="n"/>
      <c r="B133" s="3" t="n"/>
      <c r="C133" s="4" t="n"/>
      <c r="D133" s="5" t="n"/>
      <c r="E133" s="3" t="n"/>
      <c r="F133" s="4" t="n"/>
      <c r="G133" s="5" t="n"/>
      <c r="H133" s="3" t="n"/>
      <c r="I133" s="4" t="n"/>
      <c r="J133" s="5" t="n"/>
      <c r="K133" s="3" t="n"/>
      <c r="L133" s="4" t="n"/>
      <c r="M133" s="5" t="n"/>
      <c r="N133" s="3" t="n"/>
      <c r="O133" s="4" t="n"/>
      <c r="P133" s="5" t="n"/>
      <c r="Q133" s="3" t="n"/>
      <c r="R133" s="4" t="n"/>
      <c r="S133" s="5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6">
        <f>IF(C133=0,0,IF(E133="",B133*D133/100,E133))</f>
        <v/>
      </c>
      <c r="AE133" s="6">
        <f>IF(F133=0,0,IF(H133="",B133*G133/100,H133))</f>
        <v/>
      </c>
      <c r="AF133" s="6">
        <f>IF(I133=0,0,IF(K133="",B133*J133/100,K133))</f>
        <v/>
      </c>
      <c r="AG133" s="6">
        <f>IF(L133=0,0,IF(N133="",B133*M133/100,N133))</f>
        <v/>
      </c>
      <c r="AH133" s="6">
        <f>IF(O133=0,0,IF(Q133="",B133*P133/100,Q133))</f>
        <v/>
      </c>
      <c r="AI133" s="6">
        <f>IF(R133=0,0,IF(T133="",B133*S133/100,T133))</f>
        <v/>
      </c>
      <c r="AJ133" s="6">
        <f>B133*0.035</f>
        <v/>
      </c>
      <c r="AK133" s="6">
        <f>B133*0.065</f>
        <v/>
      </c>
      <c r="AL133" s="6">
        <f>SUM(B133,AD133,AE133,AF133,AG133,AH133,AI133,U133,V133,AJ133,AK133)</f>
        <v/>
      </c>
      <c r="AM133" s="6">
        <f>B133*0.055</f>
        <v/>
      </c>
      <c r="AN133" s="6">
        <f>B133*0.035</f>
        <v/>
      </c>
      <c r="AO133" s="6">
        <f>B133*0.165</f>
        <v/>
      </c>
      <c r="AP133" s="6">
        <f>MAX(0,AL133-AM133-AO133)</f>
        <v/>
      </c>
      <c r="AQ133" s="6">
        <f>IF(AP133&lt;=490,0,IF(AP133&lt;=600,(AP133-490)*0.05,IF(AP133&lt;=730,5.5+(AP133-600)*0.10,IF(AP133&lt;=3896.67,18.5+(AP133-730)*0.175,IF(AP133&lt;=19896.67,572.67+(AP133-3896.67)*0.25,IF(AP133&lt;=50416.67,4572.67+(AP133-19896.67)*0.30,13728.67+(AP133-50416.67)*0.35))))))</f>
        <v/>
      </c>
      <c r="AR133" s="6">
        <f>SUM(AM133,AQ133,W133,X133,Y133,Z133,AA133,AN133,AO133)</f>
        <v/>
      </c>
      <c r="AS133" s="6">
        <f>AL133-AR133</f>
        <v/>
      </c>
      <c r="AT133" s="6">
        <f>AB133-AC133</f>
        <v/>
      </c>
    </row>
    <row r="134">
      <c r="A134" s="2" t="n"/>
      <c r="B134" s="3" t="n"/>
      <c r="C134" s="4" t="n"/>
      <c r="D134" s="5" t="n"/>
      <c r="E134" s="3" t="n"/>
      <c r="F134" s="4" t="n"/>
      <c r="G134" s="5" t="n"/>
      <c r="H134" s="3" t="n"/>
      <c r="I134" s="4" t="n"/>
      <c r="J134" s="5" t="n"/>
      <c r="K134" s="3" t="n"/>
      <c r="L134" s="4" t="n"/>
      <c r="M134" s="5" t="n"/>
      <c r="N134" s="3" t="n"/>
      <c r="O134" s="4" t="n"/>
      <c r="P134" s="5" t="n"/>
      <c r="Q134" s="3" t="n"/>
      <c r="R134" s="4" t="n"/>
      <c r="S134" s="5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6">
        <f>IF(C134=0,0,IF(E134="",B134*D134/100,E134))</f>
        <v/>
      </c>
      <c r="AE134" s="6">
        <f>IF(F134=0,0,IF(H134="",B134*G134/100,H134))</f>
        <v/>
      </c>
      <c r="AF134" s="6">
        <f>IF(I134=0,0,IF(K134="",B134*J134/100,K134))</f>
        <v/>
      </c>
      <c r="AG134" s="6">
        <f>IF(L134=0,0,IF(N134="",B134*M134/100,N134))</f>
        <v/>
      </c>
      <c r="AH134" s="6">
        <f>IF(O134=0,0,IF(Q134="",B134*P134/100,Q134))</f>
        <v/>
      </c>
      <c r="AI134" s="6">
        <f>IF(R134=0,0,IF(T134="",B134*S134/100,T134))</f>
        <v/>
      </c>
      <c r="AJ134" s="6">
        <f>B134*0.035</f>
        <v/>
      </c>
      <c r="AK134" s="6">
        <f>B134*0.065</f>
        <v/>
      </c>
      <c r="AL134" s="6">
        <f>SUM(B134,AD134,AE134,AF134,AG134,AH134,AI134,U134,V134,AJ134,AK134)</f>
        <v/>
      </c>
      <c r="AM134" s="6">
        <f>B134*0.055</f>
        <v/>
      </c>
      <c r="AN134" s="6">
        <f>B134*0.035</f>
        <v/>
      </c>
      <c r="AO134" s="6">
        <f>B134*0.165</f>
        <v/>
      </c>
      <c r="AP134" s="6">
        <f>MAX(0,AL134-AM134-AO134)</f>
        <v/>
      </c>
      <c r="AQ134" s="6">
        <f>IF(AP134&lt;=490,0,IF(AP134&lt;=600,(AP134-490)*0.05,IF(AP134&lt;=730,5.5+(AP134-600)*0.10,IF(AP134&lt;=3896.67,18.5+(AP134-730)*0.175,IF(AP134&lt;=19896.67,572.67+(AP134-3896.67)*0.25,IF(AP134&lt;=50416.67,4572.67+(AP134-19896.67)*0.30,13728.67+(AP134-50416.67)*0.35))))))</f>
        <v/>
      </c>
      <c r="AR134" s="6">
        <f>SUM(AM134,AQ134,W134,X134,Y134,Z134,AA134,AN134,AO134)</f>
        <v/>
      </c>
      <c r="AS134" s="6">
        <f>AL134-AR134</f>
        <v/>
      </c>
      <c r="AT134" s="6">
        <f>AB134-AC134</f>
        <v/>
      </c>
    </row>
    <row r="135">
      <c r="A135" s="2" t="n"/>
      <c r="B135" s="3" t="n"/>
      <c r="C135" s="4" t="n"/>
      <c r="D135" s="5" t="n"/>
      <c r="E135" s="3" t="n"/>
      <c r="F135" s="4" t="n"/>
      <c r="G135" s="5" t="n"/>
      <c r="H135" s="3" t="n"/>
      <c r="I135" s="4" t="n"/>
      <c r="J135" s="5" t="n"/>
      <c r="K135" s="3" t="n"/>
      <c r="L135" s="4" t="n"/>
      <c r="M135" s="5" t="n"/>
      <c r="N135" s="3" t="n"/>
      <c r="O135" s="4" t="n"/>
      <c r="P135" s="5" t="n"/>
      <c r="Q135" s="3" t="n"/>
      <c r="R135" s="4" t="n"/>
      <c r="S135" s="5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6">
        <f>IF(C135=0,0,IF(E135="",B135*D135/100,E135))</f>
        <v/>
      </c>
      <c r="AE135" s="6">
        <f>IF(F135=0,0,IF(H135="",B135*G135/100,H135))</f>
        <v/>
      </c>
      <c r="AF135" s="6">
        <f>IF(I135=0,0,IF(K135="",B135*J135/100,K135))</f>
        <v/>
      </c>
      <c r="AG135" s="6">
        <f>IF(L135=0,0,IF(N135="",B135*M135/100,N135))</f>
        <v/>
      </c>
      <c r="AH135" s="6">
        <f>IF(O135=0,0,IF(Q135="",B135*P135/100,Q135))</f>
        <v/>
      </c>
      <c r="AI135" s="6">
        <f>IF(R135=0,0,IF(T135="",B135*S135/100,T135))</f>
        <v/>
      </c>
      <c r="AJ135" s="6">
        <f>B135*0.035</f>
        <v/>
      </c>
      <c r="AK135" s="6">
        <f>B135*0.065</f>
        <v/>
      </c>
      <c r="AL135" s="6">
        <f>SUM(B135,AD135,AE135,AF135,AG135,AH135,AI135,U135,V135,AJ135,AK135)</f>
        <v/>
      </c>
      <c r="AM135" s="6">
        <f>B135*0.055</f>
        <v/>
      </c>
      <c r="AN135" s="6">
        <f>B135*0.035</f>
        <v/>
      </c>
      <c r="AO135" s="6">
        <f>B135*0.165</f>
        <v/>
      </c>
      <c r="AP135" s="6">
        <f>MAX(0,AL135-AM135-AO135)</f>
        <v/>
      </c>
      <c r="AQ135" s="6">
        <f>IF(AP135&lt;=490,0,IF(AP135&lt;=600,(AP135-490)*0.05,IF(AP135&lt;=730,5.5+(AP135-600)*0.10,IF(AP135&lt;=3896.67,18.5+(AP135-730)*0.175,IF(AP135&lt;=19896.67,572.67+(AP135-3896.67)*0.25,IF(AP135&lt;=50416.67,4572.67+(AP135-19896.67)*0.30,13728.67+(AP135-50416.67)*0.35))))))</f>
        <v/>
      </c>
      <c r="AR135" s="6">
        <f>SUM(AM135,AQ135,W135,X135,Y135,Z135,AA135,AN135,AO135)</f>
        <v/>
      </c>
      <c r="AS135" s="6">
        <f>AL135-AR135</f>
        <v/>
      </c>
      <c r="AT135" s="6">
        <f>AB135-AC135</f>
        <v/>
      </c>
    </row>
    <row r="136">
      <c r="A136" s="2" t="n"/>
      <c r="B136" s="3" t="n"/>
      <c r="C136" s="4" t="n"/>
      <c r="D136" s="5" t="n"/>
      <c r="E136" s="3" t="n"/>
      <c r="F136" s="4" t="n"/>
      <c r="G136" s="5" t="n"/>
      <c r="H136" s="3" t="n"/>
      <c r="I136" s="4" t="n"/>
      <c r="J136" s="5" t="n"/>
      <c r="K136" s="3" t="n"/>
      <c r="L136" s="4" t="n"/>
      <c r="M136" s="5" t="n"/>
      <c r="N136" s="3" t="n"/>
      <c r="O136" s="4" t="n"/>
      <c r="P136" s="5" t="n"/>
      <c r="Q136" s="3" t="n"/>
      <c r="R136" s="4" t="n"/>
      <c r="S136" s="5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6">
        <f>IF(C136=0,0,IF(E136="",B136*D136/100,E136))</f>
        <v/>
      </c>
      <c r="AE136" s="6">
        <f>IF(F136=0,0,IF(H136="",B136*G136/100,H136))</f>
        <v/>
      </c>
      <c r="AF136" s="6">
        <f>IF(I136=0,0,IF(K136="",B136*J136/100,K136))</f>
        <v/>
      </c>
      <c r="AG136" s="6">
        <f>IF(L136=0,0,IF(N136="",B136*M136/100,N136))</f>
        <v/>
      </c>
      <c r="AH136" s="6">
        <f>IF(O136=0,0,IF(Q136="",B136*P136/100,Q136))</f>
        <v/>
      </c>
      <c r="AI136" s="6">
        <f>IF(R136=0,0,IF(T136="",B136*S136/100,T136))</f>
        <v/>
      </c>
      <c r="AJ136" s="6">
        <f>B136*0.035</f>
        <v/>
      </c>
      <c r="AK136" s="6">
        <f>B136*0.065</f>
        <v/>
      </c>
      <c r="AL136" s="6">
        <f>SUM(B136,AD136,AE136,AF136,AG136,AH136,AI136,U136,V136,AJ136,AK136)</f>
        <v/>
      </c>
      <c r="AM136" s="6">
        <f>B136*0.055</f>
        <v/>
      </c>
      <c r="AN136" s="6">
        <f>B136*0.035</f>
        <v/>
      </c>
      <c r="AO136" s="6">
        <f>B136*0.165</f>
        <v/>
      </c>
      <c r="AP136" s="6">
        <f>MAX(0,AL136-AM136-AO136)</f>
        <v/>
      </c>
      <c r="AQ136" s="6">
        <f>IF(AP136&lt;=490,0,IF(AP136&lt;=600,(AP136-490)*0.05,IF(AP136&lt;=730,5.5+(AP136-600)*0.10,IF(AP136&lt;=3896.67,18.5+(AP136-730)*0.175,IF(AP136&lt;=19896.67,572.67+(AP136-3896.67)*0.25,IF(AP136&lt;=50416.67,4572.67+(AP136-19896.67)*0.30,13728.67+(AP136-50416.67)*0.35))))))</f>
        <v/>
      </c>
      <c r="AR136" s="6">
        <f>SUM(AM136,AQ136,W136,X136,Y136,Z136,AA136,AN136,AO136)</f>
        <v/>
      </c>
      <c r="AS136" s="6">
        <f>AL136-AR136</f>
        <v/>
      </c>
      <c r="AT136" s="6">
        <f>AB136-AC136</f>
        <v/>
      </c>
    </row>
    <row r="137">
      <c r="A137" s="2" t="n"/>
      <c r="B137" s="3" t="n"/>
      <c r="C137" s="4" t="n"/>
      <c r="D137" s="5" t="n"/>
      <c r="E137" s="3" t="n"/>
      <c r="F137" s="4" t="n"/>
      <c r="G137" s="5" t="n"/>
      <c r="H137" s="3" t="n"/>
      <c r="I137" s="4" t="n"/>
      <c r="J137" s="5" t="n"/>
      <c r="K137" s="3" t="n"/>
      <c r="L137" s="4" t="n"/>
      <c r="M137" s="5" t="n"/>
      <c r="N137" s="3" t="n"/>
      <c r="O137" s="4" t="n"/>
      <c r="P137" s="5" t="n"/>
      <c r="Q137" s="3" t="n"/>
      <c r="R137" s="4" t="n"/>
      <c r="S137" s="5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6">
        <f>IF(C137=0,0,IF(E137="",B137*D137/100,E137))</f>
        <v/>
      </c>
      <c r="AE137" s="6">
        <f>IF(F137=0,0,IF(H137="",B137*G137/100,H137))</f>
        <v/>
      </c>
      <c r="AF137" s="6">
        <f>IF(I137=0,0,IF(K137="",B137*J137/100,K137))</f>
        <v/>
      </c>
      <c r="AG137" s="6">
        <f>IF(L137=0,0,IF(N137="",B137*M137/100,N137))</f>
        <v/>
      </c>
      <c r="AH137" s="6">
        <f>IF(O137=0,0,IF(Q137="",B137*P137/100,Q137))</f>
        <v/>
      </c>
      <c r="AI137" s="6">
        <f>IF(R137=0,0,IF(T137="",B137*S137/100,T137))</f>
        <v/>
      </c>
      <c r="AJ137" s="6">
        <f>B137*0.035</f>
        <v/>
      </c>
      <c r="AK137" s="6">
        <f>B137*0.065</f>
        <v/>
      </c>
      <c r="AL137" s="6">
        <f>SUM(B137,AD137,AE137,AF137,AG137,AH137,AI137,U137,V137,AJ137,AK137)</f>
        <v/>
      </c>
      <c r="AM137" s="6">
        <f>B137*0.055</f>
        <v/>
      </c>
      <c r="AN137" s="6">
        <f>B137*0.035</f>
        <v/>
      </c>
      <c r="AO137" s="6">
        <f>B137*0.165</f>
        <v/>
      </c>
      <c r="AP137" s="6">
        <f>MAX(0,AL137-AM137-AO137)</f>
        <v/>
      </c>
      <c r="AQ137" s="6">
        <f>IF(AP137&lt;=490,0,IF(AP137&lt;=600,(AP137-490)*0.05,IF(AP137&lt;=730,5.5+(AP137-600)*0.10,IF(AP137&lt;=3896.67,18.5+(AP137-730)*0.175,IF(AP137&lt;=19896.67,572.67+(AP137-3896.67)*0.25,IF(AP137&lt;=50416.67,4572.67+(AP137-19896.67)*0.30,13728.67+(AP137-50416.67)*0.35))))))</f>
        <v/>
      </c>
      <c r="AR137" s="6">
        <f>SUM(AM137,AQ137,W137,X137,Y137,Z137,AA137,AN137,AO137)</f>
        <v/>
      </c>
      <c r="AS137" s="6">
        <f>AL137-AR137</f>
        <v/>
      </c>
      <c r="AT137" s="6">
        <f>AB137-AC137</f>
        <v/>
      </c>
    </row>
    <row r="138">
      <c r="A138" s="2" t="n"/>
      <c r="B138" s="3" t="n"/>
      <c r="C138" s="4" t="n"/>
      <c r="D138" s="5" t="n"/>
      <c r="E138" s="3" t="n"/>
      <c r="F138" s="4" t="n"/>
      <c r="G138" s="5" t="n"/>
      <c r="H138" s="3" t="n"/>
      <c r="I138" s="4" t="n"/>
      <c r="J138" s="5" t="n"/>
      <c r="K138" s="3" t="n"/>
      <c r="L138" s="4" t="n"/>
      <c r="M138" s="5" t="n"/>
      <c r="N138" s="3" t="n"/>
      <c r="O138" s="4" t="n"/>
      <c r="P138" s="5" t="n"/>
      <c r="Q138" s="3" t="n"/>
      <c r="R138" s="4" t="n"/>
      <c r="S138" s="5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6">
        <f>IF(C138=0,0,IF(E138="",B138*D138/100,E138))</f>
        <v/>
      </c>
      <c r="AE138" s="6">
        <f>IF(F138=0,0,IF(H138="",B138*G138/100,H138))</f>
        <v/>
      </c>
      <c r="AF138" s="6">
        <f>IF(I138=0,0,IF(K138="",B138*J138/100,K138))</f>
        <v/>
      </c>
      <c r="AG138" s="6">
        <f>IF(L138=0,0,IF(N138="",B138*M138/100,N138))</f>
        <v/>
      </c>
      <c r="AH138" s="6">
        <f>IF(O138=0,0,IF(Q138="",B138*P138/100,Q138))</f>
        <v/>
      </c>
      <c r="AI138" s="6">
        <f>IF(R138=0,0,IF(T138="",B138*S138/100,T138))</f>
        <v/>
      </c>
      <c r="AJ138" s="6">
        <f>B138*0.035</f>
        <v/>
      </c>
      <c r="AK138" s="6">
        <f>B138*0.065</f>
        <v/>
      </c>
      <c r="AL138" s="6">
        <f>SUM(B138,AD138,AE138,AF138,AG138,AH138,AI138,U138,V138,AJ138,AK138)</f>
        <v/>
      </c>
      <c r="AM138" s="6">
        <f>B138*0.055</f>
        <v/>
      </c>
      <c r="AN138" s="6">
        <f>B138*0.035</f>
        <v/>
      </c>
      <c r="AO138" s="6">
        <f>B138*0.165</f>
        <v/>
      </c>
      <c r="AP138" s="6">
        <f>MAX(0,AL138-AM138-AO138)</f>
        <v/>
      </c>
      <c r="AQ138" s="6">
        <f>IF(AP138&lt;=490,0,IF(AP138&lt;=600,(AP138-490)*0.05,IF(AP138&lt;=730,5.5+(AP138-600)*0.10,IF(AP138&lt;=3896.67,18.5+(AP138-730)*0.175,IF(AP138&lt;=19896.67,572.67+(AP138-3896.67)*0.25,IF(AP138&lt;=50416.67,4572.67+(AP138-19896.67)*0.30,13728.67+(AP138-50416.67)*0.35))))))</f>
        <v/>
      </c>
      <c r="AR138" s="6">
        <f>SUM(AM138,AQ138,W138,X138,Y138,Z138,AA138,AN138,AO138)</f>
        <v/>
      </c>
      <c r="AS138" s="6">
        <f>AL138-AR138</f>
        <v/>
      </c>
      <c r="AT138" s="6">
        <f>AB138-AC138</f>
        <v/>
      </c>
    </row>
    <row r="139">
      <c r="A139" s="2" t="n"/>
      <c r="B139" s="3" t="n"/>
      <c r="C139" s="4" t="n"/>
      <c r="D139" s="5" t="n"/>
      <c r="E139" s="3" t="n"/>
      <c r="F139" s="4" t="n"/>
      <c r="G139" s="5" t="n"/>
      <c r="H139" s="3" t="n"/>
      <c r="I139" s="4" t="n"/>
      <c r="J139" s="5" t="n"/>
      <c r="K139" s="3" t="n"/>
      <c r="L139" s="4" t="n"/>
      <c r="M139" s="5" t="n"/>
      <c r="N139" s="3" t="n"/>
      <c r="O139" s="4" t="n"/>
      <c r="P139" s="5" t="n"/>
      <c r="Q139" s="3" t="n"/>
      <c r="R139" s="4" t="n"/>
      <c r="S139" s="5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6">
        <f>IF(C139=0,0,IF(E139="",B139*D139/100,E139))</f>
        <v/>
      </c>
      <c r="AE139" s="6">
        <f>IF(F139=0,0,IF(H139="",B139*G139/100,H139))</f>
        <v/>
      </c>
      <c r="AF139" s="6">
        <f>IF(I139=0,0,IF(K139="",B139*J139/100,K139))</f>
        <v/>
      </c>
      <c r="AG139" s="6">
        <f>IF(L139=0,0,IF(N139="",B139*M139/100,N139))</f>
        <v/>
      </c>
      <c r="AH139" s="6">
        <f>IF(O139=0,0,IF(Q139="",B139*P139/100,Q139))</f>
        <v/>
      </c>
      <c r="AI139" s="6">
        <f>IF(R139=0,0,IF(T139="",B139*S139/100,T139))</f>
        <v/>
      </c>
      <c r="AJ139" s="6">
        <f>B139*0.035</f>
        <v/>
      </c>
      <c r="AK139" s="6">
        <f>B139*0.065</f>
        <v/>
      </c>
      <c r="AL139" s="6">
        <f>SUM(B139,AD139,AE139,AF139,AG139,AH139,AI139,U139,V139,AJ139,AK139)</f>
        <v/>
      </c>
      <c r="AM139" s="6">
        <f>B139*0.055</f>
        <v/>
      </c>
      <c r="AN139" s="6">
        <f>B139*0.035</f>
        <v/>
      </c>
      <c r="AO139" s="6">
        <f>B139*0.165</f>
        <v/>
      </c>
      <c r="AP139" s="6">
        <f>MAX(0,AL139-AM139-AO139)</f>
        <v/>
      </c>
      <c r="AQ139" s="6">
        <f>IF(AP139&lt;=490,0,IF(AP139&lt;=600,(AP139-490)*0.05,IF(AP139&lt;=730,5.5+(AP139-600)*0.10,IF(AP139&lt;=3896.67,18.5+(AP139-730)*0.175,IF(AP139&lt;=19896.67,572.67+(AP139-3896.67)*0.25,IF(AP139&lt;=50416.67,4572.67+(AP139-19896.67)*0.30,13728.67+(AP139-50416.67)*0.35))))))</f>
        <v/>
      </c>
      <c r="AR139" s="6">
        <f>SUM(AM139,AQ139,W139,X139,Y139,Z139,AA139,AN139,AO139)</f>
        <v/>
      </c>
      <c r="AS139" s="6">
        <f>AL139-AR139</f>
        <v/>
      </c>
      <c r="AT139" s="6">
        <f>AB139-AC139</f>
        <v/>
      </c>
    </row>
    <row r="140">
      <c r="A140" s="2" t="n"/>
      <c r="B140" s="3" t="n"/>
      <c r="C140" s="4" t="n"/>
      <c r="D140" s="5" t="n"/>
      <c r="E140" s="3" t="n"/>
      <c r="F140" s="4" t="n"/>
      <c r="G140" s="5" t="n"/>
      <c r="H140" s="3" t="n"/>
      <c r="I140" s="4" t="n"/>
      <c r="J140" s="5" t="n"/>
      <c r="K140" s="3" t="n"/>
      <c r="L140" s="4" t="n"/>
      <c r="M140" s="5" t="n"/>
      <c r="N140" s="3" t="n"/>
      <c r="O140" s="4" t="n"/>
      <c r="P140" s="5" t="n"/>
      <c r="Q140" s="3" t="n"/>
      <c r="R140" s="4" t="n"/>
      <c r="S140" s="5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6">
        <f>IF(C140=0,0,IF(E140="",B140*D140/100,E140))</f>
        <v/>
      </c>
      <c r="AE140" s="6">
        <f>IF(F140=0,0,IF(H140="",B140*G140/100,H140))</f>
        <v/>
      </c>
      <c r="AF140" s="6">
        <f>IF(I140=0,0,IF(K140="",B140*J140/100,K140))</f>
        <v/>
      </c>
      <c r="AG140" s="6">
        <f>IF(L140=0,0,IF(N140="",B140*M140/100,N140))</f>
        <v/>
      </c>
      <c r="AH140" s="6">
        <f>IF(O140=0,0,IF(Q140="",B140*P140/100,Q140))</f>
        <v/>
      </c>
      <c r="AI140" s="6">
        <f>IF(R140=0,0,IF(T140="",B140*S140/100,T140))</f>
        <v/>
      </c>
      <c r="AJ140" s="6">
        <f>B140*0.035</f>
        <v/>
      </c>
      <c r="AK140" s="6">
        <f>B140*0.065</f>
        <v/>
      </c>
      <c r="AL140" s="6">
        <f>SUM(B140,AD140,AE140,AF140,AG140,AH140,AI140,U140,V140,AJ140,AK140)</f>
        <v/>
      </c>
      <c r="AM140" s="6">
        <f>B140*0.055</f>
        <v/>
      </c>
      <c r="AN140" s="6">
        <f>B140*0.035</f>
        <v/>
      </c>
      <c r="AO140" s="6">
        <f>B140*0.165</f>
        <v/>
      </c>
      <c r="AP140" s="6">
        <f>MAX(0,AL140-AM140-AO140)</f>
        <v/>
      </c>
      <c r="AQ140" s="6">
        <f>IF(AP140&lt;=490,0,IF(AP140&lt;=600,(AP140-490)*0.05,IF(AP140&lt;=730,5.5+(AP140-600)*0.10,IF(AP140&lt;=3896.67,18.5+(AP140-730)*0.175,IF(AP140&lt;=19896.67,572.67+(AP140-3896.67)*0.25,IF(AP140&lt;=50416.67,4572.67+(AP140-19896.67)*0.30,13728.67+(AP140-50416.67)*0.35))))))</f>
        <v/>
      </c>
      <c r="AR140" s="6">
        <f>SUM(AM140,AQ140,W140,X140,Y140,Z140,AA140,AN140,AO140)</f>
        <v/>
      </c>
      <c r="AS140" s="6">
        <f>AL140-AR140</f>
        <v/>
      </c>
      <c r="AT140" s="6">
        <f>AB140-AC140</f>
        <v/>
      </c>
    </row>
    <row r="141">
      <c r="A141" s="2" t="n"/>
      <c r="B141" s="3" t="n"/>
      <c r="C141" s="4" t="n"/>
      <c r="D141" s="5" t="n"/>
      <c r="E141" s="3" t="n"/>
      <c r="F141" s="4" t="n"/>
      <c r="G141" s="5" t="n"/>
      <c r="H141" s="3" t="n"/>
      <c r="I141" s="4" t="n"/>
      <c r="J141" s="5" t="n"/>
      <c r="K141" s="3" t="n"/>
      <c r="L141" s="4" t="n"/>
      <c r="M141" s="5" t="n"/>
      <c r="N141" s="3" t="n"/>
      <c r="O141" s="4" t="n"/>
      <c r="P141" s="5" t="n"/>
      <c r="Q141" s="3" t="n"/>
      <c r="R141" s="4" t="n"/>
      <c r="S141" s="5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6">
        <f>IF(C141=0,0,IF(E141="",B141*D141/100,E141))</f>
        <v/>
      </c>
      <c r="AE141" s="6">
        <f>IF(F141=0,0,IF(H141="",B141*G141/100,H141))</f>
        <v/>
      </c>
      <c r="AF141" s="6">
        <f>IF(I141=0,0,IF(K141="",B141*J141/100,K141))</f>
        <v/>
      </c>
      <c r="AG141" s="6">
        <f>IF(L141=0,0,IF(N141="",B141*M141/100,N141))</f>
        <v/>
      </c>
      <c r="AH141" s="6">
        <f>IF(O141=0,0,IF(Q141="",B141*P141/100,Q141))</f>
        <v/>
      </c>
      <c r="AI141" s="6">
        <f>IF(R141=0,0,IF(T141="",B141*S141/100,T141))</f>
        <v/>
      </c>
      <c r="AJ141" s="6">
        <f>B141*0.035</f>
        <v/>
      </c>
      <c r="AK141" s="6">
        <f>B141*0.065</f>
        <v/>
      </c>
      <c r="AL141" s="6">
        <f>SUM(B141,AD141,AE141,AF141,AG141,AH141,AI141,U141,V141,AJ141,AK141)</f>
        <v/>
      </c>
      <c r="AM141" s="6">
        <f>B141*0.055</f>
        <v/>
      </c>
      <c r="AN141" s="6">
        <f>B141*0.035</f>
        <v/>
      </c>
      <c r="AO141" s="6">
        <f>B141*0.165</f>
        <v/>
      </c>
      <c r="AP141" s="6">
        <f>MAX(0,AL141-AM141-AO141)</f>
        <v/>
      </c>
      <c r="AQ141" s="6">
        <f>IF(AP141&lt;=490,0,IF(AP141&lt;=600,(AP141-490)*0.05,IF(AP141&lt;=730,5.5+(AP141-600)*0.10,IF(AP141&lt;=3896.67,18.5+(AP141-730)*0.175,IF(AP141&lt;=19896.67,572.67+(AP141-3896.67)*0.25,IF(AP141&lt;=50416.67,4572.67+(AP141-19896.67)*0.30,13728.67+(AP141-50416.67)*0.35))))))</f>
        <v/>
      </c>
      <c r="AR141" s="6">
        <f>SUM(AM141,AQ141,W141,X141,Y141,Z141,AA141,AN141,AO141)</f>
        <v/>
      </c>
      <c r="AS141" s="6">
        <f>AL141-AR141</f>
        <v/>
      </c>
      <c r="AT141" s="6">
        <f>AB141-AC141</f>
        <v/>
      </c>
    </row>
    <row r="142">
      <c r="A142" s="2" t="n"/>
      <c r="B142" s="3" t="n"/>
      <c r="C142" s="4" t="n"/>
      <c r="D142" s="5" t="n"/>
      <c r="E142" s="3" t="n"/>
      <c r="F142" s="4" t="n"/>
      <c r="G142" s="5" t="n"/>
      <c r="H142" s="3" t="n"/>
      <c r="I142" s="4" t="n"/>
      <c r="J142" s="5" t="n"/>
      <c r="K142" s="3" t="n"/>
      <c r="L142" s="4" t="n"/>
      <c r="M142" s="5" t="n"/>
      <c r="N142" s="3" t="n"/>
      <c r="O142" s="4" t="n"/>
      <c r="P142" s="5" t="n"/>
      <c r="Q142" s="3" t="n"/>
      <c r="R142" s="4" t="n"/>
      <c r="S142" s="5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6">
        <f>IF(C142=0,0,IF(E142="",B142*D142/100,E142))</f>
        <v/>
      </c>
      <c r="AE142" s="6">
        <f>IF(F142=0,0,IF(H142="",B142*G142/100,H142))</f>
        <v/>
      </c>
      <c r="AF142" s="6">
        <f>IF(I142=0,0,IF(K142="",B142*J142/100,K142))</f>
        <v/>
      </c>
      <c r="AG142" s="6">
        <f>IF(L142=0,0,IF(N142="",B142*M142/100,N142))</f>
        <v/>
      </c>
      <c r="AH142" s="6">
        <f>IF(O142=0,0,IF(Q142="",B142*P142/100,Q142))</f>
        <v/>
      </c>
      <c r="AI142" s="6">
        <f>IF(R142=0,0,IF(T142="",B142*S142/100,T142))</f>
        <v/>
      </c>
      <c r="AJ142" s="6">
        <f>B142*0.035</f>
        <v/>
      </c>
      <c r="AK142" s="6">
        <f>B142*0.065</f>
        <v/>
      </c>
      <c r="AL142" s="6">
        <f>SUM(B142,AD142,AE142,AF142,AG142,AH142,AI142,U142,V142,AJ142,AK142)</f>
        <v/>
      </c>
      <c r="AM142" s="6">
        <f>B142*0.055</f>
        <v/>
      </c>
      <c r="AN142" s="6">
        <f>B142*0.035</f>
        <v/>
      </c>
      <c r="AO142" s="6">
        <f>B142*0.165</f>
        <v/>
      </c>
      <c r="AP142" s="6">
        <f>MAX(0,AL142-AM142-AO142)</f>
        <v/>
      </c>
      <c r="AQ142" s="6">
        <f>IF(AP142&lt;=490,0,IF(AP142&lt;=600,(AP142-490)*0.05,IF(AP142&lt;=730,5.5+(AP142-600)*0.10,IF(AP142&lt;=3896.67,18.5+(AP142-730)*0.175,IF(AP142&lt;=19896.67,572.67+(AP142-3896.67)*0.25,IF(AP142&lt;=50416.67,4572.67+(AP142-19896.67)*0.30,13728.67+(AP142-50416.67)*0.35))))))</f>
        <v/>
      </c>
      <c r="AR142" s="6">
        <f>SUM(AM142,AQ142,W142,X142,Y142,Z142,AA142,AN142,AO142)</f>
        <v/>
      </c>
      <c r="AS142" s="6">
        <f>AL142-AR142</f>
        <v/>
      </c>
      <c r="AT142" s="6">
        <f>AB142-AC142</f>
        <v/>
      </c>
    </row>
    <row r="143">
      <c r="A143" s="2" t="n"/>
      <c r="B143" s="3" t="n"/>
      <c r="C143" s="4" t="n"/>
      <c r="D143" s="5" t="n"/>
      <c r="E143" s="3" t="n"/>
      <c r="F143" s="4" t="n"/>
      <c r="G143" s="5" t="n"/>
      <c r="H143" s="3" t="n"/>
      <c r="I143" s="4" t="n"/>
      <c r="J143" s="5" t="n"/>
      <c r="K143" s="3" t="n"/>
      <c r="L143" s="4" t="n"/>
      <c r="M143" s="5" t="n"/>
      <c r="N143" s="3" t="n"/>
      <c r="O143" s="4" t="n"/>
      <c r="P143" s="5" t="n"/>
      <c r="Q143" s="3" t="n"/>
      <c r="R143" s="4" t="n"/>
      <c r="S143" s="5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6">
        <f>IF(C143=0,0,IF(E143="",B143*D143/100,E143))</f>
        <v/>
      </c>
      <c r="AE143" s="6">
        <f>IF(F143=0,0,IF(H143="",B143*G143/100,H143))</f>
        <v/>
      </c>
      <c r="AF143" s="6">
        <f>IF(I143=0,0,IF(K143="",B143*J143/100,K143))</f>
        <v/>
      </c>
      <c r="AG143" s="6">
        <f>IF(L143=0,0,IF(N143="",B143*M143/100,N143))</f>
        <v/>
      </c>
      <c r="AH143" s="6">
        <f>IF(O143=0,0,IF(Q143="",B143*P143/100,Q143))</f>
        <v/>
      </c>
      <c r="AI143" s="6">
        <f>IF(R143=0,0,IF(T143="",B143*S143/100,T143))</f>
        <v/>
      </c>
      <c r="AJ143" s="6">
        <f>B143*0.035</f>
        <v/>
      </c>
      <c r="AK143" s="6">
        <f>B143*0.065</f>
        <v/>
      </c>
      <c r="AL143" s="6">
        <f>SUM(B143,AD143,AE143,AF143,AG143,AH143,AI143,U143,V143,AJ143,AK143)</f>
        <v/>
      </c>
      <c r="AM143" s="6">
        <f>B143*0.055</f>
        <v/>
      </c>
      <c r="AN143" s="6">
        <f>B143*0.035</f>
        <v/>
      </c>
      <c r="AO143" s="6">
        <f>B143*0.165</f>
        <v/>
      </c>
      <c r="AP143" s="6">
        <f>MAX(0,AL143-AM143-AO143)</f>
        <v/>
      </c>
      <c r="AQ143" s="6">
        <f>IF(AP143&lt;=490,0,IF(AP143&lt;=600,(AP143-490)*0.05,IF(AP143&lt;=730,5.5+(AP143-600)*0.10,IF(AP143&lt;=3896.67,18.5+(AP143-730)*0.175,IF(AP143&lt;=19896.67,572.67+(AP143-3896.67)*0.25,IF(AP143&lt;=50416.67,4572.67+(AP143-19896.67)*0.30,13728.67+(AP143-50416.67)*0.35))))))</f>
        <v/>
      </c>
      <c r="AR143" s="6">
        <f>SUM(AM143,AQ143,W143,X143,Y143,Z143,AA143,AN143,AO143)</f>
        <v/>
      </c>
      <c r="AS143" s="6">
        <f>AL143-AR143</f>
        <v/>
      </c>
      <c r="AT143" s="6">
        <f>AB143-AC143</f>
        <v/>
      </c>
    </row>
    <row r="144">
      <c r="A144" s="2" t="n"/>
      <c r="B144" s="3" t="n"/>
      <c r="C144" s="4" t="n"/>
      <c r="D144" s="5" t="n"/>
      <c r="E144" s="3" t="n"/>
      <c r="F144" s="4" t="n"/>
      <c r="G144" s="5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6">
        <f>IF(C144=0,0,IF(E144="",B144*D144/100,E144))</f>
        <v/>
      </c>
      <c r="AE144" s="6">
        <f>IF(F144=0,0,IF(H144="",B144*G144/100,H144))</f>
        <v/>
      </c>
      <c r="AF144" s="6">
        <f>IF(I144=0,0,IF(K144="",B144*J144/100,K144))</f>
        <v/>
      </c>
      <c r="AG144" s="6">
        <f>IF(L144=0,0,IF(N144="",B144*M144/100,N144))</f>
        <v/>
      </c>
      <c r="AH144" s="6">
        <f>IF(O144=0,0,IF(Q144="",B144*P144/100,Q144))</f>
        <v/>
      </c>
      <c r="AI144" s="6">
        <f>IF(R144=0,0,IF(T144="",B144*S144/100,T144))</f>
        <v/>
      </c>
      <c r="AJ144" s="6">
        <f>B144*0.035</f>
        <v/>
      </c>
      <c r="AK144" s="6">
        <f>B144*0.065</f>
        <v/>
      </c>
      <c r="AL144" s="6">
        <f>SUM(B144,AD144,AE144,AF144,AG144,AH144,AI144,U144,V144,AJ144,AK144)</f>
        <v/>
      </c>
      <c r="AM144" s="6">
        <f>B144*0.055</f>
        <v/>
      </c>
      <c r="AN144" s="6">
        <f>B144*0.035</f>
        <v/>
      </c>
      <c r="AO144" s="6">
        <f>B144*0.165</f>
        <v/>
      </c>
      <c r="AP144" s="6">
        <f>MAX(0,AL144-AM144-AO144)</f>
        <v/>
      </c>
      <c r="AQ144" s="6">
        <f>IF(AP144&lt;=490,0,IF(AP144&lt;=600,(AP144-490)*0.05,IF(AP144&lt;=730,5.5+(AP144-600)*0.10,IF(AP144&lt;=3896.67,18.5+(AP144-730)*0.175,IF(AP144&lt;=19896.67,572.67+(AP144-3896.67)*0.25,IF(AP144&lt;=50416.67,4572.67+(AP144-19896.67)*0.30,13728.67+(AP144-50416.67)*0.35))))))</f>
        <v/>
      </c>
      <c r="AR144" s="6">
        <f>SUM(AM144,AQ144,W144,X144,Y144,Z144,AA144,AN144,AO144)</f>
        <v/>
      </c>
      <c r="AS144" s="6">
        <f>AL144-AR144</f>
        <v/>
      </c>
      <c r="AT144" s="6">
        <f>AB144-AC144</f>
        <v/>
      </c>
    </row>
    <row r="145">
      <c r="A145" s="2" t="n"/>
      <c r="B145" s="3" t="n"/>
      <c r="C145" s="4" t="n"/>
      <c r="D145" s="5" t="n"/>
      <c r="E145" s="3" t="n"/>
      <c r="F145" s="4" t="n"/>
      <c r="G145" s="5" t="n"/>
      <c r="H145" s="3" t="n"/>
      <c r="I145" s="4" t="n"/>
      <c r="J145" s="5" t="n"/>
      <c r="K145" s="3" t="n"/>
      <c r="L145" s="4" t="n"/>
      <c r="M145" s="5" t="n"/>
      <c r="N145" s="3" t="n"/>
      <c r="O145" s="4" t="n"/>
      <c r="P145" s="5" t="n"/>
      <c r="Q145" s="3" t="n"/>
      <c r="R145" s="4" t="n"/>
      <c r="S145" s="5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6">
        <f>IF(C145=0,0,IF(E145="",B145*D145/100,E145))</f>
        <v/>
      </c>
      <c r="AE145" s="6">
        <f>IF(F145=0,0,IF(H145="",B145*G145/100,H145))</f>
        <v/>
      </c>
      <c r="AF145" s="6">
        <f>IF(I145=0,0,IF(K145="",B145*J145/100,K145))</f>
        <v/>
      </c>
      <c r="AG145" s="6">
        <f>IF(L145=0,0,IF(N145="",B145*M145/100,N145))</f>
        <v/>
      </c>
      <c r="AH145" s="6">
        <f>IF(O145=0,0,IF(Q145="",B145*P145/100,Q145))</f>
        <v/>
      </c>
      <c r="AI145" s="6">
        <f>IF(R145=0,0,IF(T145="",B145*S145/100,T145))</f>
        <v/>
      </c>
      <c r="AJ145" s="6">
        <f>B145*0.035</f>
        <v/>
      </c>
      <c r="AK145" s="6">
        <f>B145*0.065</f>
        <v/>
      </c>
      <c r="AL145" s="6">
        <f>SUM(B145,AD145,AE145,AF145,AG145,AH145,AI145,U145,V145,AJ145,AK145)</f>
        <v/>
      </c>
      <c r="AM145" s="6">
        <f>B145*0.055</f>
        <v/>
      </c>
      <c r="AN145" s="6">
        <f>B145*0.035</f>
        <v/>
      </c>
      <c r="AO145" s="6">
        <f>B145*0.165</f>
        <v/>
      </c>
      <c r="AP145" s="6">
        <f>MAX(0,AL145-AM145-AO145)</f>
        <v/>
      </c>
      <c r="AQ145" s="6">
        <f>IF(AP145&lt;=490,0,IF(AP145&lt;=600,(AP145-490)*0.05,IF(AP145&lt;=730,5.5+(AP145-600)*0.10,IF(AP145&lt;=3896.67,18.5+(AP145-730)*0.175,IF(AP145&lt;=19896.67,572.67+(AP145-3896.67)*0.25,IF(AP145&lt;=50416.67,4572.67+(AP145-19896.67)*0.30,13728.67+(AP145-50416.67)*0.35))))))</f>
        <v/>
      </c>
      <c r="AR145" s="6">
        <f>SUM(AM145,AQ145,W145,X145,Y145,Z145,AA145,AN145,AO145)</f>
        <v/>
      </c>
      <c r="AS145" s="6">
        <f>AL145-AR145</f>
        <v/>
      </c>
      <c r="AT145" s="6">
        <f>AB145-AC145</f>
        <v/>
      </c>
    </row>
    <row r="146">
      <c r="A146" s="2" t="n"/>
      <c r="B146" s="3" t="n"/>
      <c r="C146" s="4" t="n"/>
      <c r="D146" s="5" t="n"/>
      <c r="E146" s="3" t="n"/>
      <c r="F146" s="4" t="n"/>
      <c r="G146" s="5" t="n"/>
      <c r="H146" s="3" t="n"/>
      <c r="I146" s="4" t="n"/>
      <c r="J146" s="5" t="n"/>
      <c r="K146" s="3" t="n"/>
      <c r="L146" s="4" t="n"/>
      <c r="M146" s="5" t="n"/>
      <c r="N146" s="3" t="n"/>
      <c r="O146" s="4" t="n"/>
      <c r="P146" s="5" t="n"/>
      <c r="Q146" s="3" t="n"/>
      <c r="R146" s="4" t="n"/>
      <c r="S146" s="5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6">
        <f>IF(C146=0,0,IF(E146="",B146*D146/100,E146))</f>
        <v/>
      </c>
      <c r="AE146" s="6">
        <f>IF(F146=0,0,IF(H146="",B146*G146/100,H146))</f>
        <v/>
      </c>
      <c r="AF146" s="6">
        <f>IF(I146=0,0,IF(K146="",B146*J146/100,K146))</f>
        <v/>
      </c>
      <c r="AG146" s="6">
        <f>IF(L146=0,0,IF(N146="",B146*M146/100,N146))</f>
        <v/>
      </c>
      <c r="AH146" s="6">
        <f>IF(O146=0,0,IF(Q146="",B146*P146/100,Q146))</f>
        <v/>
      </c>
      <c r="AI146" s="6">
        <f>IF(R146=0,0,IF(T146="",B146*S146/100,T146))</f>
        <v/>
      </c>
      <c r="AJ146" s="6">
        <f>B146*0.035</f>
        <v/>
      </c>
      <c r="AK146" s="6">
        <f>B146*0.065</f>
        <v/>
      </c>
      <c r="AL146" s="6">
        <f>SUM(B146,AD146,AE146,AF146,AG146,AH146,AI146,U146,V146,AJ146,AK146)</f>
        <v/>
      </c>
      <c r="AM146" s="6">
        <f>B146*0.055</f>
        <v/>
      </c>
      <c r="AN146" s="6">
        <f>B146*0.035</f>
        <v/>
      </c>
      <c r="AO146" s="6">
        <f>B146*0.165</f>
        <v/>
      </c>
      <c r="AP146" s="6">
        <f>MAX(0,AL146-AM146-AO146)</f>
        <v/>
      </c>
      <c r="AQ146" s="6">
        <f>IF(AP146&lt;=490,0,IF(AP146&lt;=600,(AP146-490)*0.05,IF(AP146&lt;=730,5.5+(AP146-600)*0.10,IF(AP146&lt;=3896.67,18.5+(AP146-730)*0.175,IF(AP146&lt;=19896.67,572.67+(AP146-3896.67)*0.25,IF(AP146&lt;=50416.67,4572.67+(AP146-19896.67)*0.30,13728.67+(AP146-50416.67)*0.35))))))</f>
        <v/>
      </c>
      <c r="AR146" s="6">
        <f>SUM(AM146,AQ146,W146,X146,Y146,Z146,AA146,AN146,AO146)</f>
        <v/>
      </c>
      <c r="AS146" s="6">
        <f>AL146-AR146</f>
        <v/>
      </c>
      <c r="AT146" s="6">
        <f>AB146-AC146</f>
        <v/>
      </c>
    </row>
    <row r="147">
      <c r="A147" s="2" t="n"/>
      <c r="B147" s="3" t="n"/>
      <c r="C147" s="4" t="n"/>
      <c r="D147" s="5" t="n"/>
      <c r="E147" s="3" t="n"/>
      <c r="F147" s="4" t="n"/>
      <c r="G147" s="5" t="n"/>
      <c r="H147" s="3" t="n"/>
      <c r="I147" s="4" t="n"/>
      <c r="J147" s="5" t="n"/>
      <c r="K147" s="3" t="n"/>
      <c r="L147" s="4" t="n"/>
      <c r="M147" s="5" t="n"/>
      <c r="N147" s="3" t="n"/>
      <c r="O147" s="4" t="n"/>
      <c r="P147" s="5" t="n"/>
      <c r="Q147" s="3" t="n"/>
      <c r="R147" s="4" t="n"/>
      <c r="S147" s="5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6">
        <f>IF(C147=0,0,IF(E147="",B147*D147/100,E147))</f>
        <v/>
      </c>
      <c r="AE147" s="6">
        <f>IF(F147=0,0,IF(H147="",B147*G147/100,H147))</f>
        <v/>
      </c>
      <c r="AF147" s="6">
        <f>IF(I147=0,0,IF(K147="",B147*J147/100,K147))</f>
        <v/>
      </c>
      <c r="AG147" s="6">
        <f>IF(L147=0,0,IF(N147="",B147*M147/100,N147))</f>
        <v/>
      </c>
      <c r="AH147" s="6">
        <f>IF(O147=0,0,IF(Q147="",B147*P147/100,Q147))</f>
        <v/>
      </c>
      <c r="AI147" s="6">
        <f>IF(R147=0,0,IF(T147="",B147*S147/100,T147))</f>
        <v/>
      </c>
      <c r="AJ147" s="6">
        <f>B147*0.035</f>
        <v/>
      </c>
      <c r="AK147" s="6">
        <f>B147*0.065</f>
        <v/>
      </c>
      <c r="AL147" s="6">
        <f>SUM(B147,AD147,AE147,AF147,AG147,AH147,AI147,U147,V147,AJ147,AK147)</f>
        <v/>
      </c>
      <c r="AM147" s="6">
        <f>B147*0.055</f>
        <v/>
      </c>
      <c r="AN147" s="6">
        <f>B147*0.035</f>
        <v/>
      </c>
      <c r="AO147" s="6">
        <f>B147*0.165</f>
        <v/>
      </c>
      <c r="AP147" s="6">
        <f>MAX(0,AL147-AM147-AO147)</f>
        <v/>
      </c>
      <c r="AQ147" s="6">
        <f>IF(AP147&lt;=490,0,IF(AP147&lt;=600,(AP147-490)*0.05,IF(AP147&lt;=730,5.5+(AP147-600)*0.10,IF(AP147&lt;=3896.67,18.5+(AP147-730)*0.175,IF(AP147&lt;=19896.67,572.67+(AP147-3896.67)*0.25,IF(AP147&lt;=50416.67,4572.67+(AP147-19896.67)*0.30,13728.67+(AP147-50416.67)*0.35))))))</f>
        <v/>
      </c>
      <c r="AR147" s="6">
        <f>SUM(AM147,AQ147,W147,X147,Y147,Z147,AA147,AN147,AO147)</f>
        <v/>
      </c>
      <c r="AS147" s="6">
        <f>AL147-AR147</f>
        <v/>
      </c>
      <c r="AT147" s="6">
        <f>AB147-AC147</f>
        <v/>
      </c>
    </row>
    <row r="148">
      <c r="A148" s="2" t="n"/>
      <c r="B148" s="3" t="n"/>
      <c r="C148" s="4" t="n"/>
      <c r="D148" s="5" t="n"/>
      <c r="E148" s="3" t="n"/>
      <c r="F148" s="4" t="n"/>
      <c r="G148" s="5" t="n"/>
      <c r="H148" s="3" t="n"/>
      <c r="I148" s="4" t="n"/>
      <c r="J148" s="5" t="n"/>
      <c r="K148" s="3" t="n"/>
      <c r="L148" s="4" t="n"/>
      <c r="M148" s="5" t="n"/>
      <c r="N148" s="3" t="n"/>
      <c r="O148" s="4" t="n"/>
      <c r="P148" s="5" t="n"/>
      <c r="Q148" s="3" t="n"/>
      <c r="R148" s="4" t="n"/>
      <c r="S148" s="5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6">
        <f>IF(C148=0,0,IF(E148="",B148*D148/100,E148))</f>
        <v/>
      </c>
      <c r="AE148" s="6">
        <f>IF(F148=0,0,IF(H148="",B148*G148/100,H148))</f>
        <v/>
      </c>
      <c r="AF148" s="6">
        <f>IF(I148=0,0,IF(K148="",B148*J148/100,K148))</f>
        <v/>
      </c>
      <c r="AG148" s="6">
        <f>IF(L148=0,0,IF(N148="",B148*M148/100,N148))</f>
        <v/>
      </c>
      <c r="AH148" s="6">
        <f>IF(O148=0,0,IF(Q148="",B148*P148/100,Q148))</f>
        <v/>
      </c>
      <c r="AI148" s="6">
        <f>IF(R148=0,0,IF(T148="",B148*S148/100,T148))</f>
        <v/>
      </c>
      <c r="AJ148" s="6">
        <f>B148*0.035</f>
        <v/>
      </c>
      <c r="AK148" s="6">
        <f>B148*0.065</f>
        <v/>
      </c>
      <c r="AL148" s="6">
        <f>SUM(B148,AD148,AE148,AF148,AG148,AH148,AI148,U148,V148,AJ148,AK148)</f>
        <v/>
      </c>
      <c r="AM148" s="6">
        <f>B148*0.055</f>
        <v/>
      </c>
      <c r="AN148" s="6">
        <f>B148*0.035</f>
        <v/>
      </c>
      <c r="AO148" s="6">
        <f>B148*0.165</f>
        <v/>
      </c>
      <c r="AP148" s="6">
        <f>MAX(0,AL148-AM148-AO148)</f>
        <v/>
      </c>
      <c r="AQ148" s="6">
        <f>IF(AP148&lt;=490,0,IF(AP148&lt;=600,(AP148-490)*0.05,IF(AP148&lt;=730,5.5+(AP148-600)*0.10,IF(AP148&lt;=3896.67,18.5+(AP148-730)*0.175,IF(AP148&lt;=19896.67,572.67+(AP148-3896.67)*0.25,IF(AP148&lt;=50416.67,4572.67+(AP148-19896.67)*0.30,13728.67+(AP148-50416.67)*0.35))))))</f>
        <v/>
      </c>
      <c r="AR148" s="6">
        <f>SUM(AM148,AQ148,W148,X148,Y148,Z148,AA148,AN148,AO148)</f>
        <v/>
      </c>
      <c r="AS148" s="6">
        <f>AL148-AR148</f>
        <v/>
      </c>
      <c r="AT148" s="6">
        <f>AB148-AC148</f>
        <v/>
      </c>
    </row>
    <row r="149">
      <c r="A149" s="2" t="n"/>
      <c r="B149" s="3" t="n"/>
      <c r="C149" s="4" t="n"/>
      <c r="D149" s="5" t="n"/>
      <c r="E149" s="3" t="n"/>
      <c r="F149" s="4" t="n"/>
      <c r="G149" s="5" t="n"/>
      <c r="H149" s="3" t="n"/>
      <c r="I149" s="4" t="n"/>
      <c r="J149" s="5" t="n"/>
      <c r="K149" s="3" t="n"/>
      <c r="L149" s="4" t="n"/>
      <c r="M149" s="5" t="n"/>
      <c r="N149" s="3" t="n"/>
      <c r="O149" s="4" t="n"/>
      <c r="P149" s="5" t="n"/>
      <c r="Q149" s="3" t="n"/>
      <c r="R149" s="4" t="n"/>
      <c r="S149" s="5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6">
        <f>IF(C149=0,0,IF(E149="",B149*D149/100,E149))</f>
        <v/>
      </c>
      <c r="AE149" s="6">
        <f>IF(F149=0,0,IF(H149="",B149*G149/100,H149))</f>
        <v/>
      </c>
      <c r="AF149" s="6">
        <f>IF(I149=0,0,IF(K149="",B149*J149/100,K149))</f>
        <v/>
      </c>
      <c r="AG149" s="6">
        <f>IF(L149=0,0,IF(N149="",B149*M149/100,N149))</f>
        <v/>
      </c>
      <c r="AH149" s="6">
        <f>IF(O149=0,0,IF(Q149="",B149*P149/100,Q149))</f>
        <v/>
      </c>
      <c r="AI149" s="6">
        <f>IF(R149=0,0,IF(T149="",B149*S149/100,T149))</f>
        <v/>
      </c>
      <c r="AJ149" s="6">
        <f>B149*0.035</f>
        <v/>
      </c>
      <c r="AK149" s="6">
        <f>B149*0.065</f>
        <v/>
      </c>
      <c r="AL149" s="6">
        <f>SUM(B149,AD149,AE149,AF149,AG149,AH149,AI149,U149,V149,AJ149,AK149)</f>
        <v/>
      </c>
      <c r="AM149" s="6">
        <f>B149*0.055</f>
        <v/>
      </c>
      <c r="AN149" s="6">
        <f>B149*0.035</f>
        <v/>
      </c>
      <c r="AO149" s="6">
        <f>B149*0.165</f>
        <v/>
      </c>
      <c r="AP149" s="6">
        <f>MAX(0,AL149-AM149-AO149)</f>
        <v/>
      </c>
      <c r="AQ149" s="6">
        <f>IF(AP149&lt;=490,0,IF(AP149&lt;=600,(AP149-490)*0.05,IF(AP149&lt;=730,5.5+(AP149-600)*0.10,IF(AP149&lt;=3896.67,18.5+(AP149-730)*0.175,IF(AP149&lt;=19896.67,572.67+(AP149-3896.67)*0.25,IF(AP149&lt;=50416.67,4572.67+(AP149-19896.67)*0.30,13728.67+(AP149-50416.67)*0.35))))))</f>
        <v/>
      </c>
      <c r="AR149" s="6">
        <f>SUM(AM149,AQ149,W149,X149,Y149,Z149,AA149,AN149,AO149)</f>
        <v/>
      </c>
      <c r="AS149" s="6">
        <f>AL149-AR149</f>
        <v/>
      </c>
      <c r="AT149" s="6">
        <f>AB149-AC149</f>
        <v/>
      </c>
    </row>
    <row r="150">
      <c r="A150" s="2" t="n"/>
      <c r="B150" s="3" t="n"/>
      <c r="C150" s="4" t="n"/>
      <c r="D150" s="5" t="n"/>
      <c r="E150" s="3" t="n"/>
      <c r="F150" s="4" t="n"/>
      <c r="G150" s="5" t="n"/>
      <c r="H150" s="3" t="n"/>
      <c r="I150" s="4" t="n"/>
      <c r="J150" s="5" t="n"/>
      <c r="K150" s="3" t="n"/>
      <c r="L150" s="4" t="n"/>
      <c r="M150" s="5" t="n"/>
      <c r="N150" s="3" t="n"/>
      <c r="O150" s="4" t="n"/>
      <c r="P150" s="5" t="n"/>
      <c r="Q150" s="3" t="n"/>
      <c r="R150" s="4" t="n"/>
      <c r="S150" s="5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6">
        <f>IF(C150=0,0,IF(E150="",B150*D150/100,E150))</f>
        <v/>
      </c>
      <c r="AE150" s="6">
        <f>IF(F150=0,0,IF(H150="",B150*G150/100,H150))</f>
        <v/>
      </c>
      <c r="AF150" s="6">
        <f>IF(I150=0,0,IF(K150="",B150*J150/100,K150))</f>
        <v/>
      </c>
      <c r="AG150" s="6">
        <f>IF(L150=0,0,IF(N150="",B150*M150/100,N150))</f>
        <v/>
      </c>
      <c r="AH150" s="6">
        <f>IF(O150=0,0,IF(Q150="",B150*P150/100,Q150))</f>
        <v/>
      </c>
      <c r="AI150" s="6">
        <f>IF(R150=0,0,IF(T150="",B150*S150/100,T150))</f>
        <v/>
      </c>
      <c r="AJ150" s="6">
        <f>B150*0.035</f>
        <v/>
      </c>
      <c r="AK150" s="6">
        <f>B150*0.065</f>
        <v/>
      </c>
      <c r="AL150" s="6">
        <f>SUM(B150,AD150,AE150,AF150,AG150,AH150,AI150,U150,V150,AJ150,AK150)</f>
        <v/>
      </c>
      <c r="AM150" s="6">
        <f>B150*0.055</f>
        <v/>
      </c>
      <c r="AN150" s="6">
        <f>B150*0.035</f>
        <v/>
      </c>
      <c r="AO150" s="6">
        <f>B150*0.165</f>
        <v/>
      </c>
      <c r="AP150" s="6">
        <f>MAX(0,AL150-AM150-AO150)</f>
        <v/>
      </c>
      <c r="AQ150" s="6">
        <f>IF(AP150&lt;=490,0,IF(AP150&lt;=600,(AP150-490)*0.05,IF(AP150&lt;=730,5.5+(AP150-600)*0.10,IF(AP150&lt;=3896.67,18.5+(AP150-730)*0.175,IF(AP150&lt;=19896.67,572.67+(AP150-3896.67)*0.25,IF(AP150&lt;=50416.67,4572.67+(AP150-19896.67)*0.30,13728.67+(AP150-50416.67)*0.35))))))</f>
        <v/>
      </c>
      <c r="AR150" s="6">
        <f>SUM(AM150,AQ150,W150,X150,Y150,Z150,AA150,AN150,AO150)</f>
        <v/>
      </c>
      <c r="AS150" s="6">
        <f>AL150-AR150</f>
        <v/>
      </c>
      <c r="AT150" s="6">
        <f>AB150-AC150</f>
        <v/>
      </c>
    </row>
    <row r="151">
      <c r="A151" s="2" t="n"/>
      <c r="B151" s="3" t="n"/>
      <c r="C151" s="4" t="n"/>
      <c r="D151" s="5" t="n"/>
      <c r="E151" s="3" t="n"/>
      <c r="F151" s="4" t="n"/>
      <c r="G151" s="5" t="n"/>
      <c r="H151" s="3" t="n"/>
      <c r="I151" s="4" t="n"/>
      <c r="J151" s="5" t="n"/>
      <c r="K151" s="3" t="n"/>
      <c r="L151" s="4" t="n"/>
      <c r="M151" s="5" t="n"/>
      <c r="N151" s="3" t="n"/>
      <c r="O151" s="4" t="n"/>
      <c r="P151" s="5" t="n"/>
      <c r="Q151" s="3" t="n"/>
      <c r="R151" s="4" t="n"/>
      <c r="S151" s="5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6">
        <f>IF(C151=0,0,IF(E151="",B151*D151/100,E151))</f>
        <v/>
      </c>
      <c r="AE151" s="6">
        <f>IF(F151=0,0,IF(H151="",B151*G151/100,H151))</f>
        <v/>
      </c>
      <c r="AF151" s="6">
        <f>IF(I151=0,0,IF(K151="",B151*J151/100,K151))</f>
        <v/>
      </c>
      <c r="AG151" s="6">
        <f>IF(L151=0,0,IF(N151="",B151*M151/100,N151))</f>
        <v/>
      </c>
      <c r="AH151" s="6">
        <f>IF(O151=0,0,IF(Q151="",B151*P151/100,Q151))</f>
        <v/>
      </c>
      <c r="AI151" s="6">
        <f>IF(R151=0,0,IF(T151="",B151*S151/100,T151))</f>
        <v/>
      </c>
      <c r="AJ151" s="6">
        <f>B151*0.035</f>
        <v/>
      </c>
      <c r="AK151" s="6">
        <f>B151*0.065</f>
        <v/>
      </c>
      <c r="AL151" s="6">
        <f>SUM(B151,AD151,AE151,AF151,AG151,AH151,AI151,U151,V151,AJ151,AK151)</f>
        <v/>
      </c>
      <c r="AM151" s="6">
        <f>B151*0.055</f>
        <v/>
      </c>
      <c r="AN151" s="6">
        <f>B151*0.035</f>
        <v/>
      </c>
      <c r="AO151" s="6">
        <f>B151*0.165</f>
        <v/>
      </c>
      <c r="AP151" s="6">
        <f>MAX(0,AL151-AM151-AO151)</f>
        <v/>
      </c>
      <c r="AQ151" s="6">
        <f>IF(AP151&lt;=490,0,IF(AP151&lt;=600,(AP151-490)*0.05,IF(AP151&lt;=730,5.5+(AP151-600)*0.10,IF(AP151&lt;=3896.67,18.5+(AP151-730)*0.175,IF(AP151&lt;=19896.67,572.67+(AP151-3896.67)*0.25,IF(AP151&lt;=50416.67,4572.67+(AP151-19896.67)*0.30,13728.67+(AP151-50416.67)*0.35))))))</f>
        <v/>
      </c>
      <c r="AR151" s="6">
        <f>SUM(AM151,AQ151,W151,X151,Y151,Z151,AA151,AN151,AO151)</f>
        <v/>
      </c>
      <c r="AS151" s="6">
        <f>AL151-AR151</f>
        <v/>
      </c>
      <c r="AT151" s="6">
        <f>AB151-AC151</f>
        <v/>
      </c>
    </row>
    <row r="152">
      <c r="A152" s="2" t="n"/>
      <c r="B152" s="3" t="n"/>
      <c r="C152" s="4" t="n"/>
      <c r="D152" s="5" t="n"/>
      <c r="E152" s="3" t="n"/>
      <c r="F152" s="4" t="n"/>
      <c r="G152" s="5" t="n"/>
      <c r="H152" s="3" t="n"/>
      <c r="I152" s="4" t="n"/>
      <c r="J152" s="5" t="n"/>
      <c r="K152" s="3" t="n"/>
      <c r="L152" s="4" t="n"/>
      <c r="M152" s="5" t="n"/>
      <c r="N152" s="3" t="n"/>
      <c r="O152" s="4" t="n"/>
      <c r="P152" s="5" t="n"/>
      <c r="Q152" s="3" t="n"/>
      <c r="R152" s="4" t="n"/>
      <c r="S152" s="5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6">
        <f>IF(C152=0,0,IF(E152="",B152*D152/100,E152))</f>
        <v/>
      </c>
      <c r="AE152" s="6">
        <f>IF(F152=0,0,IF(H152="",B152*G152/100,H152))</f>
        <v/>
      </c>
      <c r="AF152" s="6">
        <f>IF(I152=0,0,IF(K152="",B152*J152/100,K152))</f>
        <v/>
      </c>
      <c r="AG152" s="6">
        <f>IF(L152=0,0,IF(N152="",B152*M152/100,N152))</f>
        <v/>
      </c>
      <c r="AH152" s="6">
        <f>IF(O152=0,0,IF(Q152="",B152*P152/100,Q152))</f>
        <v/>
      </c>
      <c r="AI152" s="6">
        <f>IF(R152=0,0,IF(T152="",B152*S152/100,T152))</f>
        <v/>
      </c>
      <c r="AJ152" s="6">
        <f>B152*0.035</f>
        <v/>
      </c>
      <c r="AK152" s="6">
        <f>B152*0.065</f>
        <v/>
      </c>
      <c r="AL152" s="6">
        <f>SUM(B152,AD152,AE152,AF152,AG152,AH152,AI152,U152,V152,AJ152,AK152)</f>
        <v/>
      </c>
      <c r="AM152" s="6">
        <f>B152*0.055</f>
        <v/>
      </c>
      <c r="AN152" s="6">
        <f>B152*0.035</f>
        <v/>
      </c>
      <c r="AO152" s="6">
        <f>B152*0.165</f>
        <v/>
      </c>
      <c r="AP152" s="6">
        <f>MAX(0,AL152-AM152-AO152)</f>
        <v/>
      </c>
      <c r="AQ152" s="6">
        <f>IF(AP152&lt;=490,0,IF(AP152&lt;=600,(AP152-490)*0.05,IF(AP152&lt;=730,5.5+(AP152-600)*0.10,IF(AP152&lt;=3896.67,18.5+(AP152-730)*0.175,IF(AP152&lt;=19896.67,572.67+(AP152-3896.67)*0.25,IF(AP152&lt;=50416.67,4572.67+(AP152-19896.67)*0.30,13728.67+(AP152-50416.67)*0.35))))))</f>
        <v/>
      </c>
      <c r="AR152" s="6">
        <f>SUM(AM152,AQ152,W152,X152,Y152,Z152,AA152,AN152,AO152)</f>
        <v/>
      </c>
      <c r="AS152" s="6">
        <f>AL152-AR152</f>
        <v/>
      </c>
      <c r="AT152" s="6">
        <f>AB152-AC152</f>
        <v/>
      </c>
    </row>
    <row r="153">
      <c r="A153" s="2" t="n"/>
      <c r="B153" s="3" t="n"/>
      <c r="C153" s="4" t="n"/>
      <c r="D153" s="5" t="n"/>
      <c r="E153" s="3" t="n"/>
      <c r="F153" s="4" t="n"/>
      <c r="G153" s="5" t="n"/>
      <c r="H153" s="3" t="n"/>
      <c r="I153" s="4" t="n"/>
      <c r="J153" s="5" t="n"/>
      <c r="K153" s="3" t="n"/>
      <c r="L153" s="4" t="n"/>
      <c r="M153" s="5" t="n"/>
      <c r="N153" s="3" t="n"/>
      <c r="O153" s="4" t="n"/>
      <c r="P153" s="5" t="n"/>
      <c r="Q153" s="3" t="n"/>
      <c r="R153" s="4" t="n"/>
      <c r="S153" s="5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6">
        <f>IF(C153=0,0,IF(E153="",B153*D153/100,E153))</f>
        <v/>
      </c>
      <c r="AE153" s="6">
        <f>IF(F153=0,0,IF(H153="",B153*G153/100,H153))</f>
        <v/>
      </c>
      <c r="AF153" s="6">
        <f>IF(I153=0,0,IF(K153="",B153*J153/100,K153))</f>
        <v/>
      </c>
      <c r="AG153" s="6">
        <f>IF(L153=0,0,IF(N153="",B153*M153/100,N153))</f>
        <v/>
      </c>
      <c r="AH153" s="6">
        <f>IF(O153=0,0,IF(Q153="",B153*P153/100,Q153))</f>
        <v/>
      </c>
      <c r="AI153" s="6">
        <f>IF(R153=0,0,IF(T153="",B153*S153/100,T153))</f>
        <v/>
      </c>
      <c r="AJ153" s="6">
        <f>B153*0.035</f>
        <v/>
      </c>
      <c r="AK153" s="6">
        <f>B153*0.065</f>
        <v/>
      </c>
      <c r="AL153" s="6">
        <f>SUM(B153,AD153,AE153,AF153,AG153,AH153,AI153,U153,V153,AJ153,AK153)</f>
        <v/>
      </c>
      <c r="AM153" s="6">
        <f>B153*0.055</f>
        <v/>
      </c>
      <c r="AN153" s="6">
        <f>B153*0.035</f>
        <v/>
      </c>
      <c r="AO153" s="6">
        <f>B153*0.165</f>
        <v/>
      </c>
      <c r="AP153" s="6">
        <f>MAX(0,AL153-AM153-AO153)</f>
        <v/>
      </c>
      <c r="AQ153" s="6">
        <f>IF(AP153&lt;=490,0,IF(AP153&lt;=600,(AP153-490)*0.05,IF(AP153&lt;=730,5.5+(AP153-600)*0.10,IF(AP153&lt;=3896.67,18.5+(AP153-730)*0.175,IF(AP153&lt;=19896.67,572.67+(AP153-3896.67)*0.25,IF(AP153&lt;=50416.67,4572.67+(AP153-19896.67)*0.30,13728.67+(AP153-50416.67)*0.35))))))</f>
        <v/>
      </c>
      <c r="AR153" s="6">
        <f>SUM(AM153,AQ153,W153,X153,Y153,Z153,AA153,AN153,AO153)</f>
        <v/>
      </c>
      <c r="AS153" s="6">
        <f>AL153-AR153</f>
        <v/>
      </c>
      <c r="AT153" s="6">
        <f>AB153-AC153</f>
        <v/>
      </c>
    </row>
    <row r="154">
      <c r="A154" s="2" t="n"/>
      <c r="B154" s="3" t="n"/>
      <c r="C154" s="4" t="n"/>
      <c r="D154" s="5" t="n"/>
      <c r="E154" s="3" t="n"/>
      <c r="F154" s="4" t="n"/>
      <c r="G154" s="5" t="n"/>
      <c r="H154" s="3" t="n"/>
      <c r="I154" s="4" t="n"/>
      <c r="J154" s="5" t="n"/>
      <c r="K154" s="3" t="n"/>
      <c r="L154" s="4" t="n"/>
      <c r="M154" s="5" t="n"/>
      <c r="N154" s="3" t="n"/>
      <c r="O154" s="4" t="n"/>
      <c r="P154" s="5" t="n"/>
      <c r="Q154" s="3" t="n"/>
      <c r="R154" s="4" t="n"/>
      <c r="S154" s="5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6">
        <f>IF(C154=0,0,IF(E154="",B154*D154/100,E154))</f>
        <v/>
      </c>
      <c r="AE154" s="6">
        <f>IF(F154=0,0,IF(H154="",B154*G154/100,H154))</f>
        <v/>
      </c>
      <c r="AF154" s="6">
        <f>IF(I154=0,0,IF(K154="",B154*J154/100,K154))</f>
        <v/>
      </c>
      <c r="AG154" s="6">
        <f>IF(L154=0,0,IF(N154="",B154*M154/100,N154))</f>
        <v/>
      </c>
      <c r="AH154" s="6">
        <f>IF(O154=0,0,IF(Q154="",B154*P154/100,Q154))</f>
        <v/>
      </c>
      <c r="AI154" s="6">
        <f>IF(R154=0,0,IF(T154="",B154*S154/100,T154))</f>
        <v/>
      </c>
      <c r="AJ154" s="6">
        <f>B154*0.035</f>
        <v/>
      </c>
      <c r="AK154" s="6">
        <f>B154*0.065</f>
        <v/>
      </c>
      <c r="AL154" s="6">
        <f>SUM(B154,AD154,AE154,AF154,AG154,AH154,AI154,U154,V154,AJ154,AK154)</f>
        <v/>
      </c>
      <c r="AM154" s="6">
        <f>B154*0.055</f>
        <v/>
      </c>
      <c r="AN154" s="6">
        <f>B154*0.035</f>
        <v/>
      </c>
      <c r="AO154" s="6">
        <f>B154*0.165</f>
        <v/>
      </c>
      <c r="AP154" s="6">
        <f>MAX(0,AL154-AM154-AO154)</f>
        <v/>
      </c>
      <c r="AQ154" s="6">
        <f>IF(AP154&lt;=490,0,IF(AP154&lt;=600,(AP154-490)*0.05,IF(AP154&lt;=730,5.5+(AP154-600)*0.10,IF(AP154&lt;=3896.67,18.5+(AP154-730)*0.175,IF(AP154&lt;=19896.67,572.67+(AP154-3896.67)*0.25,IF(AP154&lt;=50416.67,4572.67+(AP154-19896.67)*0.30,13728.67+(AP154-50416.67)*0.35))))))</f>
        <v/>
      </c>
      <c r="AR154" s="6">
        <f>SUM(AM154,AQ154,W154,X154,Y154,Z154,AA154,AN154,AO154)</f>
        <v/>
      </c>
      <c r="AS154" s="6">
        <f>AL154-AR154</f>
        <v/>
      </c>
      <c r="AT154" s="6">
        <f>AB154-AC154</f>
        <v/>
      </c>
    </row>
    <row r="155">
      <c r="A155" s="2" t="n"/>
      <c r="B155" s="3" t="n"/>
      <c r="C155" s="4" t="n"/>
      <c r="D155" s="5" t="n"/>
      <c r="E155" s="3" t="n"/>
      <c r="F155" s="4" t="n"/>
      <c r="G155" s="5" t="n"/>
      <c r="H155" s="3" t="n"/>
      <c r="I155" s="4" t="n"/>
      <c r="J155" s="5" t="n"/>
      <c r="K155" s="3" t="n"/>
      <c r="L155" s="4" t="n"/>
      <c r="M155" s="5" t="n"/>
      <c r="N155" s="3" t="n"/>
      <c r="O155" s="4" t="n"/>
      <c r="P155" s="5" t="n"/>
      <c r="Q155" s="3" t="n"/>
      <c r="R155" s="4" t="n"/>
      <c r="S155" s="5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6">
        <f>IF(C155=0,0,IF(E155="",B155*D155/100,E155))</f>
        <v/>
      </c>
      <c r="AE155" s="6">
        <f>IF(F155=0,0,IF(H155="",B155*G155/100,H155))</f>
        <v/>
      </c>
      <c r="AF155" s="6">
        <f>IF(I155=0,0,IF(K155="",B155*J155/100,K155))</f>
        <v/>
      </c>
      <c r="AG155" s="6">
        <f>IF(L155=0,0,IF(N155="",B155*M155/100,N155))</f>
        <v/>
      </c>
      <c r="AH155" s="6">
        <f>IF(O155=0,0,IF(Q155="",B155*P155/100,Q155))</f>
        <v/>
      </c>
      <c r="AI155" s="6">
        <f>IF(R155=0,0,IF(T155="",B155*S155/100,T155))</f>
        <v/>
      </c>
      <c r="AJ155" s="6">
        <f>B155*0.035</f>
        <v/>
      </c>
      <c r="AK155" s="6">
        <f>B155*0.065</f>
        <v/>
      </c>
      <c r="AL155" s="6">
        <f>SUM(B155,AD155,AE155,AF155,AG155,AH155,AI155,U155,V155,AJ155,AK155)</f>
        <v/>
      </c>
      <c r="AM155" s="6">
        <f>B155*0.055</f>
        <v/>
      </c>
      <c r="AN155" s="6">
        <f>B155*0.035</f>
        <v/>
      </c>
      <c r="AO155" s="6">
        <f>B155*0.165</f>
        <v/>
      </c>
      <c r="AP155" s="6">
        <f>MAX(0,AL155-AM155-AO155)</f>
        <v/>
      </c>
      <c r="AQ155" s="6">
        <f>IF(AP155&lt;=490,0,IF(AP155&lt;=600,(AP155-490)*0.05,IF(AP155&lt;=730,5.5+(AP155-600)*0.10,IF(AP155&lt;=3896.67,18.5+(AP155-730)*0.175,IF(AP155&lt;=19896.67,572.67+(AP155-3896.67)*0.25,IF(AP155&lt;=50416.67,4572.67+(AP155-19896.67)*0.30,13728.67+(AP155-50416.67)*0.35))))))</f>
        <v/>
      </c>
      <c r="AR155" s="6">
        <f>SUM(AM155,AQ155,W155,X155,Y155,Z155,AA155,AN155,AO155)</f>
        <v/>
      </c>
      <c r="AS155" s="6">
        <f>AL155-AR155</f>
        <v/>
      </c>
      <c r="AT155" s="6">
        <f>AB155-AC155</f>
        <v/>
      </c>
    </row>
    <row r="156">
      <c r="A156" s="2" t="n"/>
      <c r="B156" s="3" t="n"/>
      <c r="C156" s="4" t="n"/>
      <c r="D156" s="5" t="n"/>
      <c r="E156" s="3" t="n"/>
      <c r="F156" s="4" t="n"/>
      <c r="G156" s="5" t="n"/>
      <c r="H156" s="3" t="n"/>
      <c r="I156" s="4" t="n"/>
      <c r="J156" s="5" t="n"/>
      <c r="K156" s="3" t="n"/>
      <c r="L156" s="4" t="n"/>
      <c r="M156" s="5" t="n"/>
      <c r="N156" s="3" t="n"/>
      <c r="O156" s="4" t="n"/>
      <c r="P156" s="5" t="n"/>
      <c r="Q156" s="3" t="n"/>
      <c r="R156" s="4" t="n"/>
      <c r="S156" s="5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6">
        <f>IF(C156=0,0,IF(E156="",B156*D156/100,E156))</f>
        <v/>
      </c>
      <c r="AE156" s="6">
        <f>IF(F156=0,0,IF(H156="",B156*G156/100,H156))</f>
        <v/>
      </c>
      <c r="AF156" s="6">
        <f>IF(I156=0,0,IF(K156="",B156*J156/100,K156))</f>
        <v/>
      </c>
      <c r="AG156" s="6">
        <f>IF(L156=0,0,IF(N156="",B156*M156/100,N156))</f>
        <v/>
      </c>
      <c r="AH156" s="6">
        <f>IF(O156=0,0,IF(Q156="",B156*P156/100,Q156))</f>
        <v/>
      </c>
      <c r="AI156" s="6">
        <f>IF(R156=0,0,IF(T156="",B156*S156/100,T156))</f>
        <v/>
      </c>
      <c r="AJ156" s="6">
        <f>B156*0.035</f>
        <v/>
      </c>
      <c r="AK156" s="6">
        <f>B156*0.065</f>
        <v/>
      </c>
      <c r="AL156" s="6">
        <f>SUM(B156,AD156,AE156,AF156,AG156,AH156,AI156,U156,V156,AJ156,AK156)</f>
        <v/>
      </c>
      <c r="AM156" s="6">
        <f>B156*0.055</f>
        <v/>
      </c>
      <c r="AN156" s="6">
        <f>B156*0.035</f>
        <v/>
      </c>
      <c r="AO156" s="6">
        <f>B156*0.165</f>
        <v/>
      </c>
      <c r="AP156" s="6">
        <f>MAX(0,AL156-AM156-AO156)</f>
        <v/>
      </c>
      <c r="AQ156" s="6">
        <f>IF(AP156&lt;=490,0,IF(AP156&lt;=600,(AP156-490)*0.05,IF(AP156&lt;=730,5.5+(AP156-600)*0.10,IF(AP156&lt;=3896.67,18.5+(AP156-730)*0.175,IF(AP156&lt;=19896.67,572.67+(AP156-3896.67)*0.25,IF(AP156&lt;=50416.67,4572.67+(AP156-19896.67)*0.30,13728.67+(AP156-50416.67)*0.35))))))</f>
        <v/>
      </c>
      <c r="AR156" s="6">
        <f>SUM(AM156,AQ156,W156,X156,Y156,Z156,AA156,AN156,AO156)</f>
        <v/>
      </c>
      <c r="AS156" s="6">
        <f>AL156-AR156</f>
        <v/>
      </c>
      <c r="AT156" s="6">
        <f>AB156-AC156</f>
        <v/>
      </c>
    </row>
    <row r="157">
      <c r="A157" s="2" t="n"/>
      <c r="B157" s="3" t="n"/>
      <c r="C157" s="4" t="n"/>
      <c r="D157" s="5" t="n"/>
      <c r="E157" s="3" t="n"/>
      <c r="F157" s="4" t="n"/>
      <c r="G157" s="5" t="n"/>
      <c r="H157" s="3" t="n"/>
      <c r="I157" s="4" t="n"/>
      <c r="J157" s="5" t="n"/>
      <c r="K157" s="3" t="n"/>
      <c r="L157" s="4" t="n"/>
      <c r="M157" s="5" t="n"/>
      <c r="N157" s="3" t="n"/>
      <c r="O157" s="4" t="n"/>
      <c r="P157" s="5" t="n"/>
      <c r="Q157" s="3" t="n"/>
      <c r="R157" s="4" t="n"/>
      <c r="S157" s="5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6">
        <f>IF(C157=0,0,IF(E157="",B157*D157/100,E157))</f>
        <v/>
      </c>
      <c r="AE157" s="6">
        <f>IF(F157=0,0,IF(H157="",B157*G157/100,H157))</f>
        <v/>
      </c>
      <c r="AF157" s="6">
        <f>IF(I157=0,0,IF(K157="",B157*J157/100,K157))</f>
        <v/>
      </c>
      <c r="AG157" s="6">
        <f>IF(L157=0,0,IF(N157="",B157*M157/100,N157))</f>
        <v/>
      </c>
      <c r="AH157" s="6">
        <f>IF(O157=0,0,IF(Q157="",B157*P157/100,Q157))</f>
        <v/>
      </c>
      <c r="AI157" s="6">
        <f>IF(R157=0,0,IF(T157="",B157*S157/100,T157))</f>
        <v/>
      </c>
      <c r="AJ157" s="6">
        <f>B157*0.035</f>
        <v/>
      </c>
      <c r="AK157" s="6">
        <f>B157*0.065</f>
        <v/>
      </c>
      <c r="AL157" s="6">
        <f>SUM(B157,AD157,AE157,AF157,AG157,AH157,AI157,U157,V157,AJ157,AK157)</f>
        <v/>
      </c>
      <c r="AM157" s="6">
        <f>B157*0.055</f>
        <v/>
      </c>
      <c r="AN157" s="6">
        <f>B157*0.035</f>
        <v/>
      </c>
      <c r="AO157" s="6">
        <f>B157*0.165</f>
        <v/>
      </c>
      <c r="AP157" s="6">
        <f>MAX(0,AL157-AM157-AO157)</f>
        <v/>
      </c>
      <c r="AQ157" s="6">
        <f>IF(AP157&lt;=490,0,IF(AP157&lt;=600,(AP157-490)*0.05,IF(AP157&lt;=730,5.5+(AP157-600)*0.10,IF(AP157&lt;=3896.67,18.5+(AP157-730)*0.175,IF(AP157&lt;=19896.67,572.67+(AP157-3896.67)*0.25,IF(AP157&lt;=50416.67,4572.67+(AP157-19896.67)*0.30,13728.67+(AP157-50416.67)*0.35))))))</f>
        <v/>
      </c>
      <c r="AR157" s="6">
        <f>SUM(AM157,AQ157,W157,X157,Y157,Z157,AA157,AN157,AO157)</f>
        <v/>
      </c>
      <c r="AS157" s="6">
        <f>AL157-AR157</f>
        <v/>
      </c>
      <c r="AT157" s="6">
        <f>AB157-AC157</f>
        <v/>
      </c>
    </row>
    <row r="158">
      <c r="A158" s="2" t="n"/>
      <c r="B158" s="3" t="n"/>
      <c r="C158" s="4" t="n"/>
      <c r="D158" s="5" t="n"/>
      <c r="E158" s="3" t="n"/>
      <c r="F158" s="4" t="n"/>
      <c r="G158" s="5" t="n"/>
      <c r="H158" s="3" t="n"/>
      <c r="I158" s="4" t="n"/>
      <c r="J158" s="5" t="n"/>
      <c r="K158" s="3" t="n"/>
      <c r="L158" s="4" t="n"/>
      <c r="M158" s="5" t="n"/>
      <c r="N158" s="3" t="n"/>
      <c r="O158" s="4" t="n"/>
      <c r="P158" s="5" t="n"/>
      <c r="Q158" s="3" t="n"/>
      <c r="R158" s="4" t="n"/>
      <c r="S158" s="5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6">
        <f>IF(C158=0,0,IF(E158="",B158*D158/100,E158))</f>
        <v/>
      </c>
      <c r="AE158" s="6">
        <f>IF(F158=0,0,IF(H158="",B158*G158/100,H158))</f>
        <v/>
      </c>
      <c r="AF158" s="6">
        <f>IF(I158=0,0,IF(K158="",B158*J158/100,K158))</f>
        <v/>
      </c>
      <c r="AG158" s="6">
        <f>IF(L158=0,0,IF(N158="",B158*M158/100,N158))</f>
        <v/>
      </c>
      <c r="AH158" s="6">
        <f>IF(O158=0,0,IF(Q158="",B158*P158/100,Q158))</f>
        <v/>
      </c>
      <c r="AI158" s="6">
        <f>IF(R158=0,0,IF(T158="",B158*S158/100,T158))</f>
        <v/>
      </c>
      <c r="AJ158" s="6">
        <f>B158*0.035</f>
        <v/>
      </c>
      <c r="AK158" s="6">
        <f>B158*0.065</f>
        <v/>
      </c>
      <c r="AL158" s="6">
        <f>SUM(B158,AD158,AE158,AF158,AG158,AH158,AI158,U158,V158,AJ158,AK158)</f>
        <v/>
      </c>
      <c r="AM158" s="6">
        <f>B158*0.055</f>
        <v/>
      </c>
      <c r="AN158" s="6">
        <f>B158*0.035</f>
        <v/>
      </c>
      <c r="AO158" s="6">
        <f>B158*0.165</f>
        <v/>
      </c>
      <c r="AP158" s="6">
        <f>MAX(0,AL158-AM158-AO158)</f>
        <v/>
      </c>
      <c r="AQ158" s="6">
        <f>IF(AP158&lt;=490,0,IF(AP158&lt;=600,(AP158-490)*0.05,IF(AP158&lt;=730,5.5+(AP158-600)*0.10,IF(AP158&lt;=3896.67,18.5+(AP158-730)*0.175,IF(AP158&lt;=19896.67,572.67+(AP158-3896.67)*0.25,IF(AP158&lt;=50416.67,4572.67+(AP158-19896.67)*0.30,13728.67+(AP158-50416.67)*0.35))))))</f>
        <v/>
      </c>
      <c r="AR158" s="6">
        <f>SUM(AM158,AQ158,W158,X158,Y158,Z158,AA158,AN158,AO158)</f>
        <v/>
      </c>
      <c r="AS158" s="6">
        <f>AL158-AR158</f>
        <v/>
      </c>
      <c r="AT158" s="6">
        <f>AB158-AC158</f>
        <v/>
      </c>
    </row>
    <row r="159">
      <c r="A159" s="2" t="n"/>
      <c r="B159" s="3" t="n"/>
      <c r="C159" s="4" t="n"/>
      <c r="D159" s="5" t="n"/>
      <c r="E159" s="3" t="n"/>
      <c r="F159" s="4" t="n"/>
      <c r="G159" s="5" t="n"/>
      <c r="H159" s="3" t="n"/>
      <c r="I159" s="4" t="n"/>
      <c r="J159" s="5" t="n"/>
      <c r="K159" s="3" t="n"/>
      <c r="L159" s="4" t="n"/>
      <c r="M159" s="5" t="n"/>
      <c r="N159" s="3" t="n"/>
      <c r="O159" s="4" t="n"/>
      <c r="P159" s="5" t="n"/>
      <c r="Q159" s="3" t="n"/>
      <c r="R159" s="4" t="n"/>
      <c r="S159" s="5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6">
        <f>IF(C159=0,0,IF(E159="",B159*D159/100,E159))</f>
        <v/>
      </c>
      <c r="AE159" s="6">
        <f>IF(F159=0,0,IF(H159="",B159*G159/100,H159))</f>
        <v/>
      </c>
      <c r="AF159" s="6">
        <f>IF(I159=0,0,IF(K159="",B159*J159/100,K159))</f>
        <v/>
      </c>
      <c r="AG159" s="6">
        <f>IF(L159=0,0,IF(N159="",B159*M159/100,N159))</f>
        <v/>
      </c>
      <c r="AH159" s="6">
        <f>IF(O159=0,0,IF(Q159="",B159*P159/100,Q159))</f>
        <v/>
      </c>
      <c r="AI159" s="6">
        <f>IF(R159=0,0,IF(T159="",B159*S159/100,T159))</f>
        <v/>
      </c>
      <c r="AJ159" s="6">
        <f>B159*0.035</f>
        <v/>
      </c>
      <c r="AK159" s="6">
        <f>B159*0.065</f>
        <v/>
      </c>
      <c r="AL159" s="6">
        <f>SUM(B159,AD159,AE159,AF159,AG159,AH159,AI159,U159,V159,AJ159,AK159)</f>
        <v/>
      </c>
      <c r="AM159" s="6">
        <f>B159*0.055</f>
        <v/>
      </c>
      <c r="AN159" s="6">
        <f>B159*0.035</f>
        <v/>
      </c>
      <c r="AO159" s="6">
        <f>B159*0.165</f>
        <v/>
      </c>
      <c r="AP159" s="6">
        <f>MAX(0,AL159-AM159-AO159)</f>
        <v/>
      </c>
      <c r="AQ159" s="6">
        <f>IF(AP159&lt;=490,0,IF(AP159&lt;=600,(AP159-490)*0.05,IF(AP159&lt;=730,5.5+(AP159-600)*0.10,IF(AP159&lt;=3896.67,18.5+(AP159-730)*0.175,IF(AP159&lt;=19896.67,572.67+(AP159-3896.67)*0.25,IF(AP159&lt;=50416.67,4572.67+(AP159-19896.67)*0.30,13728.67+(AP159-50416.67)*0.35))))))</f>
        <v/>
      </c>
      <c r="AR159" s="6">
        <f>SUM(AM159,AQ159,W159,X159,Y159,Z159,AA159,AN159,AO159)</f>
        <v/>
      </c>
      <c r="AS159" s="6">
        <f>AL159-AR159</f>
        <v/>
      </c>
      <c r="AT159" s="6">
        <f>AB159-AC159</f>
        <v/>
      </c>
    </row>
    <row r="160">
      <c r="A160" s="2" t="n"/>
      <c r="B160" s="3" t="n"/>
      <c r="C160" s="4" t="n"/>
      <c r="D160" s="5" t="n"/>
      <c r="E160" s="3" t="n"/>
      <c r="F160" s="4" t="n"/>
      <c r="G160" s="5" t="n"/>
      <c r="H160" s="3" t="n"/>
      <c r="I160" s="4" t="n"/>
      <c r="J160" s="5" t="n"/>
      <c r="K160" s="3" t="n"/>
      <c r="L160" s="4" t="n"/>
      <c r="M160" s="5" t="n"/>
      <c r="N160" s="3" t="n"/>
      <c r="O160" s="4" t="n"/>
      <c r="P160" s="5" t="n"/>
      <c r="Q160" s="3" t="n"/>
      <c r="R160" s="4" t="n"/>
      <c r="S160" s="5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6">
        <f>IF(C160=0,0,IF(E160="",B160*D160/100,E160))</f>
        <v/>
      </c>
      <c r="AE160" s="6">
        <f>IF(F160=0,0,IF(H160="",B160*G160/100,H160))</f>
        <v/>
      </c>
      <c r="AF160" s="6">
        <f>IF(I160=0,0,IF(K160="",B160*J160/100,K160))</f>
        <v/>
      </c>
      <c r="AG160" s="6">
        <f>IF(L160=0,0,IF(N160="",B160*M160/100,N160))</f>
        <v/>
      </c>
      <c r="AH160" s="6">
        <f>IF(O160=0,0,IF(Q160="",B160*P160/100,Q160))</f>
        <v/>
      </c>
      <c r="AI160" s="6">
        <f>IF(R160=0,0,IF(T160="",B160*S160/100,T160))</f>
        <v/>
      </c>
      <c r="AJ160" s="6">
        <f>B160*0.035</f>
        <v/>
      </c>
      <c r="AK160" s="6">
        <f>B160*0.065</f>
        <v/>
      </c>
      <c r="AL160" s="6">
        <f>SUM(B160,AD160,AE160,AF160,AG160,AH160,AI160,U160,V160,AJ160,AK160)</f>
        <v/>
      </c>
      <c r="AM160" s="6">
        <f>B160*0.055</f>
        <v/>
      </c>
      <c r="AN160" s="6">
        <f>B160*0.035</f>
        <v/>
      </c>
      <c r="AO160" s="6">
        <f>B160*0.165</f>
        <v/>
      </c>
      <c r="AP160" s="6">
        <f>MAX(0,AL160-AM160-AO160)</f>
        <v/>
      </c>
      <c r="AQ160" s="6">
        <f>IF(AP160&lt;=490,0,IF(AP160&lt;=600,(AP160-490)*0.05,IF(AP160&lt;=730,5.5+(AP160-600)*0.10,IF(AP160&lt;=3896.67,18.5+(AP160-730)*0.175,IF(AP160&lt;=19896.67,572.67+(AP160-3896.67)*0.25,IF(AP160&lt;=50416.67,4572.67+(AP160-19896.67)*0.30,13728.67+(AP160-50416.67)*0.35))))))</f>
        <v/>
      </c>
      <c r="AR160" s="6">
        <f>SUM(AM160,AQ160,W160,X160,Y160,Z160,AA160,AN160,AO160)</f>
        <v/>
      </c>
      <c r="AS160" s="6">
        <f>AL160-AR160</f>
        <v/>
      </c>
      <c r="AT160" s="6">
        <f>AB160-AC160</f>
        <v/>
      </c>
    </row>
    <row r="161">
      <c r="A161" s="2" t="n"/>
      <c r="B161" s="3" t="n"/>
      <c r="C161" s="4" t="n"/>
      <c r="D161" s="5" t="n"/>
      <c r="E161" s="3" t="n"/>
      <c r="F161" s="4" t="n"/>
      <c r="G161" s="5" t="n"/>
      <c r="H161" s="3" t="n"/>
      <c r="I161" s="4" t="n"/>
      <c r="J161" s="5" t="n"/>
      <c r="K161" s="3" t="n"/>
      <c r="L161" s="4" t="n"/>
      <c r="M161" s="5" t="n"/>
      <c r="N161" s="3" t="n"/>
      <c r="O161" s="4" t="n"/>
      <c r="P161" s="5" t="n"/>
      <c r="Q161" s="3" t="n"/>
      <c r="R161" s="4" t="n"/>
      <c r="S161" s="5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6">
        <f>IF(C161=0,0,IF(E161="",B161*D161/100,E161))</f>
        <v/>
      </c>
      <c r="AE161" s="6">
        <f>IF(F161=0,0,IF(H161="",B161*G161/100,H161))</f>
        <v/>
      </c>
      <c r="AF161" s="6">
        <f>IF(I161=0,0,IF(K161="",B161*J161/100,K161))</f>
        <v/>
      </c>
      <c r="AG161" s="6">
        <f>IF(L161=0,0,IF(N161="",B161*M161/100,N161))</f>
        <v/>
      </c>
      <c r="AH161" s="6">
        <f>IF(O161=0,0,IF(Q161="",B161*P161/100,Q161))</f>
        <v/>
      </c>
      <c r="AI161" s="6">
        <f>IF(R161=0,0,IF(T161="",B161*S161/100,T161))</f>
        <v/>
      </c>
      <c r="AJ161" s="6">
        <f>B161*0.035</f>
        <v/>
      </c>
      <c r="AK161" s="6">
        <f>B161*0.065</f>
        <v/>
      </c>
      <c r="AL161" s="6">
        <f>SUM(B161,AD161,AE161,AF161,AG161,AH161,AI161,U161,V161,AJ161,AK161)</f>
        <v/>
      </c>
      <c r="AM161" s="6">
        <f>B161*0.055</f>
        <v/>
      </c>
      <c r="AN161" s="6">
        <f>B161*0.035</f>
        <v/>
      </c>
      <c r="AO161" s="6">
        <f>B161*0.165</f>
        <v/>
      </c>
      <c r="AP161" s="6">
        <f>MAX(0,AL161-AM161-AO161)</f>
        <v/>
      </c>
      <c r="AQ161" s="6">
        <f>IF(AP161&lt;=490,0,IF(AP161&lt;=600,(AP161-490)*0.05,IF(AP161&lt;=730,5.5+(AP161-600)*0.10,IF(AP161&lt;=3896.67,18.5+(AP161-730)*0.175,IF(AP161&lt;=19896.67,572.67+(AP161-3896.67)*0.25,IF(AP161&lt;=50416.67,4572.67+(AP161-19896.67)*0.30,13728.67+(AP161-50416.67)*0.35))))))</f>
        <v/>
      </c>
      <c r="AR161" s="6">
        <f>SUM(AM161,AQ161,W161,X161,Y161,Z161,AA161,AN161,AO161)</f>
        <v/>
      </c>
      <c r="AS161" s="6">
        <f>AL161-AR161</f>
        <v/>
      </c>
      <c r="AT161" s="6">
        <f>AB161-AC161</f>
        <v/>
      </c>
    </row>
    <row r="162">
      <c r="A162" s="2" t="n"/>
      <c r="B162" s="3" t="n"/>
      <c r="C162" s="4" t="n"/>
      <c r="D162" s="5" t="n"/>
      <c r="E162" s="3" t="n"/>
      <c r="F162" s="4" t="n"/>
      <c r="G162" s="5" t="n"/>
      <c r="H162" s="3" t="n"/>
      <c r="I162" s="4" t="n"/>
      <c r="J162" s="5" t="n"/>
      <c r="K162" s="3" t="n"/>
      <c r="L162" s="4" t="n"/>
      <c r="M162" s="5" t="n"/>
      <c r="N162" s="3" t="n"/>
      <c r="O162" s="4" t="n"/>
      <c r="P162" s="5" t="n"/>
      <c r="Q162" s="3" t="n"/>
      <c r="R162" s="4" t="n"/>
      <c r="S162" s="5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6">
        <f>IF(C162=0,0,IF(E162="",B162*D162/100,E162))</f>
        <v/>
      </c>
      <c r="AE162" s="6">
        <f>IF(F162=0,0,IF(H162="",B162*G162/100,H162))</f>
        <v/>
      </c>
      <c r="AF162" s="6">
        <f>IF(I162=0,0,IF(K162="",B162*J162/100,K162))</f>
        <v/>
      </c>
      <c r="AG162" s="6">
        <f>IF(L162=0,0,IF(N162="",B162*M162/100,N162))</f>
        <v/>
      </c>
      <c r="AH162" s="6">
        <f>IF(O162=0,0,IF(Q162="",B162*P162/100,Q162))</f>
        <v/>
      </c>
      <c r="AI162" s="6">
        <f>IF(R162=0,0,IF(T162="",B162*S162/100,T162))</f>
        <v/>
      </c>
      <c r="AJ162" s="6">
        <f>B162*0.035</f>
        <v/>
      </c>
      <c r="AK162" s="6">
        <f>B162*0.065</f>
        <v/>
      </c>
      <c r="AL162" s="6">
        <f>SUM(B162,AD162,AE162,AF162,AG162,AH162,AI162,U162,V162,AJ162,AK162)</f>
        <v/>
      </c>
      <c r="AM162" s="6">
        <f>B162*0.055</f>
        <v/>
      </c>
      <c r="AN162" s="6">
        <f>B162*0.035</f>
        <v/>
      </c>
      <c r="AO162" s="6">
        <f>B162*0.165</f>
        <v/>
      </c>
      <c r="AP162" s="6">
        <f>MAX(0,AL162-AM162-AO162)</f>
        <v/>
      </c>
      <c r="AQ162" s="6">
        <f>IF(AP162&lt;=490,0,IF(AP162&lt;=600,(AP162-490)*0.05,IF(AP162&lt;=730,5.5+(AP162-600)*0.10,IF(AP162&lt;=3896.67,18.5+(AP162-730)*0.175,IF(AP162&lt;=19896.67,572.67+(AP162-3896.67)*0.25,IF(AP162&lt;=50416.67,4572.67+(AP162-19896.67)*0.30,13728.67+(AP162-50416.67)*0.35))))))</f>
        <v/>
      </c>
      <c r="AR162" s="6">
        <f>SUM(AM162,AQ162,W162,X162,Y162,Z162,AA162,AN162,AO162)</f>
        <v/>
      </c>
      <c r="AS162" s="6">
        <f>AL162-AR162</f>
        <v/>
      </c>
      <c r="AT162" s="6">
        <f>AB162-AC162</f>
        <v/>
      </c>
    </row>
    <row r="163">
      <c r="A163" s="2" t="n"/>
      <c r="B163" s="3" t="n"/>
      <c r="C163" s="4" t="n"/>
      <c r="D163" s="5" t="n"/>
      <c r="E163" s="3" t="n"/>
      <c r="F163" s="4" t="n"/>
      <c r="G163" s="5" t="n"/>
      <c r="H163" s="3" t="n"/>
      <c r="I163" s="4" t="n"/>
      <c r="J163" s="5" t="n"/>
      <c r="K163" s="3" t="n"/>
      <c r="L163" s="4" t="n"/>
      <c r="M163" s="5" t="n"/>
      <c r="N163" s="3" t="n"/>
      <c r="O163" s="4" t="n"/>
      <c r="P163" s="5" t="n"/>
      <c r="Q163" s="3" t="n"/>
      <c r="R163" s="4" t="n"/>
      <c r="S163" s="5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6">
        <f>IF(C163=0,0,IF(E163="",B163*D163/100,E163))</f>
        <v/>
      </c>
      <c r="AE163" s="6">
        <f>IF(F163=0,0,IF(H163="",B163*G163/100,H163))</f>
        <v/>
      </c>
      <c r="AF163" s="6">
        <f>IF(I163=0,0,IF(K163="",B163*J163/100,K163))</f>
        <v/>
      </c>
      <c r="AG163" s="6">
        <f>IF(L163=0,0,IF(N163="",B163*M163/100,N163))</f>
        <v/>
      </c>
      <c r="AH163" s="6">
        <f>IF(O163=0,0,IF(Q163="",B163*P163/100,Q163))</f>
        <v/>
      </c>
      <c r="AI163" s="6">
        <f>IF(R163=0,0,IF(T163="",B163*S163/100,T163))</f>
        <v/>
      </c>
      <c r="AJ163" s="6">
        <f>B163*0.035</f>
        <v/>
      </c>
      <c r="AK163" s="6">
        <f>B163*0.065</f>
        <v/>
      </c>
      <c r="AL163" s="6">
        <f>SUM(B163,AD163,AE163,AF163,AG163,AH163,AI163,U163,V163,AJ163,AK163)</f>
        <v/>
      </c>
      <c r="AM163" s="6">
        <f>B163*0.055</f>
        <v/>
      </c>
      <c r="AN163" s="6">
        <f>B163*0.035</f>
        <v/>
      </c>
      <c r="AO163" s="6">
        <f>B163*0.165</f>
        <v/>
      </c>
      <c r="AP163" s="6">
        <f>MAX(0,AL163-AM163-AO163)</f>
        <v/>
      </c>
      <c r="AQ163" s="6">
        <f>IF(AP163&lt;=490,0,IF(AP163&lt;=600,(AP163-490)*0.05,IF(AP163&lt;=730,5.5+(AP163-600)*0.10,IF(AP163&lt;=3896.67,18.5+(AP163-730)*0.175,IF(AP163&lt;=19896.67,572.67+(AP163-3896.67)*0.25,IF(AP163&lt;=50416.67,4572.67+(AP163-19896.67)*0.30,13728.67+(AP163-50416.67)*0.35))))))</f>
        <v/>
      </c>
      <c r="AR163" s="6">
        <f>SUM(AM163,AQ163,W163,X163,Y163,Z163,AA163,AN163,AO163)</f>
        <v/>
      </c>
      <c r="AS163" s="6">
        <f>AL163-AR163</f>
        <v/>
      </c>
      <c r="AT163" s="6">
        <f>AB163-AC163</f>
        <v/>
      </c>
    </row>
    <row r="164">
      <c r="A164" s="2" t="n"/>
      <c r="B164" s="3" t="n"/>
      <c r="C164" s="4" t="n"/>
      <c r="D164" s="5" t="n"/>
      <c r="E164" s="3" t="n"/>
      <c r="F164" s="4" t="n"/>
      <c r="G164" s="5" t="n"/>
      <c r="H164" s="3" t="n"/>
      <c r="I164" s="4" t="n"/>
      <c r="J164" s="5" t="n"/>
      <c r="K164" s="3" t="n"/>
      <c r="L164" s="4" t="n"/>
      <c r="M164" s="5" t="n"/>
      <c r="N164" s="3" t="n"/>
      <c r="O164" s="4" t="n"/>
      <c r="P164" s="5" t="n"/>
      <c r="Q164" s="3" t="n"/>
      <c r="R164" s="4" t="n"/>
      <c r="S164" s="5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6">
        <f>IF(C164=0,0,IF(E164="",B164*D164/100,E164))</f>
        <v/>
      </c>
      <c r="AE164" s="6">
        <f>IF(F164=0,0,IF(H164="",B164*G164/100,H164))</f>
        <v/>
      </c>
      <c r="AF164" s="6">
        <f>IF(I164=0,0,IF(K164="",B164*J164/100,K164))</f>
        <v/>
      </c>
      <c r="AG164" s="6">
        <f>IF(L164=0,0,IF(N164="",B164*M164/100,N164))</f>
        <v/>
      </c>
      <c r="AH164" s="6">
        <f>IF(O164=0,0,IF(Q164="",B164*P164/100,Q164))</f>
        <v/>
      </c>
      <c r="AI164" s="6">
        <f>IF(R164=0,0,IF(T164="",B164*S164/100,T164))</f>
        <v/>
      </c>
      <c r="AJ164" s="6">
        <f>B164*0.035</f>
        <v/>
      </c>
      <c r="AK164" s="6">
        <f>B164*0.065</f>
        <v/>
      </c>
      <c r="AL164" s="6">
        <f>SUM(B164,AD164,AE164,AF164,AG164,AH164,AI164,U164,V164,AJ164,AK164)</f>
        <v/>
      </c>
      <c r="AM164" s="6">
        <f>B164*0.055</f>
        <v/>
      </c>
      <c r="AN164" s="6">
        <f>B164*0.035</f>
        <v/>
      </c>
      <c r="AO164" s="6">
        <f>B164*0.165</f>
        <v/>
      </c>
      <c r="AP164" s="6">
        <f>MAX(0,AL164-AM164-AO164)</f>
        <v/>
      </c>
      <c r="AQ164" s="6">
        <f>IF(AP164&lt;=490,0,IF(AP164&lt;=600,(AP164-490)*0.05,IF(AP164&lt;=730,5.5+(AP164-600)*0.10,IF(AP164&lt;=3896.67,18.5+(AP164-730)*0.175,IF(AP164&lt;=19896.67,572.67+(AP164-3896.67)*0.25,IF(AP164&lt;=50416.67,4572.67+(AP164-19896.67)*0.30,13728.67+(AP164-50416.67)*0.35))))))</f>
        <v/>
      </c>
      <c r="AR164" s="6">
        <f>SUM(AM164,AQ164,W164,X164,Y164,Z164,AA164,AN164,AO164)</f>
        <v/>
      </c>
      <c r="AS164" s="6">
        <f>AL164-AR164</f>
        <v/>
      </c>
      <c r="AT164" s="6">
        <f>AB164-AC164</f>
        <v/>
      </c>
    </row>
    <row r="165">
      <c r="A165" s="2" t="n"/>
      <c r="B165" s="3" t="n"/>
      <c r="C165" s="4" t="n"/>
      <c r="D165" s="5" t="n"/>
      <c r="E165" s="3" t="n"/>
      <c r="F165" s="4" t="n"/>
      <c r="G165" s="5" t="n"/>
      <c r="H165" s="3" t="n"/>
      <c r="I165" s="4" t="n"/>
      <c r="J165" s="5" t="n"/>
      <c r="K165" s="3" t="n"/>
      <c r="L165" s="4" t="n"/>
      <c r="M165" s="5" t="n"/>
      <c r="N165" s="3" t="n"/>
      <c r="O165" s="4" t="n"/>
      <c r="P165" s="5" t="n"/>
      <c r="Q165" s="3" t="n"/>
      <c r="R165" s="4" t="n"/>
      <c r="S165" s="5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6">
        <f>IF(C165=0,0,IF(E165="",B165*D165/100,E165))</f>
        <v/>
      </c>
      <c r="AE165" s="6">
        <f>IF(F165=0,0,IF(H165="",B165*G165/100,H165))</f>
        <v/>
      </c>
      <c r="AF165" s="6">
        <f>IF(I165=0,0,IF(K165="",B165*J165/100,K165))</f>
        <v/>
      </c>
      <c r="AG165" s="6">
        <f>IF(L165=0,0,IF(N165="",B165*M165/100,N165))</f>
        <v/>
      </c>
      <c r="AH165" s="6">
        <f>IF(O165=0,0,IF(Q165="",B165*P165/100,Q165))</f>
        <v/>
      </c>
      <c r="AI165" s="6">
        <f>IF(R165=0,0,IF(T165="",B165*S165/100,T165))</f>
        <v/>
      </c>
      <c r="AJ165" s="6">
        <f>B165*0.035</f>
        <v/>
      </c>
      <c r="AK165" s="6">
        <f>B165*0.065</f>
        <v/>
      </c>
      <c r="AL165" s="6">
        <f>SUM(B165,AD165,AE165,AF165,AG165,AH165,AI165,U165,V165,AJ165,AK165)</f>
        <v/>
      </c>
      <c r="AM165" s="6">
        <f>B165*0.055</f>
        <v/>
      </c>
      <c r="AN165" s="6">
        <f>B165*0.035</f>
        <v/>
      </c>
      <c r="AO165" s="6">
        <f>B165*0.165</f>
        <v/>
      </c>
      <c r="AP165" s="6">
        <f>MAX(0,AL165-AM165-AO165)</f>
        <v/>
      </c>
      <c r="AQ165" s="6">
        <f>IF(AP165&lt;=490,0,IF(AP165&lt;=600,(AP165-490)*0.05,IF(AP165&lt;=730,5.5+(AP165-600)*0.10,IF(AP165&lt;=3896.67,18.5+(AP165-730)*0.175,IF(AP165&lt;=19896.67,572.67+(AP165-3896.67)*0.25,IF(AP165&lt;=50416.67,4572.67+(AP165-19896.67)*0.30,13728.67+(AP165-50416.67)*0.35))))))</f>
        <v/>
      </c>
      <c r="AR165" s="6">
        <f>SUM(AM165,AQ165,W165,X165,Y165,Z165,AA165,AN165,AO165)</f>
        <v/>
      </c>
      <c r="AS165" s="6">
        <f>AL165-AR165</f>
        <v/>
      </c>
      <c r="AT165" s="6">
        <f>AB165-AC165</f>
        <v/>
      </c>
    </row>
    <row r="166">
      <c r="A166" s="2" t="n"/>
      <c r="B166" s="3" t="n"/>
      <c r="C166" s="4" t="n"/>
      <c r="D166" s="5" t="n"/>
      <c r="E166" s="3" t="n"/>
      <c r="F166" s="4" t="n"/>
      <c r="G166" s="5" t="n"/>
      <c r="H166" s="3" t="n"/>
      <c r="I166" s="4" t="n"/>
      <c r="J166" s="5" t="n"/>
      <c r="K166" s="3" t="n"/>
      <c r="L166" s="4" t="n"/>
      <c r="M166" s="5" t="n"/>
      <c r="N166" s="3" t="n"/>
      <c r="O166" s="4" t="n"/>
      <c r="P166" s="5" t="n"/>
      <c r="Q166" s="3" t="n"/>
      <c r="R166" s="4" t="n"/>
      <c r="S166" s="5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6">
        <f>IF(C166=0,0,IF(E166="",B166*D166/100,E166))</f>
        <v/>
      </c>
      <c r="AE166" s="6">
        <f>IF(F166=0,0,IF(H166="",B166*G166/100,H166))</f>
        <v/>
      </c>
      <c r="AF166" s="6">
        <f>IF(I166=0,0,IF(K166="",B166*J166/100,K166))</f>
        <v/>
      </c>
      <c r="AG166" s="6">
        <f>IF(L166=0,0,IF(N166="",B166*M166/100,N166))</f>
        <v/>
      </c>
      <c r="AH166" s="6">
        <f>IF(O166=0,0,IF(Q166="",B166*P166/100,Q166))</f>
        <v/>
      </c>
      <c r="AI166" s="6">
        <f>IF(R166=0,0,IF(T166="",B166*S166/100,T166))</f>
        <v/>
      </c>
      <c r="AJ166" s="6">
        <f>B166*0.035</f>
        <v/>
      </c>
      <c r="AK166" s="6">
        <f>B166*0.065</f>
        <v/>
      </c>
      <c r="AL166" s="6">
        <f>SUM(B166,AD166,AE166,AF166,AG166,AH166,AI166,U166,V166,AJ166,AK166)</f>
        <v/>
      </c>
      <c r="AM166" s="6">
        <f>B166*0.055</f>
        <v/>
      </c>
      <c r="AN166" s="6">
        <f>B166*0.035</f>
        <v/>
      </c>
      <c r="AO166" s="6">
        <f>B166*0.165</f>
        <v/>
      </c>
      <c r="AP166" s="6">
        <f>MAX(0,AL166-AM166-AO166)</f>
        <v/>
      </c>
      <c r="AQ166" s="6">
        <f>IF(AP166&lt;=490,0,IF(AP166&lt;=600,(AP166-490)*0.05,IF(AP166&lt;=730,5.5+(AP166-600)*0.10,IF(AP166&lt;=3896.67,18.5+(AP166-730)*0.175,IF(AP166&lt;=19896.67,572.67+(AP166-3896.67)*0.25,IF(AP166&lt;=50416.67,4572.67+(AP166-19896.67)*0.30,13728.67+(AP166-50416.67)*0.35))))))</f>
        <v/>
      </c>
      <c r="AR166" s="6">
        <f>SUM(AM166,AQ166,W166,X166,Y166,Z166,AA166,AN166,AO166)</f>
        <v/>
      </c>
      <c r="AS166" s="6">
        <f>AL166-AR166</f>
        <v/>
      </c>
      <c r="AT166" s="6">
        <f>AB166-AC166</f>
        <v/>
      </c>
    </row>
    <row r="167">
      <c r="A167" s="2" t="n"/>
      <c r="B167" s="3" t="n"/>
      <c r="C167" s="4" t="n"/>
      <c r="D167" s="5" t="n"/>
      <c r="E167" s="3" t="n"/>
      <c r="F167" s="4" t="n"/>
      <c r="G167" s="5" t="n"/>
      <c r="H167" s="3" t="n"/>
      <c r="I167" s="4" t="n"/>
      <c r="J167" s="5" t="n"/>
      <c r="K167" s="3" t="n"/>
      <c r="L167" s="4" t="n"/>
      <c r="M167" s="5" t="n"/>
      <c r="N167" s="3" t="n"/>
      <c r="O167" s="4" t="n"/>
      <c r="P167" s="5" t="n"/>
      <c r="Q167" s="3" t="n"/>
      <c r="R167" s="4" t="n"/>
      <c r="S167" s="5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6">
        <f>IF(C167=0,0,IF(E167="",B167*D167/100,E167))</f>
        <v/>
      </c>
      <c r="AE167" s="6">
        <f>IF(F167=0,0,IF(H167="",B167*G167/100,H167))</f>
        <v/>
      </c>
      <c r="AF167" s="6">
        <f>IF(I167=0,0,IF(K167="",B167*J167/100,K167))</f>
        <v/>
      </c>
      <c r="AG167" s="6">
        <f>IF(L167=0,0,IF(N167="",B167*M167/100,N167))</f>
        <v/>
      </c>
      <c r="AH167" s="6">
        <f>IF(O167=0,0,IF(Q167="",B167*P167/100,Q167))</f>
        <v/>
      </c>
      <c r="AI167" s="6">
        <f>IF(R167=0,0,IF(T167="",B167*S167/100,T167))</f>
        <v/>
      </c>
      <c r="AJ167" s="6">
        <f>B167*0.035</f>
        <v/>
      </c>
      <c r="AK167" s="6">
        <f>B167*0.065</f>
        <v/>
      </c>
      <c r="AL167" s="6">
        <f>SUM(B167,AD167,AE167,AF167,AG167,AH167,AI167,U167,V167,AJ167,AK167)</f>
        <v/>
      </c>
      <c r="AM167" s="6">
        <f>B167*0.055</f>
        <v/>
      </c>
      <c r="AN167" s="6">
        <f>B167*0.035</f>
        <v/>
      </c>
      <c r="AO167" s="6">
        <f>B167*0.165</f>
        <v/>
      </c>
      <c r="AP167" s="6">
        <f>MAX(0,AL167-AM167-AO167)</f>
        <v/>
      </c>
      <c r="AQ167" s="6">
        <f>IF(AP167&lt;=490,0,IF(AP167&lt;=600,(AP167-490)*0.05,IF(AP167&lt;=730,5.5+(AP167-600)*0.10,IF(AP167&lt;=3896.67,18.5+(AP167-730)*0.175,IF(AP167&lt;=19896.67,572.67+(AP167-3896.67)*0.25,IF(AP167&lt;=50416.67,4572.67+(AP167-19896.67)*0.30,13728.67+(AP167-50416.67)*0.35))))))</f>
        <v/>
      </c>
      <c r="AR167" s="6">
        <f>SUM(AM167,AQ167,W167,X167,Y167,Z167,AA167,AN167,AO167)</f>
        <v/>
      </c>
      <c r="AS167" s="6">
        <f>AL167-AR167</f>
        <v/>
      </c>
      <c r="AT167" s="6">
        <f>AB167-AC167</f>
        <v/>
      </c>
    </row>
    <row r="168">
      <c r="A168" s="2" t="n"/>
      <c r="B168" s="3" t="n"/>
      <c r="C168" s="4" t="n"/>
      <c r="D168" s="5" t="n"/>
      <c r="E168" s="3" t="n"/>
      <c r="F168" s="4" t="n"/>
      <c r="G168" s="5" t="n"/>
      <c r="H168" s="3" t="n"/>
      <c r="I168" s="4" t="n"/>
      <c r="J168" s="5" t="n"/>
      <c r="K168" s="3" t="n"/>
      <c r="L168" s="4" t="n"/>
      <c r="M168" s="5" t="n"/>
      <c r="N168" s="3" t="n"/>
      <c r="O168" s="4" t="n"/>
      <c r="P168" s="5" t="n"/>
      <c r="Q168" s="3" t="n"/>
      <c r="R168" s="4" t="n"/>
      <c r="S168" s="5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6">
        <f>IF(C168=0,0,IF(E168="",B168*D168/100,E168))</f>
        <v/>
      </c>
      <c r="AE168" s="6">
        <f>IF(F168=0,0,IF(H168="",B168*G168/100,H168))</f>
        <v/>
      </c>
      <c r="AF168" s="6">
        <f>IF(I168=0,0,IF(K168="",B168*J168/100,K168))</f>
        <v/>
      </c>
      <c r="AG168" s="6">
        <f>IF(L168=0,0,IF(N168="",B168*M168/100,N168))</f>
        <v/>
      </c>
      <c r="AH168" s="6">
        <f>IF(O168=0,0,IF(Q168="",B168*P168/100,Q168))</f>
        <v/>
      </c>
      <c r="AI168" s="6">
        <f>IF(R168=0,0,IF(T168="",B168*S168/100,T168))</f>
        <v/>
      </c>
      <c r="AJ168" s="6">
        <f>B168*0.035</f>
        <v/>
      </c>
      <c r="AK168" s="6">
        <f>B168*0.065</f>
        <v/>
      </c>
      <c r="AL168" s="6">
        <f>SUM(B168,AD168,AE168,AF168,AG168,AH168,AI168,U168,V168,AJ168,AK168)</f>
        <v/>
      </c>
      <c r="AM168" s="6">
        <f>B168*0.055</f>
        <v/>
      </c>
      <c r="AN168" s="6">
        <f>B168*0.035</f>
        <v/>
      </c>
      <c r="AO168" s="6">
        <f>B168*0.165</f>
        <v/>
      </c>
      <c r="AP168" s="6">
        <f>MAX(0,AL168-AM168-AO168)</f>
        <v/>
      </c>
      <c r="AQ168" s="6">
        <f>IF(AP168&lt;=490,0,IF(AP168&lt;=600,(AP168-490)*0.05,IF(AP168&lt;=730,5.5+(AP168-600)*0.10,IF(AP168&lt;=3896.67,18.5+(AP168-730)*0.175,IF(AP168&lt;=19896.67,572.67+(AP168-3896.67)*0.25,IF(AP168&lt;=50416.67,4572.67+(AP168-19896.67)*0.30,13728.67+(AP168-50416.67)*0.35))))))</f>
        <v/>
      </c>
      <c r="AR168" s="6">
        <f>SUM(AM168,AQ168,W168,X168,Y168,Z168,AA168,AN168,AO168)</f>
        <v/>
      </c>
      <c r="AS168" s="6">
        <f>AL168-AR168</f>
        <v/>
      </c>
      <c r="AT168" s="6">
        <f>AB168-AC168</f>
        <v/>
      </c>
    </row>
    <row r="169">
      <c r="A169" s="2" t="n"/>
      <c r="B169" s="3" t="n"/>
      <c r="C169" s="4" t="n"/>
      <c r="D169" s="5" t="n"/>
      <c r="E169" s="3" t="n"/>
      <c r="F169" s="4" t="n"/>
      <c r="G169" s="5" t="n"/>
      <c r="H169" s="3" t="n"/>
      <c r="I169" s="4" t="n"/>
      <c r="J169" s="5" t="n"/>
      <c r="K169" s="3" t="n"/>
      <c r="L169" s="4" t="n"/>
      <c r="M169" s="5" t="n"/>
      <c r="N169" s="3" t="n"/>
      <c r="O169" s="4" t="n"/>
      <c r="P169" s="5" t="n"/>
      <c r="Q169" s="3" t="n"/>
      <c r="R169" s="4" t="n"/>
      <c r="S169" s="5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6">
        <f>IF(C169=0,0,IF(E169="",B169*D169/100,E169))</f>
        <v/>
      </c>
      <c r="AE169" s="6">
        <f>IF(F169=0,0,IF(H169="",B169*G169/100,H169))</f>
        <v/>
      </c>
      <c r="AF169" s="6">
        <f>IF(I169=0,0,IF(K169="",B169*J169/100,K169))</f>
        <v/>
      </c>
      <c r="AG169" s="6">
        <f>IF(L169=0,0,IF(N169="",B169*M169/100,N169))</f>
        <v/>
      </c>
      <c r="AH169" s="6">
        <f>IF(O169=0,0,IF(Q169="",B169*P169/100,Q169))</f>
        <v/>
      </c>
      <c r="AI169" s="6">
        <f>IF(R169=0,0,IF(T169="",B169*S169/100,T169))</f>
        <v/>
      </c>
      <c r="AJ169" s="6">
        <f>B169*0.035</f>
        <v/>
      </c>
      <c r="AK169" s="6">
        <f>B169*0.065</f>
        <v/>
      </c>
      <c r="AL169" s="6">
        <f>SUM(B169,AD169,AE169,AF169,AG169,AH169,AI169,U169,V169,AJ169,AK169)</f>
        <v/>
      </c>
      <c r="AM169" s="6">
        <f>B169*0.055</f>
        <v/>
      </c>
      <c r="AN169" s="6">
        <f>B169*0.035</f>
        <v/>
      </c>
      <c r="AO169" s="6">
        <f>B169*0.165</f>
        <v/>
      </c>
      <c r="AP169" s="6">
        <f>MAX(0,AL169-AM169-AO169)</f>
        <v/>
      </c>
      <c r="AQ169" s="6">
        <f>IF(AP169&lt;=490,0,IF(AP169&lt;=600,(AP169-490)*0.05,IF(AP169&lt;=730,5.5+(AP169-600)*0.10,IF(AP169&lt;=3896.67,18.5+(AP169-730)*0.175,IF(AP169&lt;=19896.67,572.67+(AP169-3896.67)*0.25,IF(AP169&lt;=50416.67,4572.67+(AP169-19896.67)*0.30,13728.67+(AP169-50416.67)*0.35))))))</f>
        <v/>
      </c>
      <c r="AR169" s="6">
        <f>SUM(AM169,AQ169,W169,X169,Y169,Z169,AA169,AN169,AO169)</f>
        <v/>
      </c>
      <c r="AS169" s="6">
        <f>AL169-AR169</f>
        <v/>
      </c>
      <c r="AT169" s="6">
        <f>AB169-AC169</f>
        <v/>
      </c>
    </row>
    <row r="170">
      <c r="A170" s="2" t="n"/>
      <c r="B170" s="3" t="n"/>
      <c r="C170" s="4" t="n"/>
      <c r="D170" s="5" t="n"/>
      <c r="E170" s="3" t="n"/>
      <c r="F170" s="4" t="n"/>
      <c r="G170" s="5" t="n"/>
      <c r="H170" s="3" t="n"/>
      <c r="I170" s="4" t="n"/>
      <c r="J170" s="5" t="n"/>
      <c r="K170" s="3" t="n"/>
      <c r="L170" s="4" t="n"/>
      <c r="M170" s="5" t="n"/>
      <c r="N170" s="3" t="n"/>
      <c r="O170" s="4" t="n"/>
      <c r="P170" s="5" t="n"/>
      <c r="Q170" s="3" t="n"/>
      <c r="R170" s="4" t="n"/>
      <c r="S170" s="5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6">
        <f>IF(C170=0,0,IF(E170="",B170*D170/100,E170))</f>
        <v/>
      </c>
      <c r="AE170" s="6">
        <f>IF(F170=0,0,IF(H170="",B170*G170/100,H170))</f>
        <v/>
      </c>
      <c r="AF170" s="6">
        <f>IF(I170=0,0,IF(K170="",B170*J170/100,K170))</f>
        <v/>
      </c>
      <c r="AG170" s="6">
        <f>IF(L170=0,0,IF(N170="",B170*M170/100,N170))</f>
        <v/>
      </c>
      <c r="AH170" s="6">
        <f>IF(O170=0,0,IF(Q170="",B170*P170/100,Q170))</f>
        <v/>
      </c>
      <c r="AI170" s="6">
        <f>IF(R170=0,0,IF(T170="",B170*S170/100,T170))</f>
        <v/>
      </c>
      <c r="AJ170" s="6">
        <f>B170*0.035</f>
        <v/>
      </c>
      <c r="AK170" s="6">
        <f>B170*0.065</f>
        <v/>
      </c>
      <c r="AL170" s="6">
        <f>SUM(B170,AD170,AE170,AF170,AG170,AH170,AI170,U170,V170,AJ170,AK170)</f>
        <v/>
      </c>
      <c r="AM170" s="6">
        <f>B170*0.055</f>
        <v/>
      </c>
      <c r="AN170" s="6">
        <f>B170*0.035</f>
        <v/>
      </c>
      <c r="AO170" s="6">
        <f>B170*0.165</f>
        <v/>
      </c>
      <c r="AP170" s="6">
        <f>MAX(0,AL170-AM170-AO170)</f>
        <v/>
      </c>
      <c r="AQ170" s="6">
        <f>IF(AP170&lt;=490,0,IF(AP170&lt;=600,(AP170-490)*0.05,IF(AP170&lt;=730,5.5+(AP170-600)*0.10,IF(AP170&lt;=3896.67,18.5+(AP170-730)*0.175,IF(AP170&lt;=19896.67,572.67+(AP170-3896.67)*0.25,IF(AP170&lt;=50416.67,4572.67+(AP170-19896.67)*0.30,13728.67+(AP170-50416.67)*0.35))))))</f>
        <v/>
      </c>
      <c r="AR170" s="6">
        <f>SUM(AM170,AQ170,W170,X170,Y170,Z170,AA170,AN170,AO170)</f>
        <v/>
      </c>
      <c r="AS170" s="6">
        <f>AL170-AR170</f>
        <v/>
      </c>
      <c r="AT170" s="6">
        <f>AB170-AC170</f>
        <v/>
      </c>
    </row>
    <row r="171">
      <c r="A171" s="2" t="n"/>
      <c r="B171" s="3" t="n"/>
      <c r="C171" s="4" t="n"/>
      <c r="D171" s="5" t="n"/>
      <c r="E171" s="3" t="n"/>
      <c r="F171" s="4" t="n"/>
      <c r="G171" s="5" t="n"/>
      <c r="H171" s="3" t="n"/>
      <c r="I171" s="4" t="n"/>
      <c r="J171" s="5" t="n"/>
      <c r="K171" s="3" t="n"/>
      <c r="L171" s="4" t="n"/>
      <c r="M171" s="5" t="n"/>
      <c r="N171" s="3" t="n"/>
      <c r="O171" s="4" t="n"/>
      <c r="P171" s="5" t="n"/>
      <c r="Q171" s="3" t="n"/>
      <c r="R171" s="4" t="n"/>
      <c r="S171" s="5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6">
        <f>IF(C171=0,0,IF(E171="",B171*D171/100,E171))</f>
        <v/>
      </c>
      <c r="AE171" s="6">
        <f>IF(F171=0,0,IF(H171="",B171*G171/100,H171))</f>
        <v/>
      </c>
      <c r="AF171" s="6">
        <f>IF(I171=0,0,IF(K171="",B171*J171/100,K171))</f>
        <v/>
      </c>
      <c r="AG171" s="6">
        <f>IF(L171=0,0,IF(N171="",B171*M171/100,N171))</f>
        <v/>
      </c>
      <c r="AH171" s="6">
        <f>IF(O171=0,0,IF(Q171="",B171*P171/100,Q171))</f>
        <v/>
      </c>
      <c r="AI171" s="6">
        <f>IF(R171=0,0,IF(T171="",B171*S171/100,T171))</f>
        <v/>
      </c>
      <c r="AJ171" s="6">
        <f>B171*0.035</f>
        <v/>
      </c>
      <c r="AK171" s="6">
        <f>B171*0.065</f>
        <v/>
      </c>
      <c r="AL171" s="6">
        <f>SUM(B171,AD171,AE171,AF171,AG171,AH171,AI171,U171,V171,AJ171,AK171)</f>
        <v/>
      </c>
      <c r="AM171" s="6">
        <f>B171*0.055</f>
        <v/>
      </c>
      <c r="AN171" s="6">
        <f>B171*0.035</f>
        <v/>
      </c>
      <c r="AO171" s="6">
        <f>B171*0.165</f>
        <v/>
      </c>
      <c r="AP171" s="6">
        <f>MAX(0,AL171-AM171-AO171)</f>
        <v/>
      </c>
      <c r="AQ171" s="6">
        <f>IF(AP171&lt;=490,0,IF(AP171&lt;=600,(AP171-490)*0.05,IF(AP171&lt;=730,5.5+(AP171-600)*0.10,IF(AP171&lt;=3896.67,18.5+(AP171-730)*0.175,IF(AP171&lt;=19896.67,572.67+(AP171-3896.67)*0.25,IF(AP171&lt;=50416.67,4572.67+(AP171-19896.67)*0.30,13728.67+(AP171-50416.67)*0.35))))))</f>
        <v/>
      </c>
      <c r="AR171" s="6">
        <f>SUM(AM171,AQ171,W171,X171,Y171,Z171,AA171,AN171,AO171)</f>
        <v/>
      </c>
      <c r="AS171" s="6">
        <f>AL171-AR171</f>
        <v/>
      </c>
      <c r="AT171" s="6">
        <f>AB171-AC171</f>
        <v/>
      </c>
    </row>
    <row r="172">
      <c r="A172" s="2" t="n"/>
      <c r="B172" s="3" t="n"/>
      <c r="C172" s="4" t="n"/>
      <c r="D172" s="5" t="n"/>
      <c r="E172" s="3" t="n"/>
      <c r="F172" s="4" t="n"/>
      <c r="G172" s="5" t="n"/>
      <c r="H172" s="3" t="n"/>
      <c r="I172" s="4" t="n"/>
      <c r="J172" s="5" t="n"/>
      <c r="K172" s="3" t="n"/>
      <c r="L172" s="4" t="n"/>
      <c r="M172" s="5" t="n"/>
      <c r="N172" s="3" t="n"/>
      <c r="O172" s="4" t="n"/>
      <c r="P172" s="5" t="n"/>
      <c r="Q172" s="3" t="n"/>
      <c r="R172" s="4" t="n"/>
      <c r="S172" s="5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6">
        <f>IF(C172=0,0,IF(E172="",B172*D172/100,E172))</f>
        <v/>
      </c>
      <c r="AE172" s="6">
        <f>IF(F172=0,0,IF(H172="",B172*G172/100,H172))</f>
        <v/>
      </c>
      <c r="AF172" s="6">
        <f>IF(I172=0,0,IF(K172="",B172*J172/100,K172))</f>
        <v/>
      </c>
      <c r="AG172" s="6">
        <f>IF(L172=0,0,IF(N172="",B172*M172/100,N172))</f>
        <v/>
      </c>
      <c r="AH172" s="6">
        <f>IF(O172=0,0,IF(Q172="",B172*P172/100,Q172))</f>
        <v/>
      </c>
      <c r="AI172" s="6">
        <f>IF(R172=0,0,IF(T172="",B172*S172/100,T172))</f>
        <v/>
      </c>
      <c r="AJ172" s="6">
        <f>B172*0.035</f>
        <v/>
      </c>
      <c r="AK172" s="6">
        <f>B172*0.065</f>
        <v/>
      </c>
      <c r="AL172" s="6">
        <f>SUM(B172,AD172,AE172,AF172,AG172,AH172,AI172,U172,V172,AJ172,AK172)</f>
        <v/>
      </c>
      <c r="AM172" s="6">
        <f>B172*0.055</f>
        <v/>
      </c>
      <c r="AN172" s="6">
        <f>B172*0.035</f>
        <v/>
      </c>
      <c r="AO172" s="6">
        <f>B172*0.165</f>
        <v/>
      </c>
      <c r="AP172" s="6">
        <f>MAX(0,AL172-AM172-AO172)</f>
        <v/>
      </c>
      <c r="AQ172" s="6">
        <f>IF(AP172&lt;=490,0,IF(AP172&lt;=600,(AP172-490)*0.05,IF(AP172&lt;=730,5.5+(AP172-600)*0.10,IF(AP172&lt;=3896.67,18.5+(AP172-730)*0.175,IF(AP172&lt;=19896.67,572.67+(AP172-3896.67)*0.25,IF(AP172&lt;=50416.67,4572.67+(AP172-19896.67)*0.30,13728.67+(AP172-50416.67)*0.35))))))</f>
        <v/>
      </c>
      <c r="AR172" s="6">
        <f>SUM(AM172,AQ172,W172,X172,Y172,Z172,AA172,AN172,AO172)</f>
        <v/>
      </c>
      <c r="AS172" s="6">
        <f>AL172-AR172</f>
        <v/>
      </c>
      <c r="AT172" s="6">
        <f>AB172-AC172</f>
        <v/>
      </c>
    </row>
    <row r="173">
      <c r="A173" s="2" t="n"/>
      <c r="B173" s="3" t="n"/>
      <c r="C173" s="4" t="n"/>
      <c r="D173" s="5" t="n"/>
      <c r="E173" s="3" t="n"/>
      <c r="F173" s="4" t="n"/>
      <c r="G173" s="5" t="n"/>
      <c r="H173" s="3" t="n"/>
      <c r="I173" s="4" t="n"/>
      <c r="J173" s="5" t="n"/>
      <c r="K173" s="3" t="n"/>
      <c r="L173" s="4" t="n"/>
      <c r="M173" s="5" t="n"/>
      <c r="N173" s="3" t="n"/>
      <c r="O173" s="4" t="n"/>
      <c r="P173" s="5" t="n"/>
      <c r="Q173" s="3" t="n"/>
      <c r="R173" s="4" t="n"/>
      <c r="S173" s="5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6">
        <f>IF(C173=0,0,IF(E173="",B173*D173/100,E173))</f>
        <v/>
      </c>
      <c r="AE173" s="6">
        <f>IF(F173=0,0,IF(H173="",B173*G173/100,H173))</f>
        <v/>
      </c>
      <c r="AF173" s="6">
        <f>IF(I173=0,0,IF(K173="",B173*J173/100,K173))</f>
        <v/>
      </c>
      <c r="AG173" s="6">
        <f>IF(L173=0,0,IF(N173="",B173*M173/100,N173))</f>
        <v/>
      </c>
      <c r="AH173" s="6">
        <f>IF(O173=0,0,IF(Q173="",B173*P173/100,Q173))</f>
        <v/>
      </c>
      <c r="AI173" s="6">
        <f>IF(R173=0,0,IF(T173="",B173*S173/100,T173))</f>
        <v/>
      </c>
      <c r="AJ173" s="6">
        <f>B173*0.035</f>
        <v/>
      </c>
      <c r="AK173" s="6">
        <f>B173*0.065</f>
        <v/>
      </c>
      <c r="AL173" s="6">
        <f>SUM(B173,AD173,AE173,AF173,AG173,AH173,AI173,U173,V173,AJ173,AK173)</f>
        <v/>
      </c>
      <c r="AM173" s="6">
        <f>B173*0.055</f>
        <v/>
      </c>
      <c r="AN173" s="6">
        <f>B173*0.035</f>
        <v/>
      </c>
      <c r="AO173" s="6">
        <f>B173*0.165</f>
        <v/>
      </c>
      <c r="AP173" s="6">
        <f>MAX(0,AL173-AM173-AO173)</f>
        <v/>
      </c>
      <c r="AQ173" s="6">
        <f>IF(AP173&lt;=490,0,IF(AP173&lt;=600,(AP173-490)*0.05,IF(AP173&lt;=730,5.5+(AP173-600)*0.10,IF(AP173&lt;=3896.67,18.5+(AP173-730)*0.175,IF(AP173&lt;=19896.67,572.67+(AP173-3896.67)*0.25,IF(AP173&lt;=50416.67,4572.67+(AP173-19896.67)*0.30,13728.67+(AP173-50416.67)*0.35))))))</f>
        <v/>
      </c>
      <c r="AR173" s="6">
        <f>SUM(AM173,AQ173,W173,X173,Y173,Z173,AA173,AN173,AO173)</f>
        <v/>
      </c>
      <c r="AS173" s="6">
        <f>AL173-AR173</f>
        <v/>
      </c>
      <c r="AT173" s="6">
        <f>AB173-AC173</f>
        <v/>
      </c>
    </row>
    <row r="174">
      <c r="A174" s="2" t="n"/>
      <c r="B174" s="3" t="n"/>
      <c r="C174" s="4" t="n"/>
      <c r="D174" s="5" t="n"/>
      <c r="E174" s="3" t="n"/>
      <c r="F174" s="4" t="n"/>
      <c r="G174" s="5" t="n"/>
      <c r="H174" s="3" t="n"/>
      <c r="I174" s="4" t="n"/>
      <c r="J174" s="5" t="n"/>
      <c r="K174" s="3" t="n"/>
      <c r="L174" s="4" t="n"/>
      <c r="M174" s="5" t="n"/>
      <c r="N174" s="3" t="n"/>
      <c r="O174" s="4" t="n"/>
      <c r="P174" s="5" t="n"/>
      <c r="Q174" s="3" t="n"/>
      <c r="R174" s="4" t="n"/>
      <c r="S174" s="5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6">
        <f>IF(C174=0,0,IF(E174="",B174*D174/100,E174))</f>
        <v/>
      </c>
      <c r="AE174" s="6">
        <f>IF(F174=0,0,IF(H174="",B174*G174/100,H174))</f>
        <v/>
      </c>
      <c r="AF174" s="6">
        <f>IF(I174=0,0,IF(K174="",B174*J174/100,K174))</f>
        <v/>
      </c>
      <c r="AG174" s="6">
        <f>IF(L174=0,0,IF(N174="",B174*M174/100,N174))</f>
        <v/>
      </c>
      <c r="AH174" s="6">
        <f>IF(O174=0,0,IF(Q174="",B174*P174/100,Q174))</f>
        <v/>
      </c>
      <c r="AI174" s="6">
        <f>IF(R174=0,0,IF(T174="",B174*S174/100,T174))</f>
        <v/>
      </c>
      <c r="AJ174" s="6">
        <f>B174*0.035</f>
        <v/>
      </c>
      <c r="AK174" s="6">
        <f>B174*0.065</f>
        <v/>
      </c>
      <c r="AL174" s="6">
        <f>SUM(B174,AD174,AE174,AF174,AG174,AH174,AI174,U174,V174,AJ174,AK174)</f>
        <v/>
      </c>
      <c r="AM174" s="6">
        <f>B174*0.055</f>
        <v/>
      </c>
      <c r="AN174" s="6">
        <f>B174*0.035</f>
        <v/>
      </c>
      <c r="AO174" s="6">
        <f>B174*0.165</f>
        <v/>
      </c>
      <c r="AP174" s="6">
        <f>MAX(0,AL174-AM174-AO174)</f>
        <v/>
      </c>
      <c r="AQ174" s="6">
        <f>IF(AP174&lt;=490,0,IF(AP174&lt;=600,(AP174-490)*0.05,IF(AP174&lt;=730,5.5+(AP174-600)*0.10,IF(AP174&lt;=3896.67,18.5+(AP174-730)*0.175,IF(AP174&lt;=19896.67,572.67+(AP174-3896.67)*0.25,IF(AP174&lt;=50416.67,4572.67+(AP174-19896.67)*0.30,13728.67+(AP174-50416.67)*0.35))))))</f>
        <v/>
      </c>
      <c r="AR174" s="6">
        <f>SUM(AM174,AQ174,W174,X174,Y174,Z174,AA174,AN174,AO174)</f>
        <v/>
      </c>
      <c r="AS174" s="6">
        <f>AL174-AR174</f>
        <v/>
      </c>
      <c r="AT174" s="6">
        <f>AB174-AC174</f>
        <v/>
      </c>
    </row>
    <row r="175">
      <c r="A175" s="2" t="n"/>
      <c r="B175" s="3" t="n"/>
      <c r="C175" s="4" t="n"/>
      <c r="D175" s="5" t="n"/>
      <c r="E175" s="3" t="n"/>
      <c r="F175" s="4" t="n"/>
      <c r="G175" s="5" t="n"/>
      <c r="H175" s="3" t="n"/>
      <c r="I175" s="4" t="n"/>
      <c r="J175" s="5" t="n"/>
      <c r="K175" s="3" t="n"/>
      <c r="L175" s="4" t="n"/>
      <c r="M175" s="5" t="n"/>
      <c r="N175" s="3" t="n"/>
      <c r="O175" s="4" t="n"/>
      <c r="P175" s="5" t="n"/>
      <c r="Q175" s="3" t="n"/>
      <c r="R175" s="4" t="n"/>
      <c r="S175" s="5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6">
        <f>IF(C175=0,0,IF(E175="",B175*D175/100,E175))</f>
        <v/>
      </c>
      <c r="AE175" s="6">
        <f>IF(F175=0,0,IF(H175="",B175*G175/100,H175))</f>
        <v/>
      </c>
      <c r="AF175" s="6">
        <f>IF(I175=0,0,IF(K175="",B175*J175/100,K175))</f>
        <v/>
      </c>
      <c r="AG175" s="6">
        <f>IF(L175=0,0,IF(N175="",B175*M175/100,N175))</f>
        <v/>
      </c>
      <c r="AH175" s="6">
        <f>IF(O175=0,0,IF(Q175="",B175*P175/100,Q175))</f>
        <v/>
      </c>
      <c r="AI175" s="6">
        <f>IF(R175=0,0,IF(T175="",B175*S175/100,T175))</f>
        <v/>
      </c>
      <c r="AJ175" s="6">
        <f>B175*0.035</f>
        <v/>
      </c>
      <c r="AK175" s="6">
        <f>B175*0.065</f>
        <v/>
      </c>
      <c r="AL175" s="6">
        <f>SUM(B175,AD175,AE175,AF175,AG175,AH175,AI175,U175,V175,AJ175,AK175)</f>
        <v/>
      </c>
      <c r="AM175" s="6">
        <f>B175*0.055</f>
        <v/>
      </c>
      <c r="AN175" s="6">
        <f>B175*0.035</f>
        <v/>
      </c>
      <c r="AO175" s="6">
        <f>B175*0.165</f>
        <v/>
      </c>
      <c r="AP175" s="6">
        <f>MAX(0,AL175-AM175-AO175)</f>
        <v/>
      </c>
      <c r="AQ175" s="6">
        <f>IF(AP175&lt;=490,0,IF(AP175&lt;=600,(AP175-490)*0.05,IF(AP175&lt;=730,5.5+(AP175-600)*0.10,IF(AP175&lt;=3896.67,18.5+(AP175-730)*0.175,IF(AP175&lt;=19896.67,572.67+(AP175-3896.67)*0.25,IF(AP175&lt;=50416.67,4572.67+(AP175-19896.67)*0.30,13728.67+(AP175-50416.67)*0.35))))))</f>
        <v/>
      </c>
      <c r="AR175" s="6">
        <f>SUM(AM175,AQ175,W175,X175,Y175,Z175,AA175,AN175,AO175)</f>
        <v/>
      </c>
      <c r="AS175" s="6">
        <f>AL175-AR175</f>
        <v/>
      </c>
      <c r="AT175" s="6">
        <f>AB175-AC175</f>
        <v/>
      </c>
    </row>
    <row r="176">
      <c r="A176" s="2" t="n"/>
      <c r="B176" s="3" t="n"/>
      <c r="C176" s="4" t="n"/>
      <c r="D176" s="5" t="n"/>
      <c r="E176" s="3" t="n"/>
      <c r="F176" s="4" t="n"/>
      <c r="G176" s="5" t="n"/>
      <c r="H176" s="3" t="n"/>
      <c r="I176" s="4" t="n"/>
      <c r="J176" s="5" t="n"/>
      <c r="K176" s="3" t="n"/>
      <c r="L176" s="4" t="n"/>
      <c r="M176" s="5" t="n"/>
      <c r="N176" s="3" t="n"/>
      <c r="O176" s="4" t="n"/>
      <c r="P176" s="5" t="n"/>
      <c r="Q176" s="3" t="n"/>
      <c r="R176" s="4" t="n"/>
      <c r="S176" s="5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6">
        <f>IF(C176=0,0,IF(E176="",B176*D176/100,E176))</f>
        <v/>
      </c>
      <c r="AE176" s="6">
        <f>IF(F176=0,0,IF(H176="",B176*G176/100,H176))</f>
        <v/>
      </c>
      <c r="AF176" s="6">
        <f>IF(I176=0,0,IF(K176="",B176*J176/100,K176))</f>
        <v/>
      </c>
      <c r="AG176" s="6">
        <f>IF(L176=0,0,IF(N176="",B176*M176/100,N176))</f>
        <v/>
      </c>
      <c r="AH176" s="6">
        <f>IF(O176=0,0,IF(Q176="",B176*P176/100,Q176))</f>
        <v/>
      </c>
      <c r="AI176" s="6">
        <f>IF(R176=0,0,IF(T176="",B176*S176/100,T176))</f>
        <v/>
      </c>
      <c r="AJ176" s="6">
        <f>B176*0.035</f>
        <v/>
      </c>
      <c r="AK176" s="6">
        <f>B176*0.065</f>
        <v/>
      </c>
      <c r="AL176" s="6">
        <f>SUM(B176,AD176,AE176,AF176,AG176,AH176,AI176,U176,V176,AJ176,AK176)</f>
        <v/>
      </c>
      <c r="AM176" s="6">
        <f>B176*0.055</f>
        <v/>
      </c>
      <c r="AN176" s="6">
        <f>B176*0.035</f>
        <v/>
      </c>
      <c r="AO176" s="6">
        <f>B176*0.165</f>
        <v/>
      </c>
      <c r="AP176" s="6">
        <f>MAX(0,AL176-AM176-AO176)</f>
        <v/>
      </c>
      <c r="AQ176" s="6">
        <f>IF(AP176&lt;=490,0,IF(AP176&lt;=600,(AP176-490)*0.05,IF(AP176&lt;=730,5.5+(AP176-600)*0.10,IF(AP176&lt;=3896.67,18.5+(AP176-730)*0.175,IF(AP176&lt;=19896.67,572.67+(AP176-3896.67)*0.25,IF(AP176&lt;=50416.67,4572.67+(AP176-19896.67)*0.30,13728.67+(AP176-50416.67)*0.35))))))</f>
        <v/>
      </c>
      <c r="AR176" s="6">
        <f>SUM(AM176,AQ176,W176,X176,Y176,Z176,AA176,AN176,AO176)</f>
        <v/>
      </c>
      <c r="AS176" s="6">
        <f>AL176-AR176</f>
        <v/>
      </c>
      <c r="AT176" s="6">
        <f>AB176-AC176</f>
        <v/>
      </c>
    </row>
    <row r="177">
      <c r="A177" s="2" t="n"/>
      <c r="B177" s="3" t="n"/>
      <c r="C177" s="4" t="n"/>
      <c r="D177" s="5" t="n"/>
      <c r="E177" s="3" t="n"/>
      <c r="F177" s="4" t="n"/>
      <c r="G177" s="5" t="n"/>
      <c r="H177" s="3" t="n"/>
      <c r="I177" s="4" t="n"/>
      <c r="J177" s="5" t="n"/>
      <c r="K177" s="3" t="n"/>
      <c r="L177" s="4" t="n"/>
      <c r="M177" s="5" t="n"/>
      <c r="N177" s="3" t="n"/>
      <c r="O177" s="4" t="n"/>
      <c r="P177" s="5" t="n"/>
      <c r="Q177" s="3" t="n"/>
      <c r="R177" s="4" t="n"/>
      <c r="S177" s="5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6">
        <f>IF(C177=0,0,IF(E177="",B177*D177/100,E177))</f>
        <v/>
      </c>
      <c r="AE177" s="6">
        <f>IF(F177=0,0,IF(H177="",B177*G177/100,H177))</f>
        <v/>
      </c>
      <c r="AF177" s="6">
        <f>IF(I177=0,0,IF(K177="",B177*J177/100,K177))</f>
        <v/>
      </c>
      <c r="AG177" s="6">
        <f>IF(L177=0,0,IF(N177="",B177*M177/100,N177))</f>
        <v/>
      </c>
      <c r="AH177" s="6">
        <f>IF(O177=0,0,IF(Q177="",B177*P177/100,Q177))</f>
        <v/>
      </c>
      <c r="AI177" s="6">
        <f>IF(R177=0,0,IF(T177="",B177*S177/100,T177))</f>
        <v/>
      </c>
      <c r="AJ177" s="6">
        <f>B177*0.035</f>
        <v/>
      </c>
      <c r="AK177" s="6">
        <f>B177*0.065</f>
        <v/>
      </c>
      <c r="AL177" s="6">
        <f>SUM(B177,AD177,AE177,AF177,AG177,AH177,AI177,U177,V177,AJ177,AK177)</f>
        <v/>
      </c>
      <c r="AM177" s="6">
        <f>B177*0.055</f>
        <v/>
      </c>
      <c r="AN177" s="6">
        <f>B177*0.035</f>
        <v/>
      </c>
      <c r="AO177" s="6">
        <f>B177*0.165</f>
        <v/>
      </c>
      <c r="AP177" s="6">
        <f>MAX(0,AL177-AM177-AO177)</f>
        <v/>
      </c>
      <c r="AQ177" s="6">
        <f>IF(AP177&lt;=490,0,IF(AP177&lt;=600,(AP177-490)*0.05,IF(AP177&lt;=730,5.5+(AP177-600)*0.10,IF(AP177&lt;=3896.67,18.5+(AP177-730)*0.175,IF(AP177&lt;=19896.67,572.67+(AP177-3896.67)*0.25,IF(AP177&lt;=50416.67,4572.67+(AP177-19896.67)*0.30,13728.67+(AP177-50416.67)*0.35))))))</f>
        <v/>
      </c>
      <c r="AR177" s="6">
        <f>SUM(AM177,AQ177,W177,X177,Y177,Z177,AA177,AN177,AO177)</f>
        <v/>
      </c>
      <c r="AS177" s="6">
        <f>AL177-AR177</f>
        <v/>
      </c>
      <c r="AT177" s="6">
        <f>AB177-AC177</f>
        <v/>
      </c>
    </row>
    <row r="178">
      <c r="A178" s="2" t="n"/>
      <c r="B178" s="3" t="n"/>
      <c r="C178" s="4" t="n"/>
      <c r="D178" s="5" t="n"/>
      <c r="E178" s="3" t="n"/>
      <c r="F178" s="4" t="n"/>
      <c r="G178" s="5" t="n"/>
      <c r="H178" s="3" t="n"/>
      <c r="I178" s="4" t="n"/>
      <c r="J178" s="5" t="n"/>
      <c r="K178" s="3" t="n"/>
      <c r="L178" s="4" t="n"/>
      <c r="M178" s="5" t="n"/>
      <c r="N178" s="3" t="n"/>
      <c r="O178" s="4" t="n"/>
      <c r="P178" s="5" t="n"/>
      <c r="Q178" s="3" t="n"/>
      <c r="R178" s="4" t="n"/>
      <c r="S178" s="5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6">
        <f>IF(C178=0,0,IF(E178="",B178*D178/100,E178))</f>
        <v/>
      </c>
      <c r="AE178" s="6">
        <f>IF(F178=0,0,IF(H178="",B178*G178/100,H178))</f>
        <v/>
      </c>
      <c r="AF178" s="6">
        <f>IF(I178=0,0,IF(K178="",B178*J178/100,K178))</f>
        <v/>
      </c>
      <c r="AG178" s="6">
        <f>IF(L178=0,0,IF(N178="",B178*M178/100,N178))</f>
        <v/>
      </c>
      <c r="AH178" s="6">
        <f>IF(O178=0,0,IF(Q178="",B178*P178/100,Q178))</f>
        <v/>
      </c>
      <c r="AI178" s="6">
        <f>IF(R178=0,0,IF(T178="",B178*S178/100,T178))</f>
        <v/>
      </c>
      <c r="AJ178" s="6">
        <f>B178*0.035</f>
        <v/>
      </c>
      <c r="AK178" s="6">
        <f>B178*0.065</f>
        <v/>
      </c>
      <c r="AL178" s="6">
        <f>SUM(B178,AD178,AE178,AF178,AG178,AH178,AI178,U178,V178,AJ178,AK178)</f>
        <v/>
      </c>
      <c r="AM178" s="6">
        <f>B178*0.055</f>
        <v/>
      </c>
      <c r="AN178" s="6">
        <f>B178*0.035</f>
        <v/>
      </c>
      <c r="AO178" s="6">
        <f>B178*0.165</f>
        <v/>
      </c>
      <c r="AP178" s="6">
        <f>MAX(0,AL178-AM178-AO178)</f>
        <v/>
      </c>
      <c r="AQ178" s="6">
        <f>IF(AP178&lt;=490,0,IF(AP178&lt;=600,(AP178-490)*0.05,IF(AP178&lt;=730,5.5+(AP178-600)*0.10,IF(AP178&lt;=3896.67,18.5+(AP178-730)*0.175,IF(AP178&lt;=19896.67,572.67+(AP178-3896.67)*0.25,IF(AP178&lt;=50416.67,4572.67+(AP178-19896.67)*0.30,13728.67+(AP178-50416.67)*0.35))))))</f>
        <v/>
      </c>
      <c r="AR178" s="6">
        <f>SUM(AM178,AQ178,W178,X178,Y178,Z178,AA178,AN178,AO178)</f>
        <v/>
      </c>
      <c r="AS178" s="6">
        <f>AL178-AR178</f>
        <v/>
      </c>
      <c r="AT178" s="6">
        <f>AB178-AC178</f>
        <v/>
      </c>
    </row>
    <row r="179">
      <c r="A179" s="2" t="n"/>
      <c r="B179" s="3" t="n"/>
      <c r="C179" s="4" t="n"/>
      <c r="D179" s="5" t="n"/>
      <c r="E179" s="3" t="n"/>
      <c r="F179" s="4" t="n"/>
      <c r="G179" s="5" t="n"/>
      <c r="H179" s="3" t="n"/>
      <c r="I179" s="4" t="n"/>
      <c r="J179" s="5" t="n"/>
      <c r="K179" s="3" t="n"/>
      <c r="L179" s="4" t="n"/>
      <c r="M179" s="5" t="n"/>
      <c r="N179" s="3" t="n"/>
      <c r="O179" s="4" t="n"/>
      <c r="P179" s="5" t="n"/>
      <c r="Q179" s="3" t="n"/>
      <c r="R179" s="4" t="n"/>
      <c r="S179" s="5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6">
        <f>IF(C179=0,0,IF(E179="",B179*D179/100,E179))</f>
        <v/>
      </c>
      <c r="AE179" s="6">
        <f>IF(F179=0,0,IF(H179="",B179*G179/100,H179))</f>
        <v/>
      </c>
      <c r="AF179" s="6">
        <f>IF(I179=0,0,IF(K179="",B179*J179/100,K179))</f>
        <v/>
      </c>
      <c r="AG179" s="6">
        <f>IF(L179=0,0,IF(N179="",B179*M179/100,N179))</f>
        <v/>
      </c>
      <c r="AH179" s="6">
        <f>IF(O179=0,0,IF(Q179="",B179*P179/100,Q179))</f>
        <v/>
      </c>
      <c r="AI179" s="6">
        <f>IF(R179=0,0,IF(T179="",B179*S179/100,T179))</f>
        <v/>
      </c>
      <c r="AJ179" s="6">
        <f>B179*0.035</f>
        <v/>
      </c>
      <c r="AK179" s="6">
        <f>B179*0.065</f>
        <v/>
      </c>
      <c r="AL179" s="6">
        <f>SUM(B179,AD179,AE179,AF179,AG179,AH179,AI179,U179,V179,AJ179,AK179)</f>
        <v/>
      </c>
      <c r="AM179" s="6">
        <f>B179*0.055</f>
        <v/>
      </c>
      <c r="AN179" s="6">
        <f>B179*0.035</f>
        <v/>
      </c>
      <c r="AO179" s="6">
        <f>B179*0.165</f>
        <v/>
      </c>
      <c r="AP179" s="6">
        <f>MAX(0,AL179-AM179-AO179)</f>
        <v/>
      </c>
      <c r="AQ179" s="6">
        <f>IF(AP179&lt;=490,0,IF(AP179&lt;=600,(AP179-490)*0.05,IF(AP179&lt;=730,5.5+(AP179-600)*0.10,IF(AP179&lt;=3896.67,18.5+(AP179-730)*0.175,IF(AP179&lt;=19896.67,572.67+(AP179-3896.67)*0.25,IF(AP179&lt;=50416.67,4572.67+(AP179-19896.67)*0.30,13728.67+(AP179-50416.67)*0.35))))))</f>
        <v/>
      </c>
      <c r="AR179" s="6">
        <f>SUM(AM179,AQ179,W179,X179,Y179,Z179,AA179,AN179,AO179)</f>
        <v/>
      </c>
      <c r="AS179" s="6">
        <f>AL179-AR179</f>
        <v/>
      </c>
      <c r="AT179" s="6">
        <f>AB179-AC179</f>
        <v/>
      </c>
    </row>
    <row r="180">
      <c r="A180" s="2" t="n"/>
      <c r="B180" s="3" t="n"/>
      <c r="C180" s="4" t="n"/>
      <c r="D180" s="5" t="n"/>
      <c r="E180" s="3" t="n"/>
      <c r="F180" s="4" t="n"/>
      <c r="G180" s="5" t="n"/>
      <c r="H180" s="3" t="n"/>
      <c r="I180" s="4" t="n"/>
      <c r="J180" s="5" t="n"/>
      <c r="K180" s="3" t="n"/>
      <c r="L180" s="4" t="n"/>
      <c r="M180" s="5" t="n"/>
      <c r="N180" s="3" t="n"/>
      <c r="O180" s="4" t="n"/>
      <c r="P180" s="5" t="n"/>
      <c r="Q180" s="3" t="n"/>
      <c r="R180" s="4" t="n"/>
      <c r="S180" s="5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6">
        <f>IF(C180=0,0,IF(E180="",B180*D180/100,E180))</f>
        <v/>
      </c>
      <c r="AE180" s="6">
        <f>IF(F180=0,0,IF(H180="",B180*G180/100,H180))</f>
        <v/>
      </c>
      <c r="AF180" s="6">
        <f>IF(I180=0,0,IF(K180="",B180*J180/100,K180))</f>
        <v/>
      </c>
      <c r="AG180" s="6">
        <f>IF(L180=0,0,IF(N180="",B180*M180/100,N180))</f>
        <v/>
      </c>
      <c r="AH180" s="6">
        <f>IF(O180=0,0,IF(Q180="",B180*P180/100,Q180))</f>
        <v/>
      </c>
      <c r="AI180" s="6">
        <f>IF(R180=0,0,IF(T180="",B180*S180/100,T180))</f>
        <v/>
      </c>
      <c r="AJ180" s="6">
        <f>B180*0.035</f>
        <v/>
      </c>
      <c r="AK180" s="6">
        <f>B180*0.065</f>
        <v/>
      </c>
      <c r="AL180" s="6">
        <f>SUM(B180,AD180,AE180,AF180,AG180,AH180,AI180,U180,V180,AJ180,AK180)</f>
        <v/>
      </c>
      <c r="AM180" s="6">
        <f>B180*0.055</f>
        <v/>
      </c>
      <c r="AN180" s="6">
        <f>B180*0.035</f>
        <v/>
      </c>
      <c r="AO180" s="6">
        <f>B180*0.165</f>
        <v/>
      </c>
      <c r="AP180" s="6">
        <f>MAX(0,AL180-AM180-AO180)</f>
        <v/>
      </c>
      <c r="AQ180" s="6">
        <f>IF(AP180&lt;=490,0,IF(AP180&lt;=600,(AP180-490)*0.05,IF(AP180&lt;=730,5.5+(AP180-600)*0.10,IF(AP180&lt;=3896.67,18.5+(AP180-730)*0.175,IF(AP180&lt;=19896.67,572.67+(AP180-3896.67)*0.25,IF(AP180&lt;=50416.67,4572.67+(AP180-19896.67)*0.30,13728.67+(AP180-50416.67)*0.35))))))</f>
        <v/>
      </c>
      <c r="AR180" s="6">
        <f>SUM(AM180,AQ180,W180,X180,Y180,Z180,AA180,AN180,AO180)</f>
        <v/>
      </c>
      <c r="AS180" s="6">
        <f>AL180-AR180</f>
        <v/>
      </c>
      <c r="AT180" s="6">
        <f>AB180-AC180</f>
        <v/>
      </c>
    </row>
    <row r="181">
      <c r="A181" s="2" t="n"/>
      <c r="B181" s="3" t="n"/>
      <c r="C181" s="4" t="n"/>
      <c r="D181" s="5" t="n"/>
      <c r="E181" s="3" t="n"/>
      <c r="F181" s="4" t="n"/>
      <c r="G181" s="5" t="n"/>
      <c r="H181" s="3" t="n"/>
      <c r="I181" s="4" t="n"/>
      <c r="J181" s="5" t="n"/>
      <c r="K181" s="3" t="n"/>
      <c r="L181" s="4" t="n"/>
      <c r="M181" s="5" t="n"/>
      <c r="N181" s="3" t="n"/>
      <c r="O181" s="4" t="n"/>
      <c r="P181" s="5" t="n"/>
      <c r="Q181" s="3" t="n"/>
      <c r="R181" s="4" t="n"/>
      <c r="S181" s="5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6">
        <f>IF(C181=0,0,IF(E181="",B181*D181/100,E181))</f>
        <v/>
      </c>
      <c r="AE181" s="6">
        <f>IF(F181=0,0,IF(H181="",B181*G181/100,H181))</f>
        <v/>
      </c>
      <c r="AF181" s="6">
        <f>IF(I181=0,0,IF(K181="",B181*J181/100,K181))</f>
        <v/>
      </c>
      <c r="AG181" s="6">
        <f>IF(L181=0,0,IF(N181="",B181*M181/100,N181))</f>
        <v/>
      </c>
      <c r="AH181" s="6">
        <f>IF(O181=0,0,IF(Q181="",B181*P181/100,Q181))</f>
        <v/>
      </c>
      <c r="AI181" s="6">
        <f>IF(R181=0,0,IF(T181="",B181*S181/100,T181))</f>
        <v/>
      </c>
      <c r="AJ181" s="6">
        <f>B181*0.035</f>
        <v/>
      </c>
      <c r="AK181" s="6">
        <f>B181*0.065</f>
        <v/>
      </c>
      <c r="AL181" s="6">
        <f>SUM(B181,AD181,AE181,AF181,AG181,AH181,AI181,U181,V181,AJ181,AK181)</f>
        <v/>
      </c>
      <c r="AM181" s="6">
        <f>B181*0.055</f>
        <v/>
      </c>
      <c r="AN181" s="6">
        <f>B181*0.035</f>
        <v/>
      </c>
      <c r="AO181" s="6">
        <f>B181*0.165</f>
        <v/>
      </c>
      <c r="AP181" s="6">
        <f>MAX(0,AL181-AM181-AO181)</f>
        <v/>
      </c>
      <c r="AQ181" s="6">
        <f>IF(AP181&lt;=490,0,IF(AP181&lt;=600,(AP181-490)*0.05,IF(AP181&lt;=730,5.5+(AP181-600)*0.10,IF(AP181&lt;=3896.67,18.5+(AP181-730)*0.175,IF(AP181&lt;=19896.67,572.67+(AP181-3896.67)*0.25,IF(AP181&lt;=50416.67,4572.67+(AP181-19896.67)*0.30,13728.67+(AP181-50416.67)*0.35))))))</f>
        <v/>
      </c>
      <c r="AR181" s="6">
        <f>SUM(AM181,AQ181,W181,X181,Y181,Z181,AA181,AN181,AO181)</f>
        <v/>
      </c>
      <c r="AS181" s="6">
        <f>AL181-AR181</f>
        <v/>
      </c>
      <c r="AT181" s="6">
        <f>AB181-AC181</f>
        <v/>
      </c>
    </row>
    <row r="182">
      <c r="A182" s="2" t="n"/>
      <c r="B182" s="3" t="n"/>
      <c r="C182" s="4" t="n"/>
      <c r="D182" s="5" t="n"/>
      <c r="E182" s="3" t="n"/>
      <c r="F182" s="4" t="n"/>
      <c r="G182" s="5" t="n"/>
      <c r="H182" s="3" t="n"/>
      <c r="I182" s="4" t="n"/>
      <c r="J182" s="5" t="n"/>
      <c r="K182" s="3" t="n"/>
      <c r="L182" s="4" t="n"/>
      <c r="M182" s="5" t="n"/>
      <c r="N182" s="3" t="n"/>
      <c r="O182" s="4" t="n"/>
      <c r="P182" s="5" t="n"/>
      <c r="Q182" s="3" t="n"/>
      <c r="R182" s="4" t="n"/>
      <c r="S182" s="5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6">
        <f>IF(C182=0,0,IF(E182="",B182*D182/100,E182))</f>
        <v/>
      </c>
      <c r="AE182" s="6">
        <f>IF(F182=0,0,IF(H182="",B182*G182/100,H182))</f>
        <v/>
      </c>
      <c r="AF182" s="6">
        <f>IF(I182=0,0,IF(K182="",B182*J182/100,K182))</f>
        <v/>
      </c>
      <c r="AG182" s="6">
        <f>IF(L182=0,0,IF(N182="",B182*M182/100,N182))</f>
        <v/>
      </c>
      <c r="AH182" s="6">
        <f>IF(O182=0,0,IF(Q182="",B182*P182/100,Q182))</f>
        <v/>
      </c>
      <c r="AI182" s="6">
        <f>IF(R182=0,0,IF(T182="",B182*S182/100,T182))</f>
        <v/>
      </c>
      <c r="AJ182" s="6">
        <f>B182*0.035</f>
        <v/>
      </c>
      <c r="AK182" s="6">
        <f>B182*0.065</f>
        <v/>
      </c>
      <c r="AL182" s="6">
        <f>SUM(B182,AD182,AE182,AF182,AG182,AH182,AI182,U182,V182,AJ182,AK182)</f>
        <v/>
      </c>
      <c r="AM182" s="6">
        <f>B182*0.055</f>
        <v/>
      </c>
      <c r="AN182" s="6">
        <f>B182*0.035</f>
        <v/>
      </c>
      <c r="AO182" s="6">
        <f>B182*0.165</f>
        <v/>
      </c>
      <c r="AP182" s="6">
        <f>MAX(0,AL182-AM182-AO182)</f>
        <v/>
      </c>
      <c r="AQ182" s="6">
        <f>IF(AP182&lt;=490,0,IF(AP182&lt;=600,(AP182-490)*0.05,IF(AP182&lt;=730,5.5+(AP182-600)*0.10,IF(AP182&lt;=3896.67,18.5+(AP182-730)*0.175,IF(AP182&lt;=19896.67,572.67+(AP182-3896.67)*0.25,IF(AP182&lt;=50416.67,4572.67+(AP182-19896.67)*0.30,13728.67+(AP182-50416.67)*0.35))))))</f>
        <v/>
      </c>
      <c r="AR182" s="6">
        <f>SUM(AM182,AQ182,W182,X182,Y182,Z182,AA182,AN182,AO182)</f>
        <v/>
      </c>
      <c r="AS182" s="6">
        <f>AL182-AR182</f>
        <v/>
      </c>
      <c r="AT182" s="6">
        <f>AB182-AC182</f>
        <v/>
      </c>
    </row>
    <row r="183">
      <c r="A183" s="2" t="n"/>
      <c r="B183" s="3" t="n"/>
      <c r="C183" s="4" t="n"/>
      <c r="D183" s="5" t="n"/>
      <c r="E183" s="3" t="n"/>
      <c r="F183" s="4" t="n"/>
      <c r="G183" s="5" t="n"/>
      <c r="H183" s="3" t="n"/>
      <c r="I183" s="4" t="n"/>
      <c r="J183" s="5" t="n"/>
      <c r="K183" s="3" t="n"/>
      <c r="L183" s="4" t="n"/>
      <c r="M183" s="5" t="n"/>
      <c r="N183" s="3" t="n"/>
      <c r="O183" s="4" t="n"/>
      <c r="P183" s="5" t="n"/>
      <c r="Q183" s="3" t="n"/>
      <c r="R183" s="4" t="n"/>
      <c r="S183" s="5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6">
        <f>IF(C183=0,0,IF(E183="",B183*D183/100,E183))</f>
        <v/>
      </c>
      <c r="AE183" s="6">
        <f>IF(F183=0,0,IF(H183="",B183*G183/100,H183))</f>
        <v/>
      </c>
      <c r="AF183" s="6">
        <f>IF(I183=0,0,IF(K183="",B183*J183/100,K183))</f>
        <v/>
      </c>
      <c r="AG183" s="6">
        <f>IF(L183=0,0,IF(N183="",B183*M183/100,N183))</f>
        <v/>
      </c>
      <c r="AH183" s="6">
        <f>IF(O183=0,0,IF(Q183="",B183*P183/100,Q183))</f>
        <v/>
      </c>
      <c r="AI183" s="6">
        <f>IF(R183=0,0,IF(T183="",B183*S183/100,T183))</f>
        <v/>
      </c>
      <c r="AJ183" s="6">
        <f>B183*0.035</f>
        <v/>
      </c>
      <c r="AK183" s="6">
        <f>B183*0.065</f>
        <v/>
      </c>
      <c r="AL183" s="6">
        <f>SUM(B183,AD183,AE183,AF183,AG183,AH183,AI183,U183,V183,AJ183,AK183)</f>
        <v/>
      </c>
      <c r="AM183" s="6">
        <f>B183*0.055</f>
        <v/>
      </c>
      <c r="AN183" s="6">
        <f>B183*0.035</f>
        <v/>
      </c>
      <c r="AO183" s="6">
        <f>B183*0.165</f>
        <v/>
      </c>
      <c r="AP183" s="6">
        <f>MAX(0,AL183-AM183-AO183)</f>
        <v/>
      </c>
      <c r="AQ183" s="6">
        <f>IF(AP183&lt;=490,0,IF(AP183&lt;=600,(AP183-490)*0.05,IF(AP183&lt;=730,5.5+(AP183-600)*0.10,IF(AP183&lt;=3896.67,18.5+(AP183-730)*0.175,IF(AP183&lt;=19896.67,572.67+(AP183-3896.67)*0.25,IF(AP183&lt;=50416.67,4572.67+(AP183-19896.67)*0.30,13728.67+(AP183-50416.67)*0.35))))))</f>
        <v/>
      </c>
      <c r="AR183" s="6">
        <f>SUM(AM183,AQ183,W183,X183,Y183,Z183,AA183,AN183,AO183)</f>
        <v/>
      </c>
      <c r="AS183" s="6">
        <f>AL183-AR183</f>
        <v/>
      </c>
      <c r="AT183" s="6">
        <f>AB183-AC183</f>
        <v/>
      </c>
    </row>
    <row r="184">
      <c r="A184" s="2" t="n"/>
      <c r="B184" s="3" t="n"/>
      <c r="C184" s="4" t="n"/>
      <c r="D184" s="5" t="n"/>
      <c r="E184" s="3" t="n"/>
      <c r="F184" s="4" t="n"/>
      <c r="G184" s="5" t="n"/>
      <c r="H184" s="3" t="n"/>
      <c r="I184" s="4" t="n"/>
      <c r="J184" s="5" t="n"/>
      <c r="K184" s="3" t="n"/>
      <c r="L184" s="4" t="n"/>
      <c r="M184" s="5" t="n"/>
      <c r="N184" s="3" t="n"/>
      <c r="O184" s="4" t="n"/>
      <c r="P184" s="5" t="n"/>
      <c r="Q184" s="3" t="n"/>
      <c r="R184" s="4" t="n"/>
      <c r="S184" s="5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6">
        <f>IF(C184=0,0,IF(E184="",B184*D184/100,E184))</f>
        <v/>
      </c>
      <c r="AE184" s="6">
        <f>IF(F184=0,0,IF(H184="",B184*G184/100,H184))</f>
        <v/>
      </c>
      <c r="AF184" s="6">
        <f>IF(I184=0,0,IF(K184="",B184*J184/100,K184))</f>
        <v/>
      </c>
      <c r="AG184" s="6">
        <f>IF(L184=0,0,IF(N184="",B184*M184/100,N184))</f>
        <v/>
      </c>
      <c r="AH184" s="6">
        <f>IF(O184=0,0,IF(Q184="",B184*P184/100,Q184))</f>
        <v/>
      </c>
      <c r="AI184" s="6">
        <f>IF(R184=0,0,IF(T184="",B184*S184/100,T184))</f>
        <v/>
      </c>
      <c r="AJ184" s="6">
        <f>B184*0.035</f>
        <v/>
      </c>
      <c r="AK184" s="6">
        <f>B184*0.065</f>
        <v/>
      </c>
      <c r="AL184" s="6">
        <f>SUM(B184,AD184,AE184,AF184,AG184,AH184,AI184,U184,V184,AJ184,AK184)</f>
        <v/>
      </c>
      <c r="AM184" s="6">
        <f>B184*0.055</f>
        <v/>
      </c>
      <c r="AN184" s="6">
        <f>B184*0.035</f>
        <v/>
      </c>
      <c r="AO184" s="6">
        <f>B184*0.165</f>
        <v/>
      </c>
      <c r="AP184" s="6">
        <f>MAX(0,AL184-AM184-AO184)</f>
        <v/>
      </c>
      <c r="AQ184" s="6">
        <f>IF(AP184&lt;=490,0,IF(AP184&lt;=600,(AP184-490)*0.05,IF(AP184&lt;=730,5.5+(AP184-600)*0.10,IF(AP184&lt;=3896.67,18.5+(AP184-730)*0.175,IF(AP184&lt;=19896.67,572.67+(AP184-3896.67)*0.25,IF(AP184&lt;=50416.67,4572.67+(AP184-19896.67)*0.30,13728.67+(AP184-50416.67)*0.35))))))</f>
        <v/>
      </c>
      <c r="AR184" s="6">
        <f>SUM(AM184,AQ184,W184,X184,Y184,Z184,AA184,AN184,AO184)</f>
        <v/>
      </c>
      <c r="AS184" s="6">
        <f>AL184-AR184</f>
        <v/>
      </c>
      <c r="AT184" s="6">
        <f>AB184-AC184</f>
        <v/>
      </c>
    </row>
    <row r="185">
      <c r="A185" s="2" t="n"/>
      <c r="B185" s="3" t="n"/>
      <c r="C185" s="4" t="n"/>
      <c r="D185" s="5" t="n"/>
      <c r="E185" s="3" t="n"/>
      <c r="F185" s="4" t="n"/>
      <c r="G185" s="5" t="n"/>
      <c r="H185" s="3" t="n"/>
      <c r="I185" s="4" t="n"/>
      <c r="J185" s="5" t="n"/>
      <c r="K185" s="3" t="n"/>
      <c r="L185" s="4" t="n"/>
      <c r="M185" s="5" t="n"/>
      <c r="N185" s="3" t="n"/>
      <c r="O185" s="4" t="n"/>
      <c r="P185" s="5" t="n"/>
      <c r="Q185" s="3" t="n"/>
      <c r="R185" s="4" t="n"/>
      <c r="S185" s="5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6">
        <f>IF(C185=0,0,IF(E185="",B185*D185/100,E185))</f>
        <v/>
      </c>
      <c r="AE185" s="6">
        <f>IF(F185=0,0,IF(H185="",B185*G185/100,H185))</f>
        <v/>
      </c>
      <c r="AF185" s="6">
        <f>IF(I185=0,0,IF(K185="",B185*J185/100,K185))</f>
        <v/>
      </c>
      <c r="AG185" s="6">
        <f>IF(L185=0,0,IF(N185="",B185*M185/100,N185))</f>
        <v/>
      </c>
      <c r="AH185" s="6">
        <f>IF(O185=0,0,IF(Q185="",B185*P185/100,Q185))</f>
        <v/>
      </c>
      <c r="AI185" s="6">
        <f>IF(R185=0,0,IF(T185="",B185*S185/100,T185))</f>
        <v/>
      </c>
      <c r="AJ185" s="6">
        <f>B185*0.035</f>
        <v/>
      </c>
      <c r="AK185" s="6">
        <f>B185*0.065</f>
        <v/>
      </c>
      <c r="AL185" s="6">
        <f>SUM(B185,AD185,AE185,AF185,AG185,AH185,AI185,U185,V185,AJ185,AK185)</f>
        <v/>
      </c>
      <c r="AM185" s="6">
        <f>B185*0.055</f>
        <v/>
      </c>
      <c r="AN185" s="6">
        <f>B185*0.035</f>
        <v/>
      </c>
      <c r="AO185" s="6">
        <f>B185*0.165</f>
        <v/>
      </c>
      <c r="AP185" s="6">
        <f>MAX(0,AL185-AM185-AO185)</f>
        <v/>
      </c>
      <c r="AQ185" s="6">
        <f>IF(AP185&lt;=490,0,IF(AP185&lt;=600,(AP185-490)*0.05,IF(AP185&lt;=730,5.5+(AP185-600)*0.10,IF(AP185&lt;=3896.67,18.5+(AP185-730)*0.175,IF(AP185&lt;=19896.67,572.67+(AP185-3896.67)*0.25,IF(AP185&lt;=50416.67,4572.67+(AP185-19896.67)*0.30,13728.67+(AP185-50416.67)*0.35))))))</f>
        <v/>
      </c>
      <c r="AR185" s="6">
        <f>SUM(AM185,AQ185,W185,X185,Y185,Z185,AA185,AN185,AO185)</f>
        <v/>
      </c>
      <c r="AS185" s="6">
        <f>AL185-AR185</f>
        <v/>
      </c>
      <c r="AT185" s="6">
        <f>AB185-AC185</f>
        <v/>
      </c>
    </row>
    <row r="186">
      <c r="A186" s="2" t="n"/>
      <c r="B186" s="3" t="n"/>
      <c r="C186" s="4" t="n"/>
      <c r="D186" s="5" t="n"/>
      <c r="E186" s="3" t="n"/>
      <c r="F186" s="4" t="n"/>
      <c r="G186" s="5" t="n"/>
      <c r="H186" s="3" t="n"/>
      <c r="I186" s="4" t="n"/>
      <c r="J186" s="5" t="n"/>
      <c r="K186" s="3" t="n"/>
      <c r="L186" s="4" t="n"/>
      <c r="M186" s="5" t="n"/>
      <c r="N186" s="3" t="n"/>
      <c r="O186" s="4" t="n"/>
      <c r="P186" s="5" t="n"/>
      <c r="Q186" s="3" t="n"/>
      <c r="R186" s="4" t="n"/>
      <c r="S186" s="5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6">
        <f>IF(C186=0,0,IF(E186="",B186*D186/100,E186))</f>
        <v/>
      </c>
      <c r="AE186" s="6">
        <f>IF(F186=0,0,IF(H186="",B186*G186/100,H186))</f>
        <v/>
      </c>
      <c r="AF186" s="6">
        <f>IF(I186=0,0,IF(K186="",B186*J186/100,K186))</f>
        <v/>
      </c>
      <c r="AG186" s="6">
        <f>IF(L186=0,0,IF(N186="",B186*M186/100,N186))</f>
        <v/>
      </c>
      <c r="AH186" s="6">
        <f>IF(O186=0,0,IF(Q186="",B186*P186/100,Q186))</f>
        <v/>
      </c>
      <c r="AI186" s="6">
        <f>IF(R186=0,0,IF(T186="",B186*S186/100,T186))</f>
        <v/>
      </c>
      <c r="AJ186" s="6">
        <f>B186*0.035</f>
        <v/>
      </c>
      <c r="AK186" s="6">
        <f>B186*0.065</f>
        <v/>
      </c>
      <c r="AL186" s="6">
        <f>SUM(B186,AD186,AE186,AF186,AG186,AH186,AI186,U186,V186,AJ186,AK186)</f>
        <v/>
      </c>
      <c r="AM186" s="6">
        <f>B186*0.055</f>
        <v/>
      </c>
      <c r="AN186" s="6">
        <f>B186*0.035</f>
        <v/>
      </c>
      <c r="AO186" s="6">
        <f>B186*0.165</f>
        <v/>
      </c>
      <c r="AP186" s="6">
        <f>MAX(0,AL186-AM186-AO186)</f>
        <v/>
      </c>
      <c r="AQ186" s="6">
        <f>IF(AP186&lt;=490,0,IF(AP186&lt;=600,(AP186-490)*0.05,IF(AP186&lt;=730,5.5+(AP186-600)*0.10,IF(AP186&lt;=3896.67,18.5+(AP186-730)*0.175,IF(AP186&lt;=19896.67,572.67+(AP186-3896.67)*0.25,IF(AP186&lt;=50416.67,4572.67+(AP186-19896.67)*0.30,13728.67+(AP186-50416.67)*0.35))))))</f>
        <v/>
      </c>
      <c r="AR186" s="6">
        <f>SUM(AM186,AQ186,W186,X186,Y186,Z186,AA186,AN186,AO186)</f>
        <v/>
      </c>
      <c r="AS186" s="6">
        <f>AL186-AR186</f>
        <v/>
      </c>
      <c r="AT186" s="6">
        <f>AB186-AC186</f>
        <v/>
      </c>
    </row>
    <row r="187">
      <c r="A187" s="2" t="n"/>
      <c r="B187" s="3" t="n"/>
      <c r="C187" s="4" t="n"/>
      <c r="D187" s="5" t="n"/>
      <c r="E187" s="3" t="n"/>
      <c r="F187" s="4" t="n"/>
      <c r="G187" s="5" t="n"/>
      <c r="H187" s="3" t="n"/>
      <c r="I187" s="4" t="n"/>
      <c r="J187" s="5" t="n"/>
      <c r="K187" s="3" t="n"/>
      <c r="L187" s="4" t="n"/>
      <c r="M187" s="5" t="n"/>
      <c r="N187" s="3" t="n"/>
      <c r="O187" s="4" t="n"/>
      <c r="P187" s="5" t="n"/>
      <c r="Q187" s="3" t="n"/>
      <c r="R187" s="4" t="n"/>
      <c r="S187" s="5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6">
        <f>IF(C187=0,0,IF(E187="",B187*D187/100,E187))</f>
        <v/>
      </c>
      <c r="AE187" s="6">
        <f>IF(F187=0,0,IF(H187="",B187*G187/100,H187))</f>
        <v/>
      </c>
      <c r="AF187" s="6">
        <f>IF(I187=0,0,IF(K187="",B187*J187/100,K187))</f>
        <v/>
      </c>
      <c r="AG187" s="6">
        <f>IF(L187=0,0,IF(N187="",B187*M187/100,N187))</f>
        <v/>
      </c>
      <c r="AH187" s="6">
        <f>IF(O187=0,0,IF(Q187="",B187*P187/100,Q187))</f>
        <v/>
      </c>
      <c r="AI187" s="6">
        <f>IF(R187=0,0,IF(T187="",B187*S187/100,T187))</f>
        <v/>
      </c>
      <c r="AJ187" s="6">
        <f>B187*0.035</f>
        <v/>
      </c>
      <c r="AK187" s="6">
        <f>B187*0.065</f>
        <v/>
      </c>
      <c r="AL187" s="6">
        <f>SUM(B187,AD187,AE187,AF187,AG187,AH187,AI187,U187,V187,AJ187,AK187)</f>
        <v/>
      </c>
      <c r="AM187" s="6">
        <f>B187*0.055</f>
        <v/>
      </c>
      <c r="AN187" s="6">
        <f>B187*0.035</f>
        <v/>
      </c>
      <c r="AO187" s="6">
        <f>B187*0.165</f>
        <v/>
      </c>
      <c r="AP187" s="6">
        <f>MAX(0,AL187-AM187-AO187)</f>
        <v/>
      </c>
      <c r="AQ187" s="6">
        <f>IF(AP187&lt;=490,0,IF(AP187&lt;=600,(AP187-490)*0.05,IF(AP187&lt;=730,5.5+(AP187-600)*0.10,IF(AP187&lt;=3896.67,18.5+(AP187-730)*0.175,IF(AP187&lt;=19896.67,572.67+(AP187-3896.67)*0.25,IF(AP187&lt;=50416.67,4572.67+(AP187-19896.67)*0.30,13728.67+(AP187-50416.67)*0.35))))))</f>
        <v/>
      </c>
      <c r="AR187" s="6">
        <f>SUM(AM187,AQ187,W187,X187,Y187,Z187,AA187,AN187,AO187)</f>
        <v/>
      </c>
      <c r="AS187" s="6">
        <f>AL187-AR187</f>
        <v/>
      </c>
      <c r="AT187" s="6">
        <f>AB187-AC187</f>
        <v/>
      </c>
    </row>
    <row r="188">
      <c r="A188" s="2" t="n"/>
      <c r="B188" s="3" t="n"/>
      <c r="C188" s="4" t="n"/>
      <c r="D188" s="5" t="n"/>
      <c r="E188" s="3" t="n"/>
      <c r="F188" s="4" t="n"/>
      <c r="G188" s="5" t="n"/>
      <c r="H188" s="3" t="n"/>
      <c r="I188" s="4" t="n"/>
      <c r="J188" s="5" t="n"/>
      <c r="K188" s="3" t="n"/>
      <c r="L188" s="4" t="n"/>
      <c r="M188" s="5" t="n"/>
      <c r="N188" s="3" t="n"/>
      <c r="O188" s="4" t="n"/>
      <c r="P188" s="5" t="n"/>
      <c r="Q188" s="3" t="n"/>
      <c r="R188" s="4" t="n"/>
      <c r="S188" s="5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6">
        <f>IF(C188=0,0,IF(E188="",B188*D188/100,E188))</f>
        <v/>
      </c>
      <c r="AE188" s="6">
        <f>IF(F188=0,0,IF(H188="",B188*G188/100,H188))</f>
        <v/>
      </c>
      <c r="AF188" s="6">
        <f>IF(I188=0,0,IF(K188="",B188*J188/100,K188))</f>
        <v/>
      </c>
      <c r="AG188" s="6">
        <f>IF(L188=0,0,IF(N188="",B188*M188/100,N188))</f>
        <v/>
      </c>
      <c r="AH188" s="6">
        <f>IF(O188=0,0,IF(Q188="",B188*P188/100,Q188))</f>
        <v/>
      </c>
      <c r="AI188" s="6">
        <f>IF(R188=0,0,IF(T188="",B188*S188/100,T188))</f>
        <v/>
      </c>
      <c r="AJ188" s="6">
        <f>B188*0.035</f>
        <v/>
      </c>
      <c r="AK188" s="6">
        <f>B188*0.065</f>
        <v/>
      </c>
      <c r="AL188" s="6">
        <f>SUM(B188,AD188,AE188,AF188,AG188,AH188,AI188,U188,V188,AJ188,AK188)</f>
        <v/>
      </c>
      <c r="AM188" s="6">
        <f>B188*0.055</f>
        <v/>
      </c>
      <c r="AN188" s="6">
        <f>B188*0.035</f>
        <v/>
      </c>
      <c r="AO188" s="6">
        <f>B188*0.165</f>
        <v/>
      </c>
      <c r="AP188" s="6">
        <f>MAX(0,AL188-AM188-AO188)</f>
        <v/>
      </c>
      <c r="AQ188" s="6">
        <f>IF(AP188&lt;=490,0,IF(AP188&lt;=600,(AP188-490)*0.05,IF(AP188&lt;=730,5.5+(AP188-600)*0.10,IF(AP188&lt;=3896.67,18.5+(AP188-730)*0.175,IF(AP188&lt;=19896.67,572.67+(AP188-3896.67)*0.25,IF(AP188&lt;=50416.67,4572.67+(AP188-19896.67)*0.30,13728.67+(AP188-50416.67)*0.35))))))</f>
        <v/>
      </c>
      <c r="AR188" s="6">
        <f>SUM(AM188,AQ188,W188,X188,Y188,Z188,AA188,AN188,AO188)</f>
        <v/>
      </c>
      <c r="AS188" s="6">
        <f>AL188-AR188</f>
        <v/>
      </c>
      <c r="AT188" s="6">
        <f>AB188-AC188</f>
        <v/>
      </c>
    </row>
    <row r="189">
      <c r="A189" s="2" t="n"/>
      <c r="B189" s="3" t="n"/>
      <c r="C189" s="4" t="n"/>
      <c r="D189" s="5" t="n"/>
      <c r="E189" s="3" t="n"/>
      <c r="F189" s="4" t="n"/>
      <c r="G189" s="5" t="n"/>
      <c r="H189" s="3" t="n"/>
      <c r="I189" s="4" t="n"/>
      <c r="J189" s="5" t="n"/>
      <c r="K189" s="3" t="n"/>
      <c r="L189" s="4" t="n"/>
      <c r="M189" s="5" t="n"/>
      <c r="N189" s="3" t="n"/>
      <c r="O189" s="4" t="n"/>
      <c r="P189" s="5" t="n"/>
      <c r="Q189" s="3" t="n"/>
      <c r="R189" s="4" t="n"/>
      <c r="S189" s="5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6">
        <f>IF(C189=0,0,IF(E189="",B189*D189/100,E189))</f>
        <v/>
      </c>
      <c r="AE189" s="6">
        <f>IF(F189=0,0,IF(H189="",B189*G189/100,H189))</f>
        <v/>
      </c>
      <c r="AF189" s="6">
        <f>IF(I189=0,0,IF(K189="",B189*J189/100,K189))</f>
        <v/>
      </c>
      <c r="AG189" s="6">
        <f>IF(L189=0,0,IF(N189="",B189*M189/100,N189))</f>
        <v/>
      </c>
      <c r="AH189" s="6">
        <f>IF(O189=0,0,IF(Q189="",B189*P189/100,Q189))</f>
        <v/>
      </c>
      <c r="AI189" s="6">
        <f>IF(R189=0,0,IF(T189="",B189*S189/100,T189))</f>
        <v/>
      </c>
      <c r="AJ189" s="6">
        <f>B189*0.035</f>
        <v/>
      </c>
      <c r="AK189" s="6">
        <f>B189*0.065</f>
        <v/>
      </c>
      <c r="AL189" s="6">
        <f>SUM(B189,AD189,AE189,AF189,AG189,AH189,AI189,U189,V189,AJ189,AK189)</f>
        <v/>
      </c>
      <c r="AM189" s="6">
        <f>B189*0.055</f>
        <v/>
      </c>
      <c r="AN189" s="6">
        <f>B189*0.035</f>
        <v/>
      </c>
      <c r="AO189" s="6">
        <f>B189*0.165</f>
        <v/>
      </c>
      <c r="AP189" s="6">
        <f>MAX(0,AL189-AM189-AO189)</f>
        <v/>
      </c>
      <c r="AQ189" s="6">
        <f>IF(AP189&lt;=490,0,IF(AP189&lt;=600,(AP189-490)*0.05,IF(AP189&lt;=730,5.5+(AP189-600)*0.10,IF(AP189&lt;=3896.67,18.5+(AP189-730)*0.175,IF(AP189&lt;=19896.67,572.67+(AP189-3896.67)*0.25,IF(AP189&lt;=50416.67,4572.67+(AP189-19896.67)*0.30,13728.67+(AP189-50416.67)*0.35))))))</f>
        <v/>
      </c>
      <c r="AR189" s="6">
        <f>SUM(AM189,AQ189,W189,X189,Y189,Z189,AA189,AN189,AO189)</f>
        <v/>
      </c>
      <c r="AS189" s="6">
        <f>AL189-AR189</f>
        <v/>
      </c>
      <c r="AT189" s="6">
        <f>AB189-AC189</f>
        <v/>
      </c>
    </row>
    <row r="190">
      <c r="A190" s="2" t="n"/>
      <c r="B190" s="3" t="n"/>
      <c r="C190" s="4" t="n"/>
      <c r="D190" s="5" t="n"/>
      <c r="E190" s="3" t="n"/>
      <c r="F190" s="4" t="n"/>
      <c r="G190" s="5" t="n"/>
      <c r="H190" s="3" t="n"/>
      <c r="I190" s="4" t="n"/>
      <c r="J190" s="5" t="n"/>
      <c r="K190" s="3" t="n"/>
      <c r="L190" s="4" t="n"/>
      <c r="M190" s="5" t="n"/>
      <c r="N190" s="3" t="n"/>
      <c r="O190" s="4" t="n"/>
      <c r="P190" s="5" t="n"/>
      <c r="Q190" s="3" t="n"/>
      <c r="R190" s="4" t="n"/>
      <c r="S190" s="5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6">
        <f>IF(C190=0,0,IF(E190="",B190*D190/100,E190))</f>
        <v/>
      </c>
      <c r="AE190" s="6">
        <f>IF(F190=0,0,IF(H190="",B190*G190/100,H190))</f>
        <v/>
      </c>
      <c r="AF190" s="6">
        <f>IF(I190=0,0,IF(K190="",B190*J190/100,K190))</f>
        <v/>
      </c>
      <c r="AG190" s="6">
        <f>IF(L190=0,0,IF(N190="",B190*M190/100,N190))</f>
        <v/>
      </c>
      <c r="AH190" s="6">
        <f>IF(O190=0,0,IF(Q190="",B190*P190/100,Q190))</f>
        <v/>
      </c>
      <c r="AI190" s="6">
        <f>IF(R190=0,0,IF(T190="",B190*S190/100,T190))</f>
        <v/>
      </c>
      <c r="AJ190" s="6">
        <f>B190*0.035</f>
        <v/>
      </c>
      <c r="AK190" s="6">
        <f>B190*0.065</f>
        <v/>
      </c>
      <c r="AL190" s="6">
        <f>SUM(B190,AD190,AE190,AF190,AG190,AH190,AI190,U190,V190,AJ190,AK190)</f>
        <v/>
      </c>
      <c r="AM190" s="6">
        <f>B190*0.055</f>
        <v/>
      </c>
      <c r="AN190" s="6">
        <f>B190*0.035</f>
        <v/>
      </c>
      <c r="AO190" s="6">
        <f>B190*0.165</f>
        <v/>
      </c>
      <c r="AP190" s="6">
        <f>MAX(0,AL190-AM190-AO190)</f>
        <v/>
      </c>
      <c r="AQ190" s="6">
        <f>IF(AP190&lt;=490,0,IF(AP190&lt;=600,(AP190-490)*0.05,IF(AP190&lt;=730,5.5+(AP190-600)*0.10,IF(AP190&lt;=3896.67,18.5+(AP190-730)*0.175,IF(AP190&lt;=19896.67,572.67+(AP190-3896.67)*0.25,IF(AP190&lt;=50416.67,4572.67+(AP190-19896.67)*0.30,13728.67+(AP190-50416.67)*0.35))))))</f>
        <v/>
      </c>
      <c r="AR190" s="6">
        <f>SUM(AM190,AQ190,W190,X190,Y190,Z190,AA190,AN190,AO190)</f>
        <v/>
      </c>
      <c r="AS190" s="6">
        <f>AL190-AR190</f>
        <v/>
      </c>
      <c r="AT190" s="6">
        <f>AB190-AC190</f>
        <v/>
      </c>
    </row>
    <row r="191">
      <c r="A191" s="2" t="n"/>
      <c r="B191" s="3" t="n"/>
      <c r="C191" s="4" t="n"/>
      <c r="D191" s="5" t="n"/>
      <c r="E191" s="3" t="n"/>
      <c r="F191" s="4" t="n"/>
      <c r="G191" s="5" t="n"/>
      <c r="H191" s="3" t="n"/>
      <c r="I191" s="4" t="n"/>
      <c r="J191" s="5" t="n"/>
      <c r="K191" s="3" t="n"/>
      <c r="L191" s="4" t="n"/>
      <c r="M191" s="5" t="n"/>
      <c r="N191" s="3" t="n"/>
      <c r="O191" s="4" t="n"/>
      <c r="P191" s="5" t="n"/>
      <c r="Q191" s="3" t="n"/>
      <c r="R191" s="4" t="n"/>
      <c r="S191" s="5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6">
        <f>IF(C191=0,0,IF(E191="",B191*D191/100,E191))</f>
        <v/>
      </c>
      <c r="AE191" s="6">
        <f>IF(F191=0,0,IF(H191="",B191*G191/100,H191))</f>
        <v/>
      </c>
      <c r="AF191" s="6">
        <f>IF(I191=0,0,IF(K191="",B191*J191/100,K191))</f>
        <v/>
      </c>
      <c r="AG191" s="6">
        <f>IF(L191=0,0,IF(N191="",B191*M191/100,N191))</f>
        <v/>
      </c>
      <c r="AH191" s="6">
        <f>IF(O191=0,0,IF(Q191="",B191*P191/100,Q191))</f>
        <v/>
      </c>
      <c r="AI191" s="6">
        <f>IF(R191=0,0,IF(T191="",B191*S191/100,T191))</f>
        <v/>
      </c>
      <c r="AJ191" s="6">
        <f>B191*0.035</f>
        <v/>
      </c>
      <c r="AK191" s="6">
        <f>B191*0.065</f>
        <v/>
      </c>
      <c r="AL191" s="6">
        <f>SUM(B191,AD191,AE191,AF191,AG191,AH191,AI191,U191,V191,AJ191,AK191)</f>
        <v/>
      </c>
      <c r="AM191" s="6">
        <f>B191*0.055</f>
        <v/>
      </c>
      <c r="AN191" s="6">
        <f>B191*0.035</f>
        <v/>
      </c>
      <c r="AO191" s="6">
        <f>B191*0.165</f>
        <v/>
      </c>
      <c r="AP191" s="6">
        <f>MAX(0,AL191-AM191-AO191)</f>
        <v/>
      </c>
      <c r="AQ191" s="6">
        <f>IF(AP191&lt;=490,0,IF(AP191&lt;=600,(AP191-490)*0.05,IF(AP191&lt;=730,5.5+(AP191-600)*0.10,IF(AP191&lt;=3896.67,18.5+(AP191-730)*0.175,IF(AP191&lt;=19896.67,572.67+(AP191-3896.67)*0.25,IF(AP191&lt;=50416.67,4572.67+(AP191-19896.67)*0.30,13728.67+(AP191-50416.67)*0.35))))))</f>
        <v/>
      </c>
      <c r="AR191" s="6">
        <f>SUM(AM191,AQ191,W191,X191,Y191,Z191,AA191,AN191,AO191)</f>
        <v/>
      </c>
      <c r="AS191" s="6">
        <f>AL191-AR191</f>
        <v/>
      </c>
      <c r="AT191" s="6">
        <f>AB191-AC191</f>
        <v/>
      </c>
    </row>
    <row r="192">
      <c r="A192" s="2" t="n"/>
      <c r="B192" s="3" t="n"/>
      <c r="C192" s="4" t="n"/>
      <c r="D192" s="5" t="n"/>
      <c r="E192" s="3" t="n"/>
      <c r="F192" s="4" t="n"/>
      <c r="G192" s="5" t="n"/>
      <c r="H192" s="3" t="n"/>
      <c r="I192" s="4" t="n"/>
      <c r="J192" s="5" t="n"/>
      <c r="K192" s="3" t="n"/>
      <c r="L192" s="4" t="n"/>
      <c r="M192" s="5" t="n"/>
      <c r="N192" s="3" t="n"/>
      <c r="O192" s="4" t="n"/>
      <c r="P192" s="5" t="n"/>
      <c r="Q192" s="3" t="n"/>
      <c r="R192" s="4" t="n"/>
      <c r="S192" s="5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6">
        <f>IF(C192=0,0,IF(E192="",B192*D192/100,E192))</f>
        <v/>
      </c>
      <c r="AE192" s="6">
        <f>IF(F192=0,0,IF(H192="",B192*G192/100,H192))</f>
        <v/>
      </c>
      <c r="AF192" s="6">
        <f>IF(I192=0,0,IF(K192="",B192*J192/100,K192))</f>
        <v/>
      </c>
      <c r="AG192" s="6">
        <f>IF(L192=0,0,IF(N192="",B192*M192/100,N192))</f>
        <v/>
      </c>
      <c r="AH192" s="6">
        <f>IF(O192=0,0,IF(Q192="",B192*P192/100,Q192))</f>
        <v/>
      </c>
      <c r="AI192" s="6">
        <f>IF(R192=0,0,IF(T192="",B192*S192/100,T192))</f>
        <v/>
      </c>
      <c r="AJ192" s="6">
        <f>B192*0.035</f>
        <v/>
      </c>
      <c r="AK192" s="6">
        <f>B192*0.065</f>
        <v/>
      </c>
      <c r="AL192" s="6">
        <f>SUM(B192,AD192,AE192,AF192,AG192,AH192,AI192,U192,V192,AJ192,AK192)</f>
        <v/>
      </c>
      <c r="AM192" s="6">
        <f>B192*0.055</f>
        <v/>
      </c>
      <c r="AN192" s="6">
        <f>B192*0.035</f>
        <v/>
      </c>
      <c r="AO192" s="6">
        <f>B192*0.165</f>
        <v/>
      </c>
      <c r="AP192" s="6">
        <f>MAX(0,AL192-AM192-AO192)</f>
        <v/>
      </c>
      <c r="AQ192" s="6">
        <f>IF(AP192&lt;=490,0,IF(AP192&lt;=600,(AP192-490)*0.05,IF(AP192&lt;=730,5.5+(AP192-600)*0.10,IF(AP192&lt;=3896.67,18.5+(AP192-730)*0.175,IF(AP192&lt;=19896.67,572.67+(AP192-3896.67)*0.25,IF(AP192&lt;=50416.67,4572.67+(AP192-19896.67)*0.30,13728.67+(AP192-50416.67)*0.35))))))</f>
        <v/>
      </c>
      <c r="AR192" s="6">
        <f>SUM(AM192,AQ192,W192,X192,Y192,Z192,AA192,AN192,AO192)</f>
        <v/>
      </c>
      <c r="AS192" s="6">
        <f>AL192-AR192</f>
        <v/>
      </c>
      <c r="AT192" s="6">
        <f>AB192-AC192</f>
        <v/>
      </c>
    </row>
    <row r="193">
      <c r="A193" s="2" t="n"/>
      <c r="B193" s="3" t="n"/>
      <c r="C193" s="4" t="n"/>
      <c r="D193" s="5" t="n"/>
      <c r="E193" s="3" t="n"/>
      <c r="F193" s="4" t="n"/>
      <c r="G193" s="5" t="n"/>
      <c r="H193" s="3" t="n"/>
      <c r="I193" s="4" t="n"/>
      <c r="J193" s="5" t="n"/>
      <c r="K193" s="3" t="n"/>
      <c r="L193" s="4" t="n"/>
      <c r="M193" s="5" t="n"/>
      <c r="N193" s="3" t="n"/>
      <c r="O193" s="4" t="n"/>
      <c r="P193" s="5" t="n"/>
      <c r="Q193" s="3" t="n"/>
      <c r="R193" s="4" t="n"/>
      <c r="S193" s="5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6">
        <f>IF(C193=0,0,IF(E193="",B193*D193/100,E193))</f>
        <v/>
      </c>
      <c r="AE193" s="6">
        <f>IF(F193=0,0,IF(H193="",B193*G193/100,H193))</f>
        <v/>
      </c>
      <c r="AF193" s="6">
        <f>IF(I193=0,0,IF(K193="",B193*J193/100,K193))</f>
        <v/>
      </c>
      <c r="AG193" s="6">
        <f>IF(L193=0,0,IF(N193="",B193*M193/100,N193))</f>
        <v/>
      </c>
      <c r="AH193" s="6">
        <f>IF(O193=0,0,IF(Q193="",B193*P193/100,Q193))</f>
        <v/>
      </c>
      <c r="AI193" s="6">
        <f>IF(R193=0,0,IF(T193="",B193*S193/100,T193))</f>
        <v/>
      </c>
      <c r="AJ193" s="6">
        <f>B193*0.035</f>
        <v/>
      </c>
      <c r="AK193" s="6">
        <f>B193*0.065</f>
        <v/>
      </c>
      <c r="AL193" s="6">
        <f>SUM(B193,AD193,AE193,AF193,AG193,AH193,AI193,U193,V193,AJ193,AK193)</f>
        <v/>
      </c>
      <c r="AM193" s="6">
        <f>B193*0.055</f>
        <v/>
      </c>
      <c r="AN193" s="6">
        <f>B193*0.035</f>
        <v/>
      </c>
      <c r="AO193" s="6">
        <f>B193*0.165</f>
        <v/>
      </c>
      <c r="AP193" s="6">
        <f>MAX(0,AL193-AM193-AO193)</f>
        <v/>
      </c>
      <c r="AQ193" s="6">
        <f>IF(AP193&lt;=490,0,IF(AP193&lt;=600,(AP193-490)*0.05,IF(AP193&lt;=730,5.5+(AP193-600)*0.10,IF(AP193&lt;=3896.67,18.5+(AP193-730)*0.175,IF(AP193&lt;=19896.67,572.67+(AP193-3896.67)*0.25,IF(AP193&lt;=50416.67,4572.67+(AP193-19896.67)*0.30,13728.67+(AP193-50416.67)*0.35))))))</f>
        <v/>
      </c>
      <c r="AR193" s="6">
        <f>SUM(AM193,AQ193,W193,X193,Y193,Z193,AA193,AN193,AO193)</f>
        <v/>
      </c>
      <c r="AS193" s="6">
        <f>AL193-AR193</f>
        <v/>
      </c>
      <c r="AT193" s="6">
        <f>AB193-AC193</f>
        <v/>
      </c>
    </row>
    <row r="194">
      <c r="A194" s="2" t="n"/>
      <c r="B194" s="3" t="n"/>
      <c r="C194" s="4" t="n"/>
      <c r="D194" s="5" t="n"/>
      <c r="E194" s="3" t="n"/>
      <c r="F194" s="4" t="n"/>
      <c r="G194" s="5" t="n"/>
      <c r="H194" s="3" t="n"/>
      <c r="I194" s="4" t="n"/>
      <c r="J194" s="5" t="n"/>
      <c r="K194" s="3" t="n"/>
      <c r="L194" s="4" t="n"/>
      <c r="M194" s="5" t="n"/>
      <c r="N194" s="3" t="n"/>
      <c r="O194" s="4" t="n"/>
      <c r="P194" s="5" t="n"/>
      <c r="Q194" s="3" t="n"/>
      <c r="R194" s="4" t="n"/>
      <c r="S194" s="5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6">
        <f>IF(C194=0,0,IF(E194="",B194*D194/100,E194))</f>
        <v/>
      </c>
      <c r="AE194" s="6">
        <f>IF(F194=0,0,IF(H194="",B194*G194/100,H194))</f>
        <v/>
      </c>
      <c r="AF194" s="6">
        <f>IF(I194=0,0,IF(K194="",B194*J194/100,K194))</f>
        <v/>
      </c>
      <c r="AG194" s="6">
        <f>IF(L194=0,0,IF(N194="",B194*M194/100,N194))</f>
        <v/>
      </c>
      <c r="AH194" s="6">
        <f>IF(O194=0,0,IF(Q194="",B194*P194/100,Q194))</f>
        <v/>
      </c>
      <c r="AI194" s="6">
        <f>IF(R194=0,0,IF(T194="",B194*S194/100,T194))</f>
        <v/>
      </c>
      <c r="AJ194" s="6">
        <f>B194*0.035</f>
        <v/>
      </c>
      <c r="AK194" s="6">
        <f>B194*0.065</f>
        <v/>
      </c>
      <c r="AL194" s="6">
        <f>SUM(B194,AD194,AE194,AF194,AG194,AH194,AI194,U194,V194,AJ194,AK194)</f>
        <v/>
      </c>
      <c r="AM194" s="6">
        <f>B194*0.055</f>
        <v/>
      </c>
      <c r="AN194" s="6">
        <f>B194*0.035</f>
        <v/>
      </c>
      <c r="AO194" s="6">
        <f>B194*0.165</f>
        <v/>
      </c>
      <c r="AP194" s="6">
        <f>MAX(0,AL194-AM194-AO194)</f>
        <v/>
      </c>
      <c r="AQ194" s="6">
        <f>IF(AP194&lt;=490,0,IF(AP194&lt;=600,(AP194-490)*0.05,IF(AP194&lt;=730,5.5+(AP194-600)*0.10,IF(AP194&lt;=3896.67,18.5+(AP194-730)*0.175,IF(AP194&lt;=19896.67,572.67+(AP194-3896.67)*0.25,IF(AP194&lt;=50416.67,4572.67+(AP194-19896.67)*0.30,13728.67+(AP194-50416.67)*0.35))))))</f>
        <v/>
      </c>
      <c r="AR194" s="6">
        <f>SUM(AM194,AQ194,W194,X194,Y194,Z194,AA194,AN194,AO194)</f>
        <v/>
      </c>
      <c r="AS194" s="6">
        <f>AL194-AR194</f>
        <v/>
      </c>
      <c r="AT194" s="6">
        <f>AB194-AC194</f>
        <v/>
      </c>
    </row>
    <row r="195">
      <c r="A195" s="2" t="n"/>
      <c r="B195" s="3" t="n"/>
      <c r="C195" s="4" t="n"/>
      <c r="D195" s="5" t="n"/>
      <c r="E195" s="3" t="n"/>
      <c r="F195" s="4" t="n"/>
      <c r="G195" s="5" t="n"/>
      <c r="H195" s="3" t="n"/>
      <c r="I195" s="4" t="n"/>
      <c r="J195" s="5" t="n"/>
      <c r="K195" s="3" t="n"/>
      <c r="L195" s="4" t="n"/>
      <c r="M195" s="5" t="n"/>
      <c r="N195" s="3" t="n"/>
      <c r="O195" s="4" t="n"/>
      <c r="P195" s="5" t="n"/>
      <c r="Q195" s="3" t="n"/>
      <c r="R195" s="4" t="n"/>
      <c r="S195" s="5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6">
        <f>IF(C195=0,0,IF(E195="",B195*D195/100,E195))</f>
        <v/>
      </c>
      <c r="AE195" s="6">
        <f>IF(F195=0,0,IF(H195="",B195*G195/100,H195))</f>
        <v/>
      </c>
      <c r="AF195" s="6">
        <f>IF(I195=0,0,IF(K195="",B195*J195/100,K195))</f>
        <v/>
      </c>
      <c r="AG195" s="6">
        <f>IF(L195=0,0,IF(N195="",B195*M195/100,N195))</f>
        <v/>
      </c>
      <c r="AH195" s="6">
        <f>IF(O195=0,0,IF(Q195="",B195*P195/100,Q195))</f>
        <v/>
      </c>
      <c r="AI195" s="6">
        <f>IF(R195=0,0,IF(T195="",B195*S195/100,T195))</f>
        <v/>
      </c>
      <c r="AJ195" s="6">
        <f>B195*0.035</f>
        <v/>
      </c>
      <c r="AK195" s="6">
        <f>B195*0.065</f>
        <v/>
      </c>
      <c r="AL195" s="6">
        <f>SUM(B195,AD195,AE195,AF195,AG195,AH195,AI195,U195,V195,AJ195,AK195)</f>
        <v/>
      </c>
      <c r="AM195" s="6">
        <f>B195*0.055</f>
        <v/>
      </c>
      <c r="AN195" s="6">
        <f>B195*0.035</f>
        <v/>
      </c>
      <c r="AO195" s="6">
        <f>B195*0.165</f>
        <v/>
      </c>
      <c r="AP195" s="6">
        <f>MAX(0,AL195-AM195-AO195)</f>
        <v/>
      </c>
      <c r="AQ195" s="6">
        <f>IF(AP195&lt;=490,0,IF(AP195&lt;=600,(AP195-490)*0.05,IF(AP195&lt;=730,5.5+(AP195-600)*0.10,IF(AP195&lt;=3896.67,18.5+(AP195-730)*0.175,IF(AP195&lt;=19896.67,572.67+(AP195-3896.67)*0.25,IF(AP195&lt;=50416.67,4572.67+(AP195-19896.67)*0.30,13728.67+(AP195-50416.67)*0.35))))))</f>
        <v/>
      </c>
      <c r="AR195" s="6">
        <f>SUM(AM195,AQ195,W195,X195,Y195,Z195,AA195,AN195,AO195)</f>
        <v/>
      </c>
      <c r="AS195" s="6">
        <f>AL195-AR195</f>
        <v/>
      </c>
      <c r="AT195" s="6">
        <f>AB195-AC195</f>
        <v/>
      </c>
    </row>
    <row r="196">
      <c r="A196" s="2" t="n"/>
      <c r="B196" s="3" t="n"/>
      <c r="C196" s="4" t="n"/>
      <c r="D196" s="5" t="n"/>
      <c r="E196" s="3" t="n"/>
      <c r="F196" s="4" t="n"/>
      <c r="G196" s="5" t="n"/>
      <c r="H196" s="3" t="n"/>
      <c r="I196" s="4" t="n"/>
      <c r="J196" s="5" t="n"/>
      <c r="K196" s="3" t="n"/>
      <c r="L196" s="4" t="n"/>
      <c r="M196" s="5" t="n"/>
      <c r="N196" s="3" t="n"/>
      <c r="O196" s="4" t="n"/>
      <c r="P196" s="5" t="n"/>
      <c r="Q196" s="3" t="n"/>
      <c r="R196" s="4" t="n"/>
      <c r="S196" s="5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6">
        <f>IF(C196=0,0,IF(E196="",B196*D196/100,E196))</f>
        <v/>
      </c>
      <c r="AE196" s="6">
        <f>IF(F196=0,0,IF(H196="",B196*G196/100,H196))</f>
        <v/>
      </c>
      <c r="AF196" s="6">
        <f>IF(I196=0,0,IF(K196="",B196*J196/100,K196))</f>
        <v/>
      </c>
      <c r="AG196" s="6">
        <f>IF(L196=0,0,IF(N196="",B196*M196/100,N196))</f>
        <v/>
      </c>
      <c r="AH196" s="6">
        <f>IF(O196=0,0,IF(Q196="",B196*P196/100,Q196))</f>
        <v/>
      </c>
      <c r="AI196" s="6">
        <f>IF(R196=0,0,IF(T196="",B196*S196/100,T196))</f>
        <v/>
      </c>
      <c r="AJ196" s="6">
        <f>B196*0.035</f>
        <v/>
      </c>
      <c r="AK196" s="6">
        <f>B196*0.065</f>
        <v/>
      </c>
      <c r="AL196" s="6">
        <f>SUM(B196,AD196,AE196,AF196,AG196,AH196,AI196,U196,V196,AJ196,AK196)</f>
        <v/>
      </c>
      <c r="AM196" s="6">
        <f>B196*0.055</f>
        <v/>
      </c>
      <c r="AN196" s="6">
        <f>B196*0.035</f>
        <v/>
      </c>
      <c r="AO196" s="6">
        <f>B196*0.165</f>
        <v/>
      </c>
      <c r="AP196" s="6">
        <f>MAX(0,AL196-AM196-AO196)</f>
        <v/>
      </c>
      <c r="AQ196" s="6">
        <f>IF(AP196&lt;=490,0,IF(AP196&lt;=600,(AP196-490)*0.05,IF(AP196&lt;=730,5.5+(AP196-600)*0.10,IF(AP196&lt;=3896.67,18.5+(AP196-730)*0.175,IF(AP196&lt;=19896.67,572.67+(AP196-3896.67)*0.25,IF(AP196&lt;=50416.67,4572.67+(AP196-19896.67)*0.30,13728.67+(AP196-50416.67)*0.35))))))</f>
        <v/>
      </c>
      <c r="AR196" s="6">
        <f>SUM(AM196,AQ196,W196,X196,Y196,Z196,AA196,AN196,AO196)</f>
        <v/>
      </c>
      <c r="AS196" s="6">
        <f>AL196-AR196</f>
        <v/>
      </c>
      <c r="AT196" s="6">
        <f>AB196-AC196</f>
        <v/>
      </c>
    </row>
    <row r="197">
      <c r="A197" s="2" t="n"/>
      <c r="B197" s="3" t="n"/>
      <c r="C197" s="4" t="n"/>
      <c r="D197" s="5" t="n"/>
      <c r="E197" s="3" t="n"/>
      <c r="F197" s="4" t="n"/>
      <c r="G197" s="5" t="n"/>
      <c r="H197" s="3" t="n"/>
      <c r="I197" s="4" t="n"/>
      <c r="J197" s="5" t="n"/>
      <c r="K197" s="3" t="n"/>
      <c r="L197" s="4" t="n"/>
      <c r="M197" s="5" t="n"/>
      <c r="N197" s="3" t="n"/>
      <c r="O197" s="4" t="n"/>
      <c r="P197" s="5" t="n"/>
      <c r="Q197" s="3" t="n"/>
      <c r="R197" s="4" t="n"/>
      <c r="S197" s="5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6">
        <f>IF(C197=0,0,IF(E197="",B197*D197/100,E197))</f>
        <v/>
      </c>
      <c r="AE197" s="6">
        <f>IF(F197=0,0,IF(H197="",B197*G197/100,H197))</f>
        <v/>
      </c>
      <c r="AF197" s="6">
        <f>IF(I197=0,0,IF(K197="",B197*J197/100,K197))</f>
        <v/>
      </c>
      <c r="AG197" s="6">
        <f>IF(L197=0,0,IF(N197="",B197*M197/100,N197))</f>
        <v/>
      </c>
      <c r="AH197" s="6">
        <f>IF(O197=0,0,IF(Q197="",B197*P197/100,Q197))</f>
        <v/>
      </c>
      <c r="AI197" s="6">
        <f>IF(R197=0,0,IF(T197="",B197*S197/100,T197))</f>
        <v/>
      </c>
      <c r="AJ197" s="6">
        <f>B197*0.035</f>
        <v/>
      </c>
      <c r="AK197" s="6">
        <f>B197*0.065</f>
        <v/>
      </c>
      <c r="AL197" s="6">
        <f>SUM(B197,AD197,AE197,AF197,AG197,AH197,AI197,U197,V197,AJ197,AK197)</f>
        <v/>
      </c>
      <c r="AM197" s="6">
        <f>B197*0.055</f>
        <v/>
      </c>
      <c r="AN197" s="6">
        <f>B197*0.035</f>
        <v/>
      </c>
      <c r="AO197" s="6">
        <f>B197*0.165</f>
        <v/>
      </c>
      <c r="AP197" s="6">
        <f>MAX(0,AL197-AM197-AO197)</f>
        <v/>
      </c>
      <c r="AQ197" s="6">
        <f>IF(AP197&lt;=490,0,IF(AP197&lt;=600,(AP197-490)*0.05,IF(AP197&lt;=730,5.5+(AP197-600)*0.10,IF(AP197&lt;=3896.67,18.5+(AP197-730)*0.175,IF(AP197&lt;=19896.67,572.67+(AP197-3896.67)*0.25,IF(AP197&lt;=50416.67,4572.67+(AP197-19896.67)*0.30,13728.67+(AP197-50416.67)*0.35))))))</f>
        <v/>
      </c>
      <c r="AR197" s="6">
        <f>SUM(AM197,AQ197,W197,X197,Y197,Z197,AA197,AN197,AO197)</f>
        <v/>
      </c>
      <c r="AS197" s="6">
        <f>AL197-AR197</f>
        <v/>
      </c>
      <c r="AT197" s="6">
        <f>AB197-AC197</f>
        <v/>
      </c>
    </row>
    <row r="198">
      <c r="A198" s="2" t="n"/>
      <c r="B198" s="3" t="n"/>
      <c r="C198" s="4" t="n"/>
      <c r="D198" s="5" t="n"/>
      <c r="E198" s="3" t="n"/>
      <c r="F198" s="4" t="n"/>
      <c r="G198" s="5" t="n"/>
      <c r="H198" s="3" t="n"/>
      <c r="I198" s="4" t="n"/>
      <c r="J198" s="5" t="n"/>
      <c r="K198" s="3" t="n"/>
      <c r="L198" s="4" t="n"/>
      <c r="M198" s="5" t="n"/>
      <c r="N198" s="3" t="n"/>
      <c r="O198" s="4" t="n"/>
      <c r="P198" s="5" t="n"/>
      <c r="Q198" s="3" t="n"/>
      <c r="R198" s="4" t="n"/>
      <c r="S198" s="5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6">
        <f>IF(C198=0,0,IF(E198="",B198*D198/100,E198))</f>
        <v/>
      </c>
      <c r="AE198" s="6">
        <f>IF(F198=0,0,IF(H198="",B198*G198/100,H198))</f>
        <v/>
      </c>
      <c r="AF198" s="6">
        <f>IF(I198=0,0,IF(K198="",B198*J198/100,K198))</f>
        <v/>
      </c>
      <c r="AG198" s="6">
        <f>IF(L198=0,0,IF(N198="",B198*M198/100,N198))</f>
        <v/>
      </c>
      <c r="AH198" s="6">
        <f>IF(O198=0,0,IF(Q198="",B198*P198/100,Q198))</f>
        <v/>
      </c>
      <c r="AI198" s="6">
        <f>IF(R198=0,0,IF(T198="",B198*S198/100,T198))</f>
        <v/>
      </c>
      <c r="AJ198" s="6">
        <f>B198*0.035</f>
        <v/>
      </c>
      <c r="AK198" s="6">
        <f>B198*0.065</f>
        <v/>
      </c>
      <c r="AL198" s="6">
        <f>SUM(B198,AD198,AE198,AF198,AG198,AH198,AI198,U198,V198,AJ198,AK198)</f>
        <v/>
      </c>
      <c r="AM198" s="6">
        <f>B198*0.055</f>
        <v/>
      </c>
      <c r="AN198" s="6">
        <f>B198*0.035</f>
        <v/>
      </c>
      <c r="AO198" s="6">
        <f>B198*0.165</f>
        <v/>
      </c>
      <c r="AP198" s="6">
        <f>MAX(0,AL198-AM198-AO198)</f>
        <v/>
      </c>
      <c r="AQ198" s="6">
        <f>IF(AP198&lt;=490,0,IF(AP198&lt;=600,(AP198-490)*0.05,IF(AP198&lt;=730,5.5+(AP198-600)*0.10,IF(AP198&lt;=3896.67,18.5+(AP198-730)*0.175,IF(AP198&lt;=19896.67,572.67+(AP198-3896.67)*0.25,IF(AP198&lt;=50416.67,4572.67+(AP198-19896.67)*0.30,13728.67+(AP198-50416.67)*0.35))))))</f>
        <v/>
      </c>
      <c r="AR198" s="6">
        <f>SUM(AM198,AQ198,W198,X198,Y198,Z198,AA198,AN198,AO198)</f>
        <v/>
      </c>
      <c r="AS198" s="6">
        <f>AL198-AR198</f>
        <v/>
      </c>
      <c r="AT198" s="6">
        <f>AB198-AC198</f>
        <v/>
      </c>
    </row>
    <row r="199">
      <c r="A199" s="2" t="n"/>
      <c r="B199" s="3" t="n"/>
      <c r="C199" s="4" t="n"/>
      <c r="D199" s="5" t="n"/>
      <c r="E199" s="3" t="n"/>
      <c r="F199" s="4" t="n"/>
      <c r="G199" s="5" t="n"/>
      <c r="H199" s="3" t="n"/>
      <c r="I199" s="4" t="n"/>
      <c r="J199" s="5" t="n"/>
      <c r="K199" s="3" t="n"/>
      <c r="L199" s="4" t="n"/>
      <c r="M199" s="5" t="n"/>
      <c r="N199" s="3" t="n"/>
      <c r="O199" s="4" t="n"/>
      <c r="P199" s="5" t="n"/>
      <c r="Q199" s="3" t="n"/>
      <c r="R199" s="4" t="n"/>
      <c r="S199" s="5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6">
        <f>IF(C199=0,0,IF(E199="",B199*D199/100,E199))</f>
        <v/>
      </c>
      <c r="AE199" s="6">
        <f>IF(F199=0,0,IF(H199="",B199*G199/100,H199))</f>
        <v/>
      </c>
      <c r="AF199" s="6">
        <f>IF(I199=0,0,IF(K199="",B199*J199/100,K199))</f>
        <v/>
      </c>
      <c r="AG199" s="6">
        <f>IF(L199=0,0,IF(N199="",B199*M199/100,N199))</f>
        <v/>
      </c>
      <c r="AH199" s="6">
        <f>IF(O199=0,0,IF(Q199="",B199*P199/100,Q199))</f>
        <v/>
      </c>
      <c r="AI199" s="6">
        <f>IF(R199=0,0,IF(T199="",B199*S199/100,T199))</f>
        <v/>
      </c>
      <c r="AJ199" s="6">
        <f>B199*0.035</f>
        <v/>
      </c>
      <c r="AK199" s="6">
        <f>B199*0.065</f>
        <v/>
      </c>
      <c r="AL199" s="6">
        <f>SUM(B199,AD199,AE199,AF199,AG199,AH199,AI199,U199,V199,AJ199,AK199)</f>
        <v/>
      </c>
      <c r="AM199" s="6">
        <f>B199*0.055</f>
        <v/>
      </c>
      <c r="AN199" s="6">
        <f>B199*0.035</f>
        <v/>
      </c>
      <c r="AO199" s="6">
        <f>B199*0.165</f>
        <v/>
      </c>
      <c r="AP199" s="6">
        <f>MAX(0,AL199-AM199-AO199)</f>
        <v/>
      </c>
      <c r="AQ199" s="6">
        <f>IF(AP199&lt;=490,0,IF(AP199&lt;=600,(AP199-490)*0.05,IF(AP199&lt;=730,5.5+(AP199-600)*0.10,IF(AP199&lt;=3896.67,18.5+(AP199-730)*0.175,IF(AP199&lt;=19896.67,572.67+(AP199-3896.67)*0.25,IF(AP199&lt;=50416.67,4572.67+(AP199-19896.67)*0.30,13728.67+(AP199-50416.67)*0.35))))))</f>
        <v/>
      </c>
      <c r="AR199" s="6">
        <f>SUM(AM199,AQ199,W199,X199,Y199,Z199,AA199,AN199,AO199)</f>
        <v/>
      </c>
      <c r="AS199" s="6">
        <f>AL199-AR199</f>
        <v/>
      </c>
      <c r="AT199" s="6">
        <f>AB199-AC199</f>
        <v/>
      </c>
    </row>
    <row r="200">
      <c r="A200" s="2" t="n"/>
      <c r="B200" s="3" t="n"/>
      <c r="C200" s="4" t="n"/>
      <c r="D200" s="5" t="n"/>
      <c r="E200" s="3" t="n"/>
      <c r="F200" s="4" t="n"/>
      <c r="G200" s="5" t="n"/>
      <c r="H200" s="3" t="n"/>
      <c r="I200" s="4" t="n"/>
      <c r="J200" s="5" t="n"/>
      <c r="K200" s="3" t="n"/>
      <c r="L200" s="4" t="n"/>
      <c r="M200" s="5" t="n"/>
      <c r="N200" s="3" t="n"/>
      <c r="O200" s="4" t="n"/>
      <c r="P200" s="5" t="n"/>
      <c r="Q200" s="3" t="n"/>
      <c r="R200" s="4" t="n"/>
      <c r="S200" s="5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6">
        <f>IF(C200=0,0,IF(E200="",B200*D200/100,E200))</f>
        <v/>
      </c>
      <c r="AE200" s="6">
        <f>IF(F200=0,0,IF(H200="",B200*G200/100,H200))</f>
        <v/>
      </c>
      <c r="AF200" s="6">
        <f>IF(I200=0,0,IF(K200="",B200*J200/100,K200))</f>
        <v/>
      </c>
      <c r="AG200" s="6">
        <f>IF(L200=0,0,IF(N200="",B200*M200/100,N200))</f>
        <v/>
      </c>
      <c r="AH200" s="6">
        <f>IF(O200=0,0,IF(Q200="",B200*P200/100,Q200))</f>
        <v/>
      </c>
      <c r="AI200" s="6">
        <f>IF(R200=0,0,IF(T200="",B200*S200/100,T200))</f>
        <v/>
      </c>
      <c r="AJ200" s="6">
        <f>B200*0.035</f>
        <v/>
      </c>
      <c r="AK200" s="6">
        <f>B200*0.065</f>
        <v/>
      </c>
      <c r="AL200" s="6">
        <f>SUM(B200,AD200,AE200,AF200,AG200,AH200,AI200,U200,V200,AJ200,AK200)</f>
        <v/>
      </c>
      <c r="AM200" s="6">
        <f>B200*0.055</f>
        <v/>
      </c>
      <c r="AN200" s="6">
        <f>B200*0.035</f>
        <v/>
      </c>
      <c r="AO200" s="6">
        <f>B200*0.165</f>
        <v/>
      </c>
      <c r="AP200" s="6">
        <f>MAX(0,AL200-AM200-AO200)</f>
        <v/>
      </c>
      <c r="AQ200" s="6">
        <f>IF(AP200&lt;=490,0,IF(AP200&lt;=600,(AP200-490)*0.05,IF(AP200&lt;=730,5.5+(AP200-600)*0.10,IF(AP200&lt;=3896.67,18.5+(AP200-730)*0.175,IF(AP200&lt;=19896.67,572.67+(AP200-3896.67)*0.25,IF(AP200&lt;=50416.67,4572.67+(AP200-19896.67)*0.30,13728.67+(AP200-50416.67)*0.35))))))</f>
        <v/>
      </c>
      <c r="AR200" s="6">
        <f>SUM(AM200,AQ200,W200,X200,Y200,Z200,AA200,AN200,AO200)</f>
        <v/>
      </c>
      <c r="AS200" s="6">
        <f>AL200-AR200</f>
        <v/>
      </c>
      <c r="AT200" s="6">
        <f>AB200-AC200</f>
        <v/>
      </c>
    </row>
    <row r="201">
      <c r="A201" s="2" t="n"/>
      <c r="B201" s="3" t="n"/>
      <c r="C201" s="4" t="n"/>
      <c r="D201" s="5" t="n"/>
      <c r="E201" s="3" t="n"/>
      <c r="F201" s="4" t="n"/>
      <c r="G201" s="5" t="n"/>
      <c r="H201" s="3" t="n"/>
      <c r="I201" s="4" t="n"/>
      <c r="J201" s="5" t="n"/>
      <c r="K201" s="3" t="n"/>
      <c r="L201" s="4" t="n"/>
      <c r="M201" s="5" t="n"/>
      <c r="N201" s="3" t="n"/>
      <c r="O201" s="4" t="n"/>
      <c r="P201" s="5" t="n"/>
      <c r="Q201" s="3" t="n"/>
      <c r="R201" s="4" t="n"/>
      <c r="S201" s="5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6">
        <f>IF(C201=0,0,IF(E201="",B201*D201/100,E201))</f>
        <v/>
      </c>
      <c r="AE201" s="6">
        <f>IF(F201=0,0,IF(H201="",B201*G201/100,H201))</f>
        <v/>
      </c>
      <c r="AF201" s="6">
        <f>IF(I201=0,0,IF(K201="",B201*J201/100,K201))</f>
        <v/>
      </c>
      <c r="AG201" s="6">
        <f>IF(L201=0,0,IF(N201="",B201*M201/100,N201))</f>
        <v/>
      </c>
      <c r="AH201" s="6">
        <f>IF(O201=0,0,IF(Q201="",B201*P201/100,Q201))</f>
        <v/>
      </c>
      <c r="AI201" s="6">
        <f>IF(R201=0,0,IF(T201="",B201*S201/100,T201))</f>
        <v/>
      </c>
      <c r="AJ201" s="6">
        <f>B201*0.035</f>
        <v/>
      </c>
      <c r="AK201" s="6">
        <f>B201*0.065</f>
        <v/>
      </c>
      <c r="AL201" s="6">
        <f>SUM(B201,AD201,AE201,AF201,AG201,AH201,AI201,U201,V201,AJ201,AK201)</f>
        <v/>
      </c>
      <c r="AM201" s="6">
        <f>B201*0.055</f>
        <v/>
      </c>
      <c r="AN201" s="6">
        <f>B201*0.035</f>
        <v/>
      </c>
      <c r="AO201" s="6">
        <f>B201*0.165</f>
        <v/>
      </c>
      <c r="AP201" s="6">
        <f>MAX(0,AL201-AM201-AO201)</f>
        <v/>
      </c>
      <c r="AQ201" s="6">
        <f>IF(AP201&lt;=490,0,IF(AP201&lt;=600,(AP201-490)*0.05,IF(AP201&lt;=730,5.5+(AP201-600)*0.10,IF(AP201&lt;=3896.67,18.5+(AP201-730)*0.175,IF(AP201&lt;=19896.67,572.67+(AP201-3896.67)*0.25,IF(AP201&lt;=50416.67,4572.67+(AP201-19896.67)*0.30,13728.67+(AP201-50416.67)*0.35))))))</f>
        <v/>
      </c>
      <c r="AR201" s="6">
        <f>SUM(AM201,AQ201,W201,X201,Y201,Z201,AA201,AN201,AO201)</f>
        <v/>
      </c>
      <c r="AS201" s="6">
        <f>AL201-AR201</f>
        <v/>
      </c>
      <c r="AT201" s="6">
        <f>AB201-AC201</f>
        <v/>
      </c>
    </row>
    <row r="202">
      <c r="A202" s="2" t="n"/>
      <c r="B202" s="3" t="n"/>
      <c r="C202" s="4" t="n"/>
      <c r="D202" s="5" t="n"/>
      <c r="E202" s="3" t="n"/>
      <c r="F202" s="4" t="n"/>
      <c r="G202" s="5" t="n"/>
      <c r="H202" s="3" t="n"/>
      <c r="I202" s="4" t="n"/>
      <c r="J202" s="5" t="n"/>
      <c r="K202" s="3" t="n"/>
      <c r="L202" s="4" t="n"/>
      <c r="M202" s="5" t="n"/>
      <c r="N202" s="3" t="n"/>
      <c r="O202" s="4" t="n"/>
      <c r="P202" s="5" t="n"/>
      <c r="Q202" s="3" t="n"/>
      <c r="R202" s="4" t="n"/>
      <c r="S202" s="5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6">
        <f>IF(C202=0,0,IF(E202="",B202*D202/100,E202))</f>
        <v/>
      </c>
      <c r="AE202" s="6">
        <f>IF(F202=0,0,IF(H202="",B202*G202/100,H202))</f>
        <v/>
      </c>
      <c r="AF202" s="6">
        <f>IF(I202=0,0,IF(K202="",B202*J202/100,K202))</f>
        <v/>
      </c>
      <c r="AG202" s="6">
        <f>IF(L202=0,0,IF(N202="",B202*M202/100,N202))</f>
        <v/>
      </c>
      <c r="AH202" s="6">
        <f>IF(O202=0,0,IF(Q202="",B202*P202/100,Q202))</f>
        <v/>
      </c>
      <c r="AI202" s="6">
        <f>IF(R202=0,0,IF(T202="",B202*S202/100,T202))</f>
        <v/>
      </c>
      <c r="AJ202" s="6">
        <f>B202*0.035</f>
        <v/>
      </c>
      <c r="AK202" s="6">
        <f>B202*0.065</f>
        <v/>
      </c>
      <c r="AL202" s="6">
        <f>SUM(B202,AD202,AE202,AF202,AG202,AH202,AI202,U202,V202,AJ202,AK202)</f>
        <v/>
      </c>
      <c r="AM202" s="6">
        <f>B202*0.055</f>
        <v/>
      </c>
      <c r="AN202" s="6">
        <f>B202*0.035</f>
        <v/>
      </c>
      <c r="AO202" s="6">
        <f>B202*0.165</f>
        <v/>
      </c>
      <c r="AP202" s="6">
        <f>MAX(0,AL202-AM202-AO202)</f>
        <v/>
      </c>
      <c r="AQ202" s="6">
        <f>IF(AP202&lt;=490,0,IF(AP202&lt;=600,(AP202-490)*0.05,IF(AP202&lt;=730,5.5+(AP202-600)*0.10,IF(AP202&lt;=3896.67,18.5+(AP202-730)*0.175,IF(AP202&lt;=19896.67,572.67+(AP202-3896.67)*0.25,IF(AP202&lt;=50416.67,4572.67+(AP202-19896.67)*0.30,13728.67+(AP202-50416.67)*0.35))))))</f>
        <v/>
      </c>
      <c r="AR202" s="6">
        <f>SUM(AM202,AQ202,W202,X202,Y202,Z202,AA202,AN202,AO202)</f>
        <v/>
      </c>
      <c r="AS202" s="6">
        <f>AL202-AR202</f>
        <v/>
      </c>
      <c r="AT202" s="6">
        <f>AB202-AC202</f>
        <v/>
      </c>
    </row>
    <row r="203">
      <c r="A203" s="2" t="n"/>
      <c r="B203" s="3" t="n"/>
      <c r="C203" s="4" t="n"/>
      <c r="D203" s="5" t="n"/>
      <c r="E203" s="3" t="n"/>
      <c r="F203" s="4" t="n"/>
      <c r="G203" s="5" t="n"/>
      <c r="H203" s="3" t="n"/>
      <c r="I203" s="4" t="n"/>
      <c r="J203" s="5" t="n"/>
      <c r="K203" s="3" t="n"/>
      <c r="L203" s="4" t="n"/>
      <c r="M203" s="5" t="n"/>
      <c r="N203" s="3" t="n"/>
      <c r="O203" s="4" t="n"/>
      <c r="P203" s="5" t="n"/>
      <c r="Q203" s="3" t="n"/>
      <c r="R203" s="4" t="n"/>
      <c r="S203" s="5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6">
        <f>IF(C203=0,0,IF(E203="",B203*D203/100,E203))</f>
        <v/>
      </c>
      <c r="AE203" s="6">
        <f>IF(F203=0,0,IF(H203="",B203*G203/100,H203))</f>
        <v/>
      </c>
      <c r="AF203" s="6">
        <f>IF(I203=0,0,IF(K203="",B203*J203/100,K203))</f>
        <v/>
      </c>
      <c r="AG203" s="6">
        <f>IF(L203=0,0,IF(N203="",B203*M203/100,N203))</f>
        <v/>
      </c>
      <c r="AH203" s="6">
        <f>IF(O203=0,0,IF(Q203="",B203*P203/100,Q203))</f>
        <v/>
      </c>
      <c r="AI203" s="6">
        <f>IF(R203=0,0,IF(T203="",B203*S203/100,T203))</f>
        <v/>
      </c>
      <c r="AJ203" s="6">
        <f>B203*0.035</f>
        <v/>
      </c>
      <c r="AK203" s="6">
        <f>B203*0.065</f>
        <v/>
      </c>
      <c r="AL203" s="6">
        <f>SUM(B203,AD203,AE203,AF203,AG203,AH203,AI203,U203,V203,AJ203,AK203)</f>
        <v/>
      </c>
      <c r="AM203" s="6">
        <f>B203*0.055</f>
        <v/>
      </c>
      <c r="AN203" s="6">
        <f>B203*0.035</f>
        <v/>
      </c>
      <c r="AO203" s="6">
        <f>B203*0.165</f>
        <v/>
      </c>
      <c r="AP203" s="6">
        <f>MAX(0,AL203-AM203-AO203)</f>
        <v/>
      </c>
      <c r="AQ203" s="6">
        <f>IF(AP203&lt;=490,0,IF(AP203&lt;=600,(AP203-490)*0.05,IF(AP203&lt;=730,5.5+(AP203-600)*0.10,IF(AP203&lt;=3896.67,18.5+(AP203-730)*0.175,IF(AP203&lt;=19896.67,572.67+(AP203-3896.67)*0.25,IF(AP203&lt;=50416.67,4572.67+(AP203-19896.67)*0.30,13728.67+(AP203-50416.67)*0.35))))))</f>
        <v/>
      </c>
      <c r="AR203" s="6">
        <f>SUM(AM203,AQ203,W203,X203,Y203,Z203,AA203,AN203,AO203)</f>
        <v/>
      </c>
      <c r="AS203" s="6">
        <f>AL203-AR203</f>
        <v/>
      </c>
      <c r="AT203" s="6">
        <f>AB203-AC203</f>
        <v/>
      </c>
    </row>
    <row r="204">
      <c r="A204" s="2" t="n"/>
      <c r="B204" s="3" t="n"/>
      <c r="C204" s="4" t="n"/>
      <c r="D204" s="5" t="n"/>
      <c r="E204" s="3" t="n"/>
      <c r="F204" s="4" t="n"/>
      <c r="G204" s="5" t="n"/>
      <c r="H204" s="3" t="n"/>
      <c r="I204" s="4" t="n"/>
      <c r="J204" s="5" t="n"/>
      <c r="K204" s="3" t="n"/>
      <c r="L204" s="4" t="n"/>
      <c r="M204" s="5" t="n"/>
      <c r="N204" s="3" t="n"/>
      <c r="O204" s="4" t="n"/>
      <c r="P204" s="5" t="n"/>
      <c r="Q204" s="3" t="n"/>
      <c r="R204" s="4" t="n"/>
      <c r="S204" s="5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6">
        <f>IF(C204=0,0,IF(E204="",B204*D204/100,E204))</f>
        <v/>
      </c>
      <c r="AE204" s="6">
        <f>IF(F204=0,0,IF(H204="",B204*G204/100,H204))</f>
        <v/>
      </c>
      <c r="AF204" s="6">
        <f>IF(I204=0,0,IF(K204="",B204*J204/100,K204))</f>
        <v/>
      </c>
      <c r="AG204" s="6">
        <f>IF(L204=0,0,IF(N204="",B204*M204/100,N204))</f>
        <v/>
      </c>
      <c r="AH204" s="6">
        <f>IF(O204=0,0,IF(Q204="",B204*P204/100,Q204))</f>
        <v/>
      </c>
      <c r="AI204" s="6">
        <f>IF(R204=0,0,IF(T204="",B204*S204/100,T204))</f>
        <v/>
      </c>
      <c r="AJ204" s="6">
        <f>B204*0.035</f>
        <v/>
      </c>
      <c r="AK204" s="6">
        <f>B204*0.065</f>
        <v/>
      </c>
      <c r="AL204" s="6">
        <f>SUM(B204,AD204,AE204,AF204,AG204,AH204,AI204,U204,V204,AJ204,AK204)</f>
        <v/>
      </c>
      <c r="AM204" s="6">
        <f>B204*0.055</f>
        <v/>
      </c>
      <c r="AN204" s="6">
        <f>B204*0.035</f>
        <v/>
      </c>
      <c r="AO204" s="6">
        <f>B204*0.165</f>
        <v/>
      </c>
      <c r="AP204" s="6">
        <f>MAX(0,AL204-AM204-AO204)</f>
        <v/>
      </c>
      <c r="AQ204" s="6">
        <f>IF(AP204&lt;=490,0,IF(AP204&lt;=600,(AP204-490)*0.05,IF(AP204&lt;=730,5.5+(AP204-600)*0.10,IF(AP204&lt;=3896.67,18.5+(AP204-730)*0.175,IF(AP204&lt;=19896.67,572.67+(AP204-3896.67)*0.25,IF(AP204&lt;=50416.67,4572.67+(AP204-19896.67)*0.30,13728.67+(AP204-50416.67)*0.35))))))</f>
        <v/>
      </c>
      <c r="AR204" s="6">
        <f>SUM(AM204,AQ204,W204,X204,Y204,Z204,AA204,AN204,AO204)</f>
        <v/>
      </c>
      <c r="AS204" s="6">
        <f>AL204-AR204</f>
        <v/>
      </c>
      <c r="AT204" s="6">
        <f>AB204-AC204</f>
        <v/>
      </c>
    </row>
    <row r="205">
      <c r="A205" s="2" t="n"/>
      <c r="B205" s="3" t="n"/>
      <c r="C205" s="4" t="n"/>
      <c r="D205" s="5" t="n"/>
      <c r="E205" s="3" t="n"/>
      <c r="F205" s="4" t="n"/>
      <c r="G205" s="5" t="n"/>
      <c r="H205" s="3" t="n"/>
      <c r="I205" s="4" t="n"/>
      <c r="J205" s="5" t="n"/>
      <c r="K205" s="3" t="n"/>
      <c r="L205" s="4" t="n"/>
      <c r="M205" s="5" t="n"/>
      <c r="N205" s="3" t="n"/>
      <c r="O205" s="4" t="n"/>
      <c r="P205" s="5" t="n"/>
      <c r="Q205" s="3" t="n"/>
      <c r="R205" s="4" t="n"/>
      <c r="S205" s="5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6">
        <f>IF(C205=0,0,IF(E205="",B205*D205/100,E205))</f>
        <v/>
      </c>
      <c r="AE205" s="6">
        <f>IF(F205=0,0,IF(H205="",B205*G205/100,H205))</f>
        <v/>
      </c>
      <c r="AF205" s="6">
        <f>IF(I205=0,0,IF(K205="",B205*J205/100,K205))</f>
        <v/>
      </c>
      <c r="AG205" s="6">
        <f>IF(L205=0,0,IF(N205="",B205*M205/100,N205))</f>
        <v/>
      </c>
      <c r="AH205" s="6">
        <f>IF(O205=0,0,IF(Q205="",B205*P205/100,Q205))</f>
        <v/>
      </c>
      <c r="AI205" s="6">
        <f>IF(R205=0,0,IF(T205="",B205*S205/100,T205))</f>
        <v/>
      </c>
      <c r="AJ205" s="6">
        <f>B205*0.035</f>
        <v/>
      </c>
      <c r="AK205" s="6">
        <f>B205*0.065</f>
        <v/>
      </c>
      <c r="AL205" s="6">
        <f>SUM(B205,AD205,AE205,AF205,AG205,AH205,AI205,U205,V205,AJ205,AK205)</f>
        <v/>
      </c>
      <c r="AM205" s="6">
        <f>B205*0.055</f>
        <v/>
      </c>
      <c r="AN205" s="6">
        <f>B205*0.035</f>
        <v/>
      </c>
      <c r="AO205" s="6">
        <f>B205*0.165</f>
        <v/>
      </c>
      <c r="AP205" s="6">
        <f>MAX(0,AL205-AM205-AO205)</f>
        <v/>
      </c>
      <c r="AQ205" s="6">
        <f>IF(AP205&lt;=490,0,IF(AP205&lt;=600,(AP205-490)*0.05,IF(AP205&lt;=730,5.5+(AP205-600)*0.10,IF(AP205&lt;=3896.67,18.5+(AP205-730)*0.175,IF(AP205&lt;=19896.67,572.67+(AP205-3896.67)*0.25,IF(AP205&lt;=50416.67,4572.67+(AP205-19896.67)*0.30,13728.67+(AP205-50416.67)*0.35))))))</f>
        <v/>
      </c>
      <c r="AR205" s="6">
        <f>SUM(AM205,AQ205,W205,X205,Y205,Z205,AA205,AN205,AO205)</f>
        <v/>
      </c>
      <c r="AS205" s="6">
        <f>AL205-AR205</f>
        <v/>
      </c>
      <c r="AT205" s="6">
        <f>AB205-AC205</f>
        <v/>
      </c>
    </row>
    <row r="206">
      <c r="A206" s="2" t="n"/>
      <c r="B206" s="3" t="n"/>
      <c r="C206" s="4" t="n"/>
      <c r="D206" s="5" t="n"/>
      <c r="E206" s="3" t="n"/>
      <c r="F206" s="4" t="n"/>
      <c r="G206" s="5" t="n"/>
      <c r="H206" s="3" t="n"/>
      <c r="I206" s="4" t="n"/>
      <c r="J206" s="5" t="n"/>
      <c r="K206" s="3" t="n"/>
      <c r="L206" s="4" t="n"/>
      <c r="M206" s="5" t="n"/>
      <c r="N206" s="3" t="n"/>
      <c r="O206" s="4" t="n"/>
      <c r="P206" s="5" t="n"/>
      <c r="Q206" s="3" t="n"/>
      <c r="R206" s="4" t="n"/>
      <c r="S206" s="5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6">
        <f>IF(C206=0,0,IF(E206="",B206*D206/100,E206))</f>
        <v/>
      </c>
      <c r="AE206" s="6">
        <f>IF(F206=0,0,IF(H206="",B206*G206/100,H206))</f>
        <v/>
      </c>
      <c r="AF206" s="6">
        <f>IF(I206=0,0,IF(K206="",B206*J206/100,K206))</f>
        <v/>
      </c>
      <c r="AG206" s="6">
        <f>IF(L206=0,0,IF(N206="",B206*M206/100,N206))</f>
        <v/>
      </c>
      <c r="AH206" s="6">
        <f>IF(O206=0,0,IF(Q206="",B206*P206/100,Q206))</f>
        <v/>
      </c>
      <c r="AI206" s="6">
        <f>IF(R206=0,0,IF(T206="",B206*S206/100,T206))</f>
        <v/>
      </c>
      <c r="AJ206" s="6">
        <f>B206*0.035</f>
        <v/>
      </c>
      <c r="AK206" s="6">
        <f>B206*0.065</f>
        <v/>
      </c>
      <c r="AL206" s="6">
        <f>SUM(B206,AD206,AE206,AF206,AG206,AH206,AI206,U206,V206,AJ206,AK206)</f>
        <v/>
      </c>
      <c r="AM206" s="6">
        <f>B206*0.055</f>
        <v/>
      </c>
      <c r="AN206" s="6">
        <f>B206*0.035</f>
        <v/>
      </c>
      <c r="AO206" s="6">
        <f>B206*0.165</f>
        <v/>
      </c>
      <c r="AP206" s="6">
        <f>MAX(0,AL206-AM206-AO206)</f>
        <v/>
      </c>
      <c r="AQ206" s="6">
        <f>IF(AP206&lt;=490,0,IF(AP206&lt;=600,(AP206-490)*0.05,IF(AP206&lt;=730,5.5+(AP206-600)*0.10,IF(AP206&lt;=3896.67,18.5+(AP206-730)*0.175,IF(AP206&lt;=19896.67,572.67+(AP206-3896.67)*0.25,IF(AP206&lt;=50416.67,4572.67+(AP206-19896.67)*0.30,13728.67+(AP206-50416.67)*0.35))))))</f>
        <v/>
      </c>
      <c r="AR206" s="6">
        <f>SUM(AM206,AQ206,W206,X206,Y206,Z206,AA206,AN206,AO206)</f>
        <v/>
      </c>
      <c r="AS206" s="6">
        <f>AL206-AR206</f>
        <v/>
      </c>
      <c r="AT206" s="6">
        <f>AB206-AC206</f>
        <v/>
      </c>
    </row>
    <row r="207">
      <c r="A207" s="2" t="n"/>
      <c r="B207" s="3" t="n"/>
      <c r="C207" s="4" t="n"/>
      <c r="D207" s="5" t="n"/>
      <c r="E207" s="3" t="n"/>
      <c r="F207" s="4" t="n"/>
      <c r="G207" s="5" t="n"/>
      <c r="H207" s="3" t="n"/>
      <c r="I207" s="4" t="n"/>
      <c r="J207" s="5" t="n"/>
      <c r="K207" s="3" t="n"/>
      <c r="L207" s="4" t="n"/>
      <c r="M207" s="5" t="n"/>
      <c r="N207" s="3" t="n"/>
      <c r="O207" s="4" t="n"/>
      <c r="P207" s="5" t="n"/>
      <c r="Q207" s="3" t="n"/>
      <c r="R207" s="4" t="n"/>
      <c r="S207" s="5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6">
        <f>IF(C207=0,0,IF(E207="",B207*D207/100,E207))</f>
        <v/>
      </c>
      <c r="AE207" s="6">
        <f>IF(F207=0,0,IF(H207="",B207*G207/100,H207))</f>
        <v/>
      </c>
      <c r="AF207" s="6">
        <f>IF(I207=0,0,IF(K207="",B207*J207/100,K207))</f>
        <v/>
      </c>
      <c r="AG207" s="6">
        <f>IF(L207=0,0,IF(N207="",B207*M207/100,N207))</f>
        <v/>
      </c>
      <c r="AH207" s="6">
        <f>IF(O207=0,0,IF(Q207="",B207*P207/100,Q207))</f>
        <v/>
      </c>
      <c r="AI207" s="6">
        <f>IF(R207=0,0,IF(T207="",B207*S207/100,T207))</f>
        <v/>
      </c>
      <c r="AJ207" s="6">
        <f>B207*0.035</f>
        <v/>
      </c>
      <c r="AK207" s="6">
        <f>B207*0.065</f>
        <v/>
      </c>
      <c r="AL207" s="6">
        <f>SUM(B207,AD207,AE207,AF207,AG207,AH207,AI207,U207,V207,AJ207,AK207)</f>
        <v/>
      </c>
      <c r="AM207" s="6">
        <f>B207*0.055</f>
        <v/>
      </c>
      <c r="AN207" s="6">
        <f>B207*0.035</f>
        <v/>
      </c>
      <c r="AO207" s="6">
        <f>B207*0.165</f>
        <v/>
      </c>
      <c r="AP207" s="6">
        <f>MAX(0,AL207-AM207-AO207)</f>
        <v/>
      </c>
      <c r="AQ207" s="6">
        <f>IF(AP207&lt;=490,0,IF(AP207&lt;=600,(AP207-490)*0.05,IF(AP207&lt;=730,5.5+(AP207-600)*0.10,IF(AP207&lt;=3896.67,18.5+(AP207-730)*0.175,IF(AP207&lt;=19896.67,572.67+(AP207-3896.67)*0.25,IF(AP207&lt;=50416.67,4572.67+(AP207-19896.67)*0.30,13728.67+(AP207-50416.67)*0.35))))))</f>
        <v/>
      </c>
      <c r="AR207" s="6">
        <f>SUM(AM207,AQ207,W207,X207,Y207,Z207,AA207,AN207,AO207)</f>
        <v/>
      </c>
      <c r="AS207" s="6">
        <f>AL207-AR207</f>
        <v/>
      </c>
      <c r="AT207" s="6">
        <f>AB207-AC207</f>
        <v/>
      </c>
    </row>
    <row r="208">
      <c r="A208" s="2" t="n"/>
      <c r="B208" s="3" t="n"/>
      <c r="C208" s="4" t="n"/>
      <c r="D208" s="5" t="n"/>
      <c r="E208" s="3" t="n"/>
      <c r="F208" s="4" t="n"/>
      <c r="G208" s="5" t="n"/>
      <c r="H208" s="3" t="n"/>
      <c r="I208" s="4" t="n"/>
      <c r="J208" s="5" t="n"/>
      <c r="K208" s="3" t="n"/>
      <c r="L208" s="4" t="n"/>
      <c r="M208" s="5" t="n"/>
      <c r="N208" s="3" t="n"/>
      <c r="O208" s="4" t="n"/>
      <c r="P208" s="5" t="n"/>
      <c r="Q208" s="3" t="n"/>
      <c r="R208" s="4" t="n"/>
      <c r="S208" s="5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6">
        <f>IF(C208=0,0,IF(E208="",B208*D208/100,E208))</f>
        <v/>
      </c>
      <c r="AE208" s="6">
        <f>IF(F208=0,0,IF(H208="",B208*G208/100,H208))</f>
        <v/>
      </c>
      <c r="AF208" s="6">
        <f>IF(I208=0,0,IF(K208="",B208*J208/100,K208))</f>
        <v/>
      </c>
      <c r="AG208" s="6">
        <f>IF(L208=0,0,IF(N208="",B208*M208/100,N208))</f>
        <v/>
      </c>
      <c r="AH208" s="6">
        <f>IF(O208=0,0,IF(Q208="",B208*P208/100,Q208))</f>
        <v/>
      </c>
      <c r="AI208" s="6">
        <f>IF(R208=0,0,IF(T208="",B208*S208/100,T208))</f>
        <v/>
      </c>
      <c r="AJ208" s="6">
        <f>B208*0.035</f>
        <v/>
      </c>
      <c r="AK208" s="6">
        <f>B208*0.065</f>
        <v/>
      </c>
      <c r="AL208" s="6">
        <f>SUM(B208,AD208,AE208,AF208,AG208,AH208,AI208,U208,V208,AJ208,AK208)</f>
        <v/>
      </c>
      <c r="AM208" s="6">
        <f>B208*0.055</f>
        <v/>
      </c>
      <c r="AN208" s="6">
        <f>B208*0.035</f>
        <v/>
      </c>
      <c r="AO208" s="6">
        <f>B208*0.165</f>
        <v/>
      </c>
      <c r="AP208" s="6">
        <f>MAX(0,AL208-AM208-AO208)</f>
        <v/>
      </c>
      <c r="AQ208" s="6">
        <f>IF(AP208&lt;=490,0,IF(AP208&lt;=600,(AP208-490)*0.05,IF(AP208&lt;=730,5.5+(AP208-600)*0.10,IF(AP208&lt;=3896.67,18.5+(AP208-730)*0.175,IF(AP208&lt;=19896.67,572.67+(AP208-3896.67)*0.25,IF(AP208&lt;=50416.67,4572.67+(AP208-19896.67)*0.30,13728.67+(AP208-50416.67)*0.35))))))</f>
        <v/>
      </c>
      <c r="AR208" s="6">
        <f>SUM(AM208,AQ208,W208,X208,Y208,Z208,AA208,AN208,AO208)</f>
        <v/>
      </c>
      <c r="AS208" s="6">
        <f>AL208-AR208</f>
        <v/>
      </c>
      <c r="AT208" s="6">
        <f>AB208-AC208</f>
        <v/>
      </c>
    </row>
    <row r="209">
      <c r="A209" s="2" t="n"/>
      <c r="B209" s="3" t="n"/>
      <c r="C209" s="4" t="n"/>
      <c r="D209" s="5" t="n"/>
      <c r="E209" s="3" t="n"/>
      <c r="F209" s="4" t="n"/>
      <c r="G209" s="5" t="n"/>
      <c r="H209" s="3" t="n"/>
      <c r="I209" s="4" t="n"/>
      <c r="J209" s="5" t="n"/>
      <c r="K209" s="3" t="n"/>
      <c r="L209" s="4" t="n"/>
      <c r="M209" s="5" t="n"/>
      <c r="N209" s="3" t="n"/>
      <c r="O209" s="4" t="n"/>
      <c r="P209" s="5" t="n"/>
      <c r="Q209" s="3" t="n"/>
      <c r="R209" s="4" t="n"/>
      <c r="S209" s="5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6">
        <f>IF(C209=0,0,IF(E209="",B209*D209/100,E209))</f>
        <v/>
      </c>
      <c r="AE209" s="6">
        <f>IF(F209=0,0,IF(H209="",B209*G209/100,H209))</f>
        <v/>
      </c>
      <c r="AF209" s="6">
        <f>IF(I209=0,0,IF(K209="",B209*J209/100,K209))</f>
        <v/>
      </c>
      <c r="AG209" s="6">
        <f>IF(L209=0,0,IF(N209="",B209*M209/100,N209))</f>
        <v/>
      </c>
      <c r="AH209" s="6">
        <f>IF(O209=0,0,IF(Q209="",B209*P209/100,Q209))</f>
        <v/>
      </c>
      <c r="AI209" s="6">
        <f>IF(R209=0,0,IF(T209="",B209*S209/100,T209))</f>
        <v/>
      </c>
      <c r="AJ209" s="6">
        <f>B209*0.035</f>
        <v/>
      </c>
      <c r="AK209" s="6">
        <f>B209*0.065</f>
        <v/>
      </c>
      <c r="AL209" s="6">
        <f>SUM(B209,AD209,AE209,AF209,AG209,AH209,AI209,U209,V209,AJ209,AK209)</f>
        <v/>
      </c>
      <c r="AM209" s="6">
        <f>B209*0.055</f>
        <v/>
      </c>
      <c r="AN209" s="6">
        <f>B209*0.035</f>
        <v/>
      </c>
      <c r="AO209" s="6">
        <f>B209*0.165</f>
        <v/>
      </c>
      <c r="AP209" s="6">
        <f>MAX(0,AL209-AM209-AO209)</f>
        <v/>
      </c>
      <c r="AQ209" s="6">
        <f>IF(AP209&lt;=490,0,IF(AP209&lt;=600,(AP209-490)*0.05,IF(AP209&lt;=730,5.5+(AP209-600)*0.10,IF(AP209&lt;=3896.67,18.5+(AP209-730)*0.175,IF(AP209&lt;=19896.67,572.67+(AP209-3896.67)*0.25,IF(AP209&lt;=50416.67,4572.67+(AP209-19896.67)*0.30,13728.67+(AP209-50416.67)*0.35))))))</f>
        <v/>
      </c>
      <c r="AR209" s="6">
        <f>SUM(AM209,AQ209,W209,X209,Y209,Z209,AA209,AN209,AO209)</f>
        <v/>
      </c>
      <c r="AS209" s="6">
        <f>AL209-AR209</f>
        <v/>
      </c>
      <c r="AT209" s="6">
        <f>AB209-AC209</f>
        <v/>
      </c>
    </row>
    <row r="210">
      <c r="A210" s="2" t="n"/>
      <c r="B210" s="3" t="n"/>
      <c r="C210" s="4" t="n"/>
      <c r="D210" s="5" t="n"/>
      <c r="E210" s="3" t="n"/>
      <c r="F210" s="4" t="n"/>
      <c r="G210" s="5" t="n"/>
      <c r="H210" s="3" t="n"/>
      <c r="I210" s="4" t="n"/>
      <c r="J210" s="5" t="n"/>
      <c r="K210" s="3" t="n"/>
      <c r="L210" s="4" t="n"/>
      <c r="M210" s="5" t="n"/>
      <c r="N210" s="3" t="n"/>
      <c r="O210" s="4" t="n"/>
      <c r="P210" s="5" t="n"/>
      <c r="Q210" s="3" t="n"/>
      <c r="R210" s="4" t="n"/>
      <c r="S210" s="5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6">
        <f>IF(C210=0,0,IF(E210="",B210*D210/100,E210))</f>
        <v/>
      </c>
      <c r="AE210" s="6">
        <f>IF(F210=0,0,IF(H210="",B210*G210/100,H210))</f>
        <v/>
      </c>
      <c r="AF210" s="6">
        <f>IF(I210=0,0,IF(K210="",B210*J210/100,K210))</f>
        <v/>
      </c>
      <c r="AG210" s="6">
        <f>IF(L210=0,0,IF(N210="",B210*M210/100,N210))</f>
        <v/>
      </c>
      <c r="AH210" s="6">
        <f>IF(O210=0,0,IF(Q210="",B210*P210/100,Q210))</f>
        <v/>
      </c>
      <c r="AI210" s="6">
        <f>IF(R210=0,0,IF(T210="",B210*S210/100,T210))</f>
        <v/>
      </c>
      <c r="AJ210" s="6">
        <f>B210*0.035</f>
        <v/>
      </c>
      <c r="AK210" s="6">
        <f>B210*0.065</f>
        <v/>
      </c>
      <c r="AL210" s="6">
        <f>SUM(B210,AD210,AE210,AF210,AG210,AH210,AI210,U210,V210,AJ210,AK210)</f>
        <v/>
      </c>
      <c r="AM210" s="6">
        <f>B210*0.055</f>
        <v/>
      </c>
      <c r="AN210" s="6">
        <f>B210*0.035</f>
        <v/>
      </c>
      <c r="AO210" s="6">
        <f>B210*0.165</f>
        <v/>
      </c>
      <c r="AP210" s="6">
        <f>MAX(0,AL210-AM210-AO210)</f>
        <v/>
      </c>
      <c r="AQ210" s="6">
        <f>IF(AP210&lt;=490,0,IF(AP210&lt;=600,(AP210-490)*0.05,IF(AP210&lt;=730,5.5+(AP210-600)*0.10,IF(AP210&lt;=3896.67,18.5+(AP210-730)*0.175,IF(AP210&lt;=19896.67,572.67+(AP210-3896.67)*0.25,IF(AP210&lt;=50416.67,4572.67+(AP210-19896.67)*0.30,13728.67+(AP210-50416.67)*0.35))))))</f>
        <v/>
      </c>
      <c r="AR210" s="6">
        <f>SUM(AM210,AQ210,W210,X210,Y210,Z210,AA210,AN210,AO210)</f>
        <v/>
      </c>
      <c r="AS210" s="6">
        <f>AL210-AR210</f>
        <v/>
      </c>
      <c r="AT210" s="6">
        <f>AB210-AC210</f>
        <v/>
      </c>
    </row>
    <row r="211">
      <c r="A211" s="2" t="n"/>
      <c r="B211" s="3" t="n"/>
      <c r="C211" s="4" t="n"/>
      <c r="D211" s="5" t="n"/>
      <c r="E211" s="3" t="n"/>
      <c r="F211" s="4" t="n"/>
      <c r="G211" s="5" t="n"/>
      <c r="H211" s="3" t="n"/>
      <c r="I211" s="4" t="n"/>
      <c r="J211" s="5" t="n"/>
      <c r="K211" s="3" t="n"/>
      <c r="L211" s="4" t="n"/>
      <c r="M211" s="5" t="n"/>
      <c r="N211" s="3" t="n"/>
      <c r="O211" s="4" t="n"/>
      <c r="P211" s="5" t="n"/>
      <c r="Q211" s="3" t="n"/>
      <c r="R211" s="4" t="n"/>
      <c r="S211" s="5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6">
        <f>IF(C211=0,0,IF(E211="",B211*D211/100,E211))</f>
        <v/>
      </c>
      <c r="AE211" s="6">
        <f>IF(F211=0,0,IF(H211="",B211*G211/100,H211))</f>
        <v/>
      </c>
      <c r="AF211" s="6">
        <f>IF(I211=0,0,IF(K211="",B211*J211/100,K211))</f>
        <v/>
      </c>
      <c r="AG211" s="6">
        <f>IF(L211=0,0,IF(N211="",B211*M211/100,N211))</f>
        <v/>
      </c>
      <c r="AH211" s="6">
        <f>IF(O211=0,0,IF(Q211="",B211*P211/100,Q211))</f>
        <v/>
      </c>
      <c r="AI211" s="6">
        <f>IF(R211=0,0,IF(T211="",B211*S211/100,T211))</f>
        <v/>
      </c>
      <c r="AJ211" s="6">
        <f>B211*0.035</f>
        <v/>
      </c>
      <c r="AK211" s="6">
        <f>B211*0.065</f>
        <v/>
      </c>
      <c r="AL211" s="6">
        <f>SUM(B211,AD211,AE211,AF211,AG211,AH211,AI211,U211,V211,AJ211,AK211)</f>
        <v/>
      </c>
      <c r="AM211" s="6">
        <f>B211*0.055</f>
        <v/>
      </c>
      <c r="AN211" s="6">
        <f>B211*0.035</f>
        <v/>
      </c>
      <c r="AO211" s="6">
        <f>B211*0.165</f>
        <v/>
      </c>
      <c r="AP211" s="6">
        <f>MAX(0,AL211-AM211-AO211)</f>
        <v/>
      </c>
      <c r="AQ211" s="6">
        <f>IF(AP211&lt;=490,0,IF(AP211&lt;=600,(AP211-490)*0.05,IF(AP211&lt;=730,5.5+(AP211-600)*0.10,IF(AP211&lt;=3896.67,18.5+(AP211-730)*0.175,IF(AP211&lt;=19896.67,572.67+(AP211-3896.67)*0.25,IF(AP211&lt;=50416.67,4572.67+(AP211-19896.67)*0.30,13728.67+(AP211-50416.67)*0.35))))))</f>
        <v/>
      </c>
      <c r="AR211" s="6">
        <f>SUM(AM211,AQ211,W211,X211,Y211,Z211,AA211,AN211,AO211)</f>
        <v/>
      </c>
      <c r="AS211" s="6">
        <f>AL211-AR211</f>
        <v/>
      </c>
      <c r="AT211" s="6">
        <f>AB211-AC211</f>
        <v/>
      </c>
    </row>
    <row r="212">
      <c r="A212" s="2" t="n"/>
      <c r="B212" s="3" t="n"/>
      <c r="C212" s="4" t="n"/>
      <c r="D212" s="5" t="n"/>
      <c r="E212" s="3" t="n"/>
      <c r="F212" s="4" t="n"/>
      <c r="G212" s="5" t="n"/>
      <c r="H212" s="3" t="n"/>
      <c r="I212" s="4" t="n"/>
      <c r="J212" s="5" t="n"/>
      <c r="K212" s="3" t="n"/>
      <c r="L212" s="4" t="n"/>
      <c r="M212" s="5" t="n"/>
      <c r="N212" s="3" t="n"/>
      <c r="O212" s="4" t="n"/>
      <c r="P212" s="5" t="n"/>
      <c r="Q212" s="3" t="n"/>
      <c r="R212" s="4" t="n"/>
      <c r="S212" s="5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6">
        <f>IF(C212=0,0,IF(E212="",B212*D212/100,E212))</f>
        <v/>
      </c>
      <c r="AE212" s="6">
        <f>IF(F212=0,0,IF(H212="",B212*G212/100,H212))</f>
        <v/>
      </c>
      <c r="AF212" s="6">
        <f>IF(I212=0,0,IF(K212="",B212*J212/100,K212))</f>
        <v/>
      </c>
      <c r="AG212" s="6">
        <f>IF(L212=0,0,IF(N212="",B212*M212/100,N212))</f>
        <v/>
      </c>
      <c r="AH212" s="6">
        <f>IF(O212=0,0,IF(Q212="",B212*P212/100,Q212))</f>
        <v/>
      </c>
      <c r="AI212" s="6">
        <f>IF(R212=0,0,IF(T212="",B212*S212/100,T212))</f>
        <v/>
      </c>
      <c r="AJ212" s="6">
        <f>B212*0.035</f>
        <v/>
      </c>
      <c r="AK212" s="6">
        <f>B212*0.065</f>
        <v/>
      </c>
      <c r="AL212" s="6">
        <f>SUM(B212,AD212,AE212,AF212,AG212,AH212,AI212,U212,V212,AJ212,AK212)</f>
        <v/>
      </c>
      <c r="AM212" s="6">
        <f>B212*0.055</f>
        <v/>
      </c>
      <c r="AN212" s="6">
        <f>B212*0.035</f>
        <v/>
      </c>
      <c r="AO212" s="6">
        <f>B212*0.165</f>
        <v/>
      </c>
      <c r="AP212" s="6">
        <f>MAX(0,AL212-AM212-AO212)</f>
        <v/>
      </c>
      <c r="AQ212" s="6">
        <f>IF(AP212&lt;=490,0,IF(AP212&lt;=600,(AP212-490)*0.05,IF(AP212&lt;=730,5.5+(AP212-600)*0.10,IF(AP212&lt;=3896.67,18.5+(AP212-730)*0.175,IF(AP212&lt;=19896.67,572.67+(AP212-3896.67)*0.25,IF(AP212&lt;=50416.67,4572.67+(AP212-19896.67)*0.30,13728.67+(AP212-50416.67)*0.35))))))</f>
        <v/>
      </c>
      <c r="AR212" s="6">
        <f>SUM(AM212,AQ212,W212,X212,Y212,Z212,AA212,AN212,AO212)</f>
        <v/>
      </c>
      <c r="AS212" s="6">
        <f>AL212-AR212</f>
        <v/>
      </c>
      <c r="AT212" s="6">
        <f>AB212-AC212</f>
        <v/>
      </c>
    </row>
    <row r="213">
      <c r="A213" s="2" t="n"/>
      <c r="B213" s="3" t="n"/>
      <c r="C213" s="4" t="n"/>
      <c r="D213" s="5" t="n"/>
      <c r="E213" s="3" t="n"/>
      <c r="F213" s="4" t="n"/>
      <c r="G213" s="5" t="n"/>
      <c r="H213" s="3" t="n"/>
      <c r="I213" s="4" t="n"/>
      <c r="J213" s="5" t="n"/>
      <c r="K213" s="3" t="n"/>
      <c r="L213" s="4" t="n"/>
      <c r="M213" s="5" t="n"/>
      <c r="N213" s="3" t="n"/>
      <c r="O213" s="4" t="n"/>
      <c r="P213" s="5" t="n"/>
      <c r="Q213" s="3" t="n"/>
      <c r="R213" s="4" t="n"/>
      <c r="S213" s="5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6">
        <f>IF(C213=0,0,IF(E213="",B213*D213/100,E213))</f>
        <v/>
      </c>
      <c r="AE213" s="6">
        <f>IF(F213=0,0,IF(H213="",B213*G213/100,H213))</f>
        <v/>
      </c>
      <c r="AF213" s="6">
        <f>IF(I213=0,0,IF(K213="",B213*J213/100,K213))</f>
        <v/>
      </c>
      <c r="AG213" s="6">
        <f>IF(L213=0,0,IF(N213="",B213*M213/100,N213))</f>
        <v/>
      </c>
      <c r="AH213" s="6">
        <f>IF(O213=0,0,IF(Q213="",B213*P213/100,Q213))</f>
        <v/>
      </c>
      <c r="AI213" s="6">
        <f>IF(R213=0,0,IF(T213="",B213*S213/100,T213))</f>
        <v/>
      </c>
      <c r="AJ213" s="6">
        <f>B213*0.035</f>
        <v/>
      </c>
      <c r="AK213" s="6">
        <f>B213*0.065</f>
        <v/>
      </c>
      <c r="AL213" s="6">
        <f>SUM(B213,AD213,AE213,AF213,AG213,AH213,AI213,U213,V213,AJ213,AK213)</f>
        <v/>
      </c>
      <c r="AM213" s="6">
        <f>B213*0.055</f>
        <v/>
      </c>
      <c r="AN213" s="6">
        <f>B213*0.035</f>
        <v/>
      </c>
      <c r="AO213" s="6">
        <f>B213*0.165</f>
        <v/>
      </c>
      <c r="AP213" s="6">
        <f>MAX(0,AL213-AM213-AO213)</f>
        <v/>
      </c>
      <c r="AQ213" s="6">
        <f>IF(AP213&lt;=490,0,IF(AP213&lt;=600,(AP213-490)*0.05,IF(AP213&lt;=730,5.5+(AP213-600)*0.10,IF(AP213&lt;=3896.67,18.5+(AP213-730)*0.175,IF(AP213&lt;=19896.67,572.67+(AP213-3896.67)*0.25,IF(AP213&lt;=50416.67,4572.67+(AP213-19896.67)*0.30,13728.67+(AP213-50416.67)*0.35))))))</f>
        <v/>
      </c>
      <c r="AR213" s="6">
        <f>SUM(AM213,AQ213,W213,X213,Y213,Z213,AA213,AN213,AO213)</f>
        <v/>
      </c>
      <c r="AS213" s="6">
        <f>AL213-AR213</f>
        <v/>
      </c>
      <c r="AT213" s="6">
        <f>AB213-AC213</f>
        <v/>
      </c>
    </row>
    <row r="214">
      <c r="A214" s="2" t="n"/>
      <c r="B214" s="3" t="n"/>
      <c r="C214" s="4" t="n"/>
      <c r="D214" s="5" t="n"/>
      <c r="E214" s="3" t="n"/>
      <c r="F214" s="4" t="n"/>
      <c r="G214" s="5" t="n"/>
      <c r="H214" s="3" t="n"/>
      <c r="I214" s="4" t="n"/>
      <c r="J214" s="5" t="n"/>
      <c r="K214" s="3" t="n"/>
      <c r="L214" s="4" t="n"/>
      <c r="M214" s="5" t="n"/>
      <c r="N214" s="3" t="n"/>
      <c r="O214" s="4" t="n"/>
      <c r="P214" s="5" t="n"/>
      <c r="Q214" s="3" t="n"/>
      <c r="R214" s="4" t="n"/>
      <c r="S214" s="5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6">
        <f>IF(C214=0,0,IF(E214="",B214*D214/100,E214))</f>
        <v/>
      </c>
      <c r="AE214" s="6">
        <f>IF(F214=0,0,IF(H214="",B214*G214/100,H214))</f>
        <v/>
      </c>
      <c r="AF214" s="6">
        <f>IF(I214=0,0,IF(K214="",B214*J214/100,K214))</f>
        <v/>
      </c>
      <c r="AG214" s="6">
        <f>IF(L214=0,0,IF(N214="",B214*M214/100,N214))</f>
        <v/>
      </c>
      <c r="AH214" s="6">
        <f>IF(O214=0,0,IF(Q214="",B214*P214/100,Q214))</f>
        <v/>
      </c>
      <c r="AI214" s="6">
        <f>IF(R214=0,0,IF(T214="",B214*S214/100,T214))</f>
        <v/>
      </c>
      <c r="AJ214" s="6">
        <f>B214*0.035</f>
        <v/>
      </c>
      <c r="AK214" s="6">
        <f>B214*0.065</f>
        <v/>
      </c>
      <c r="AL214" s="6">
        <f>SUM(B214,AD214,AE214,AF214,AG214,AH214,AI214,U214,V214,AJ214,AK214)</f>
        <v/>
      </c>
      <c r="AM214" s="6">
        <f>B214*0.055</f>
        <v/>
      </c>
      <c r="AN214" s="6">
        <f>B214*0.035</f>
        <v/>
      </c>
      <c r="AO214" s="6">
        <f>B214*0.165</f>
        <v/>
      </c>
      <c r="AP214" s="6">
        <f>MAX(0,AL214-AM214-AO214)</f>
        <v/>
      </c>
      <c r="AQ214" s="6">
        <f>IF(AP214&lt;=490,0,IF(AP214&lt;=600,(AP214-490)*0.05,IF(AP214&lt;=730,5.5+(AP214-600)*0.10,IF(AP214&lt;=3896.67,18.5+(AP214-730)*0.175,IF(AP214&lt;=19896.67,572.67+(AP214-3896.67)*0.25,IF(AP214&lt;=50416.67,4572.67+(AP214-19896.67)*0.30,13728.67+(AP214-50416.67)*0.35))))))</f>
        <v/>
      </c>
      <c r="AR214" s="6">
        <f>SUM(AM214,AQ214,W214,X214,Y214,Z214,AA214,AN214,AO214)</f>
        <v/>
      </c>
      <c r="AS214" s="6">
        <f>AL214-AR214</f>
        <v/>
      </c>
      <c r="AT214" s="6">
        <f>AB214-AC214</f>
        <v/>
      </c>
    </row>
    <row r="215">
      <c r="A215" s="2" t="n"/>
      <c r="B215" s="3" t="n"/>
      <c r="C215" s="4" t="n"/>
      <c r="D215" s="5" t="n"/>
      <c r="E215" s="3" t="n"/>
      <c r="F215" s="4" t="n"/>
      <c r="G215" s="5" t="n"/>
      <c r="H215" s="3" t="n"/>
      <c r="I215" s="4" t="n"/>
      <c r="J215" s="5" t="n"/>
      <c r="K215" s="3" t="n"/>
      <c r="L215" s="4" t="n"/>
      <c r="M215" s="5" t="n"/>
      <c r="N215" s="3" t="n"/>
      <c r="O215" s="4" t="n"/>
      <c r="P215" s="5" t="n"/>
      <c r="Q215" s="3" t="n"/>
      <c r="R215" s="4" t="n"/>
      <c r="S215" s="5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6">
        <f>IF(C215=0,0,IF(E215="",B215*D215/100,E215))</f>
        <v/>
      </c>
      <c r="AE215" s="6">
        <f>IF(F215=0,0,IF(H215="",B215*G215/100,H215))</f>
        <v/>
      </c>
      <c r="AF215" s="6">
        <f>IF(I215=0,0,IF(K215="",B215*J215/100,K215))</f>
        <v/>
      </c>
      <c r="AG215" s="6">
        <f>IF(L215=0,0,IF(N215="",B215*M215/100,N215))</f>
        <v/>
      </c>
      <c r="AH215" s="6">
        <f>IF(O215=0,0,IF(Q215="",B215*P215/100,Q215))</f>
        <v/>
      </c>
      <c r="AI215" s="6">
        <f>IF(R215=0,0,IF(T215="",B215*S215/100,T215))</f>
        <v/>
      </c>
      <c r="AJ215" s="6">
        <f>B215*0.035</f>
        <v/>
      </c>
      <c r="AK215" s="6">
        <f>B215*0.065</f>
        <v/>
      </c>
      <c r="AL215" s="6">
        <f>SUM(B215,AD215,AE215,AF215,AG215,AH215,AI215,U215,V215,AJ215,AK215)</f>
        <v/>
      </c>
      <c r="AM215" s="6">
        <f>B215*0.055</f>
        <v/>
      </c>
      <c r="AN215" s="6">
        <f>B215*0.035</f>
        <v/>
      </c>
      <c r="AO215" s="6">
        <f>B215*0.165</f>
        <v/>
      </c>
      <c r="AP215" s="6">
        <f>MAX(0,AL215-AM215-AO215)</f>
        <v/>
      </c>
      <c r="AQ215" s="6">
        <f>IF(AP215&lt;=490,0,IF(AP215&lt;=600,(AP215-490)*0.05,IF(AP215&lt;=730,5.5+(AP215-600)*0.10,IF(AP215&lt;=3896.67,18.5+(AP215-730)*0.175,IF(AP215&lt;=19896.67,572.67+(AP215-3896.67)*0.25,IF(AP215&lt;=50416.67,4572.67+(AP215-19896.67)*0.30,13728.67+(AP215-50416.67)*0.35))))))</f>
        <v/>
      </c>
      <c r="AR215" s="6">
        <f>SUM(AM215,AQ215,W215,X215,Y215,Z215,AA215,AN215,AO215)</f>
        <v/>
      </c>
      <c r="AS215" s="6">
        <f>AL215-AR215</f>
        <v/>
      </c>
      <c r="AT215" s="6">
        <f>AB215-AC215</f>
        <v/>
      </c>
    </row>
    <row r="216">
      <c r="A216" s="2" t="n"/>
      <c r="B216" s="3" t="n"/>
      <c r="C216" s="4" t="n"/>
      <c r="D216" s="5" t="n"/>
      <c r="E216" s="3" t="n"/>
      <c r="F216" s="4" t="n"/>
      <c r="G216" s="5" t="n"/>
      <c r="H216" s="3" t="n"/>
      <c r="I216" s="4" t="n"/>
      <c r="J216" s="5" t="n"/>
      <c r="K216" s="3" t="n"/>
      <c r="L216" s="4" t="n"/>
      <c r="M216" s="5" t="n"/>
      <c r="N216" s="3" t="n"/>
      <c r="O216" s="4" t="n"/>
      <c r="P216" s="5" t="n"/>
      <c r="Q216" s="3" t="n"/>
      <c r="R216" s="4" t="n"/>
      <c r="S216" s="5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6">
        <f>IF(C216=0,0,IF(E216="",B216*D216/100,E216))</f>
        <v/>
      </c>
      <c r="AE216" s="6">
        <f>IF(F216=0,0,IF(H216="",B216*G216/100,H216))</f>
        <v/>
      </c>
      <c r="AF216" s="6">
        <f>IF(I216=0,0,IF(K216="",B216*J216/100,K216))</f>
        <v/>
      </c>
      <c r="AG216" s="6">
        <f>IF(L216=0,0,IF(N216="",B216*M216/100,N216))</f>
        <v/>
      </c>
      <c r="AH216" s="6">
        <f>IF(O216=0,0,IF(Q216="",B216*P216/100,Q216))</f>
        <v/>
      </c>
      <c r="AI216" s="6">
        <f>IF(R216=0,0,IF(T216="",B216*S216/100,T216))</f>
        <v/>
      </c>
      <c r="AJ216" s="6">
        <f>B216*0.035</f>
        <v/>
      </c>
      <c r="AK216" s="6">
        <f>B216*0.065</f>
        <v/>
      </c>
      <c r="AL216" s="6">
        <f>SUM(B216,AD216,AE216,AF216,AG216,AH216,AI216,U216,V216,AJ216,AK216)</f>
        <v/>
      </c>
      <c r="AM216" s="6">
        <f>B216*0.055</f>
        <v/>
      </c>
      <c r="AN216" s="6">
        <f>B216*0.035</f>
        <v/>
      </c>
      <c r="AO216" s="6">
        <f>B216*0.165</f>
        <v/>
      </c>
      <c r="AP216" s="6">
        <f>MAX(0,AL216-AM216-AO216)</f>
        <v/>
      </c>
      <c r="AQ216" s="6">
        <f>IF(AP216&lt;=490,0,IF(AP216&lt;=600,(AP216-490)*0.05,IF(AP216&lt;=730,5.5+(AP216-600)*0.10,IF(AP216&lt;=3896.67,18.5+(AP216-730)*0.175,IF(AP216&lt;=19896.67,572.67+(AP216-3896.67)*0.25,IF(AP216&lt;=50416.67,4572.67+(AP216-19896.67)*0.30,13728.67+(AP216-50416.67)*0.35))))))</f>
        <v/>
      </c>
      <c r="AR216" s="6">
        <f>SUM(AM216,AQ216,W216,X216,Y216,Z216,AA216,AN216,AO216)</f>
        <v/>
      </c>
      <c r="AS216" s="6">
        <f>AL216-AR216</f>
        <v/>
      </c>
      <c r="AT216" s="6">
        <f>AB216-AC216</f>
        <v/>
      </c>
    </row>
    <row r="217">
      <c r="A217" s="2" t="n"/>
      <c r="B217" s="3" t="n"/>
      <c r="C217" s="4" t="n"/>
      <c r="D217" s="5" t="n"/>
      <c r="E217" s="3" t="n"/>
      <c r="F217" s="4" t="n"/>
      <c r="G217" s="5" t="n"/>
      <c r="H217" s="3" t="n"/>
      <c r="I217" s="4" t="n"/>
      <c r="J217" s="5" t="n"/>
      <c r="K217" s="3" t="n"/>
      <c r="L217" s="4" t="n"/>
      <c r="M217" s="5" t="n"/>
      <c r="N217" s="3" t="n"/>
      <c r="O217" s="4" t="n"/>
      <c r="P217" s="5" t="n"/>
      <c r="Q217" s="3" t="n"/>
      <c r="R217" s="4" t="n"/>
      <c r="S217" s="5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6">
        <f>IF(C217=0,0,IF(E217="",B217*D217/100,E217))</f>
        <v/>
      </c>
      <c r="AE217" s="6">
        <f>IF(F217=0,0,IF(H217="",B217*G217/100,H217))</f>
        <v/>
      </c>
      <c r="AF217" s="6">
        <f>IF(I217=0,0,IF(K217="",B217*J217/100,K217))</f>
        <v/>
      </c>
      <c r="AG217" s="6">
        <f>IF(L217=0,0,IF(N217="",B217*M217/100,N217))</f>
        <v/>
      </c>
      <c r="AH217" s="6">
        <f>IF(O217=0,0,IF(Q217="",B217*P217/100,Q217))</f>
        <v/>
      </c>
      <c r="AI217" s="6">
        <f>IF(R217=0,0,IF(T217="",B217*S217/100,T217))</f>
        <v/>
      </c>
      <c r="AJ217" s="6">
        <f>B217*0.035</f>
        <v/>
      </c>
      <c r="AK217" s="6">
        <f>B217*0.065</f>
        <v/>
      </c>
      <c r="AL217" s="6">
        <f>SUM(B217,AD217,AE217,AF217,AG217,AH217,AI217,U217,V217,AJ217,AK217)</f>
        <v/>
      </c>
      <c r="AM217" s="6">
        <f>B217*0.055</f>
        <v/>
      </c>
      <c r="AN217" s="6">
        <f>B217*0.035</f>
        <v/>
      </c>
      <c r="AO217" s="6">
        <f>B217*0.165</f>
        <v/>
      </c>
      <c r="AP217" s="6">
        <f>MAX(0,AL217-AM217-AO217)</f>
        <v/>
      </c>
      <c r="AQ217" s="6">
        <f>IF(AP217&lt;=490,0,IF(AP217&lt;=600,(AP217-490)*0.05,IF(AP217&lt;=730,5.5+(AP217-600)*0.10,IF(AP217&lt;=3896.67,18.5+(AP217-730)*0.175,IF(AP217&lt;=19896.67,572.67+(AP217-3896.67)*0.25,IF(AP217&lt;=50416.67,4572.67+(AP217-19896.67)*0.30,13728.67+(AP217-50416.67)*0.35))))))</f>
        <v/>
      </c>
      <c r="AR217" s="6">
        <f>SUM(AM217,AQ217,W217,X217,Y217,Z217,AA217,AN217,AO217)</f>
        <v/>
      </c>
      <c r="AS217" s="6">
        <f>AL217-AR217</f>
        <v/>
      </c>
      <c r="AT217" s="6">
        <f>AB217-AC217</f>
        <v/>
      </c>
    </row>
    <row r="218">
      <c r="A218" s="2" t="n"/>
      <c r="B218" s="3" t="n"/>
      <c r="C218" s="4" t="n"/>
      <c r="D218" s="5" t="n"/>
      <c r="E218" s="3" t="n"/>
      <c r="F218" s="4" t="n"/>
      <c r="G218" s="5" t="n"/>
      <c r="H218" s="3" t="n"/>
      <c r="I218" s="4" t="n"/>
      <c r="J218" s="5" t="n"/>
      <c r="K218" s="3" t="n"/>
      <c r="L218" s="4" t="n"/>
      <c r="M218" s="5" t="n"/>
      <c r="N218" s="3" t="n"/>
      <c r="O218" s="4" t="n"/>
      <c r="P218" s="5" t="n"/>
      <c r="Q218" s="3" t="n"/>
      <c r="R218" s="4" t="n"/>
      <c r="S218" s="5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6">
        <f>IF(C218=0,0,IF(E218="",B218*D218/100,E218))</f>
        <v/>
      </c>
      <c r="AE218" s="6">
        <f>IF(F218=0,0,IF(H218="",B218*G218/100,H218))</f>
        <v/>
      </c>
      <c r="AF218" s="6">
        <f>IF(I218=0,0,IF(K218="",B218*J218/100,K218))</f>
        <v/>
      </c>
      <c r="AG218" s="6">
        <f>IF(L218=0,0,IF(N218="",B218*M218/100,N218))</f>
        <v/>
      </c>
      <c r="AH218" s="6">
        <f>IF(O218=0,0,IF(Q218="",B218*P218/100,Q218))</f>
        <v/>
      </c>
      <c r="AI218" s="6">
        <f>IF(R218=0,0,IF(T218="",B218*S218/100,T218))</f>
        <v/>
      </c>
      <c r="AJ218" s="6">
        <f>B218*0.035</f>
        <v/>
      </c>
      <c r="AK218" s="6">
        <f>B218*0.065</f>
        <v/>
      </c>
      <c r="AL218" s="6">
        <f>SUM(B218,AD218,AE218,AF218,AG218,AH218,AI218,U218,V218,AJ218,AK218)</f>
        <v/>
      </c>
      <c r="AM218" s="6">
        <f>B218*0.055</f>
        <v/>
      </c>
      <c r="AN218" s="6">
        <f>B218*0.035</f>
        <v/>
      </c>
      <c r="AO218" s="6">
        <f>B218*0.165</f>
        <v/>
      </c>
      <c r="AP218" s="6">
        <f>MAX(0,AL218-AM218-AO218)</f>
        <v/>
      </c>
      <c r="AQ218" s="6">
        <f>IF(AP218&lt;=490,0,IF(AP218&lt;=600,(AP218-490)*0.05,IF(AP218&lt;=730,5.5+(AP218-600)*0.10,IF(AP218&lt;=3896.67,18.5+(AP218-730)*0.175,IF(AP218&lt;=19896.67,572.67+(AP218-3896.67)*0.25,IF(AP218&lt;=50416.67,4572.67+(AP218-19896.67)*0.30,13728.67+(AP218-50416.67)*0.35))))))</f>
        <v/>
      </c>
      <c r="AR218" s="6">
        <f>SUM(AM218,AQ218,W218,X218,Y218,Z218,AA218,AN218,AO218)</f>
        <v/>
      </c>
      <c r="AS218" s="6">
        <f>AL218-AR218</f>
        <v/>
      </c>
      <c r="AT218" s="6">
        <f>AB218-AC218</f>
        <v/>
      </c>
    </row>
    <row r="219">
      <c r="A219" s="2" t="n"/>
      <c r="B219" s="3" t="n"/>
      <c r="C219" s="4" t="n"/>
      <c r="D219" s="5" t="n"/>
      <c r="E219" s="3" t="n"/>
      <c r="F219" s="4" t="n"/>
      <c r="G219" s="5" t="n"/>
      <c r="H219" s="3" t="n"/>
      <c r="I219" s="4" t="n"/>
      <c r="J219" s="5" t="n"/>
      <c r="K219" s="3" t="n"/>
      <c r="L219" s="4" t="n"/>
      <c r="M219" s="5" t="n"/>
      <c r="N219" s="3" t="n"/>
      <c r="O219" s="4" t="n"/>
      <c r="P219" s="5" t="n"/>
      <c r="Q219" s="3" t="n"/>
      <c r="R219" s="4" t="n"/>
      <c r="S219" s="5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6">
        <f>IF(C219=0,0,IF(E219="",B219*D219/100,E219))</f>
        <v/>
      </c>
      <c r="AE219" s="6">
        <f>IF(F219=0,0,IF(H219="",B219*G219/100,H219))</f>
        <v/>
      </c>
      <c r="AF219" s="6">
        <f>IF(I219=0,0,IF(K219="",B219*J219/100,K219))</f>
        <v/>
      </c>
      <c r="AG219" s="6">
        <f>IF(L219=0,0,IF(N219="",B219*M219/100,N219))</f>
        <v/>
      </c>
      <c r="AH219" s="6">
        <f>IF(O219=0,0,IF(Q219="",B219*P219/100,Q219))</f>
        <v/>
      </c>
      <c r="AI219" s="6">
        <f>IF(R219=0,0,IF(T219="",B219*S219/100,T219))</f>
        <v/>
      </c>
      <c r="AJ219" s="6">
        <f>B219*0.035</f>
        <v/>
      </c>
      <c r="AK219" s="6">
        <f>B219*0.065</f>
        <v/>
      </c>
      <c r="AL219" s="6">
        <f>SUM(B219,AD219,AE219,AF219,AG219,AH219,AI219,U219,V219,AJ219,AK219)</f>
        <v/>
      </c>
      <c r="AM219" s="6">
        <f>B219*0.055</f>
        <v/>
      </c>
      <c r="AN219" s="6">
        <f>B219*0.035</f>
        <v/>
      </c>
      <c r="AO219" s="6">
        <f>B219*0.165</f>
        <v/>
      </c>
      <c r="AP219" s="6">
        <f>MAX(0,AL219-AM219-AO219)</f>
        <v/>
      </c>
      <c r="AQ219" s="6">
        <f>IF(AP219&lt;=490,0,IF(AP219&lt;=600,(AP219-490)*0.05,IF(AP219&lt;=730,5.5+(AP219-600)*0.10,IF(AP219&lt;=3896.67,18.5+(AP219-730)*0.175,IF(AP219&lt;=19896.67,572.67+(AP219-3896.67)*0.25,IF(AP219&lt;=50416.67,4572.67+(AP219-19896.67)*0.30,13728.67+(AP219-50416.67)*0.35))))))</f>
        <v/>
      </c>
      <c r="AR219" s="6">
        <f>SUM(AM219,AQ219,W219,X219,Y219,Z219,AA219,AN219,AO219)</f>
        <v/>
      </c>
      <c r="AS219" s="6">
        <f>AL219-AR219</f>
        <v/>
      </c>
      <c r="AT219" s="6">
        <f>AB219-AC219</f>
        <v/>
      </c>
    </row>
    <row r="220">
      <c r="A220" s="2" t="n"/>
      <c r="B220" s="3" t="n"/>
      <c r="C220" s="4" t="n"/>
      <c r="D220" s="5" t="n"/>
      <c r="E220" s="3" t="n"/>
      <c r="F220" s="4" t="n"/>
      <c r="G220" s="5" t="n"/>
      <c r="H220" s="3" t="n"/>
      <c r="I220" s="4" t="n"/>
      <c r="J220" s="5" t="n"/>
      <c r="K220" s="3" t="n"/>
      <c r="L220" s="4" t="n"/>
      <c r="M220" s="5" t="n"/>
      <c r="N220" s="3" t="n"/>
      <c r="O220" s="4" t="n"/>
      <c r="P220" s="5" t="n"/>
      <c r="Q220" s="3" t="n"/>
      <c r="R220" s="4" t="n"/>
      <c r="S220" s="5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6">
        <f>IF(C220=0,0,IF(E220="",B220*D220/100,E220))</f>
        <v/>
      </c>
      <c r="AE220" s="6">
        <f>IF(F220=0,0,IF(H220="",B220*G220/100,H220))</f>
        <v/>
      </c>
      <c r="AF220" s="6">
        <f>IF(I220=0,0,IF(K220="",B220*J220/100,K220))</f>
        <v/>
      </c>
      <c r="AG220" s="6">
        <f>IF(L220=0,0,IF(N220="",B220*M220/100,N220))</f>
        <v/>
      </c>
      <c r="AH220" s="6">
        <f>IF(O220=0,0,IF(Q220="",B220*P220/100,Q220))</f>
        <v/>
      </c>
      <c r="AI220" s="6">
        <f>IF(R220=0,0,IF(T220="",B220*S220/100,T220))</f>
        <v/>
      </c>
      <c r="AJ220" s="6">
        <f>B220*0.035</f>
        <v/>
      </c>
      <c r="AK220" s="6">
        <f>B220*0.065</f>
        <v/>
      </c>
      <c r="AL220" s="6">
        <f>SUM(B220,AD220,AE220,AF220,AG220,AH220,AI220,U220,V220,AJ220,AK220)</f>
        <v/>
      </c>
      <c r="AM220" s="6">
        <f>B220*0.055</f>
        <v/>
      </c>
      <c r="AN220" s="6">
        <f>B220*0.035</f>
        <v/>
      </c>
      <c r="AO220" s="6">
        <f>B220*0.165</f>
        <v/>
      </c>
      <c r="AP220" s="6">
        <f>MAX(0,AL220-AM220-AO220)</f>
        <v/>
      </c>
      <c r="AQ220" s="6">
        <f>IF(AP220&lt;=490,0,IF(AP220&lt;=600,(AP220-490)*0.05,IF(AP220&lt;=730,5.5+(AP220-600)*0.10,IF(AP220&lt;=3896.67,18.5+(AP220-730)*0.175,IF(AP220&lt;=19896.67,572.67+(AP220-3896.67)*0.25,IF(AP220&lt;=50416.67,4572.67+(AP220-19896.67)*0.30,13728.67+(AP220-50416.67)*0.35))))))</f>
        <v/>
      </c>
      <c r="AR220" s="6">
        <f>SUM(AM220,AQ220,W220,X220,Y220,Z220,AA220,AN220,AO220)</f>
        <v/>
      </c>
      <c r="AS220" s="6">
        <f>AL220-AR220</f>
        <v/>
      </c>
      <c r="AT220" s="6">
        <f>AB220-AC220</f>
        <v/>
      </c>
    </row>
    <row r="221">
      <c r="A221" s="2" t="n"/>
      <c r="B221" s="3" t="n"/>
      <c r="C221" s="4" t="n"/>
      <c r="D221" s="5" t="n"/>
      <c r="E221" s="3" t="n"/>
      <c r="F221" s="4" t="n"/>
      <c r="G221" s="5" t="n"/>
      <c r="H221" s="3" t="n"/>
      <c r="I221" s="4" t="n"/>
      <c r="J221" s="5" t="n"/>
      <c r="K221" s="3" t="n"/>
      <c r="L221" s="4" t="n"/>
      <c r="M221" s="5" t="n"/>
      <c r="N221" s="3" t="n"/>
      <c r="O221" s="4" t="n"/>
      <c r="P221" s="5" t="n"/>
      <c r="Q221" s="3" t="n"/>
      <c r="R221" s="4" t="n"/>
      <c r="S221" s="5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6">
        <f>IF(C221=0,0,IF(E221="",B221*D221/100,E221))</f>
        <v/>
      </c>
      <c r="AE221" s="6">
        <f>IF(F221=0,0,IF(H221="",B221*G221/100,H221))</f>
        <v/>
      </c>
      <c r="AF221" s="6">
        <f>IF(I221=0,0,IF(K221="",B221*J221/100,K221))</f>
        <v/>
      </c>
      <c r="AG221" s="6">
        <f>IF(L221=0,0,IF(N221="",B221*M221/100,N221))</f>
        <v/>
      </c>
      <c r="AH221" s="6">
        <f>IF(O221=0,0,IF(Q221="",B221*P221/100,Q221))</f>
        <v/>
      </c>
      <c r="AI221" s="6">
        <f>IF(R221=0,0,IF(T221="",B221*S221/100,T221))</f>
        <v/>
      </c>
      <c r="AJ221" s="6">
        <f>B221*0.035</f>
        <v/>
      </c>
      <c r="AK221" s="6">
        <f>B221*0.065</f>
        <v/>
      </c>
      <c r="AL221" s="6">
        <f>SUM(B221,AD221,AE221,AF221,AG221,AH221,AI221,U221,V221,AJ221,AK221)</f>
        <v/>
      </c>
      <c r="AM221" s="6">
        <f>B221*0.055</f>
        <v/>
      </c>
      <c r="AN221" s="6">
        <f>B221*0.035</f>
        <v/>
      </c>
      <c r="AO221" s="6">
        <f>B221*0.165</f>
        <v/>
      </c>
      <c r="AP221" s="6">
        <f>MAX(0,AL221-AM221-AO221)</f>
        <v/>
      </c>
      <c r="AQ221" s="6">
        <f>IF(AP221&lt;=490,0,IF(AP221&lt;=600,(AP221-490)*0.05,IF(AP221&lt;=730,5.5+(AP221-600)*0.10,IF(AP221&lt;=3896.67,18.5+(AP221-730)*0.175,IF(AP221&lt;=19896.67,572.67+(AP221-3896.67)*0.25,IF(AP221&lt;=50416.67,4572.67+(AP221-19896.67)*0.30,13728.67+(AP221-50416.67)*0.35))))))</f>
        <v/>
      </c>
      <c r="AR221" s="6">
        <f>SUM(AM221,AQ221,W221,X221,Y221,Z221,AA221,AN221,AO221)</f>
        <v/>
      </c>
      <c r="AS221" s="6">
        <f>AL221-AR221</f>
        <v/>
      </c>
      <c r="AT221" s="6">
        <f>AB221-AC221</f>
        <v/>
      </c>
    </row>
    <row r="222">
      <c r="A222" s="2" t="n"/>
      <c r="B222" s="3" t="n"/>
      <c r="C222" s="4" t="n"/>
      <c r="D222" s="5" t="n"/>
      <c r="E222" s="3" t="n"/>
      <c r="F222" s="4" t="n"/>
      <c r="G222" s="5" t="n"/>
      <c r="H222" s="3" t="n"/>
      <c r="I222" s="4" t="n"/>
      <c r="J222" s="5" t="n"/>
      <c r="K222" s="3" t="n"/>
      <c r="L222" s="4" t="n"/>
      <c r="M222" s="5" t="n"/>
      <c r="N222" s="3" t="n"/>
      <c r="O222" s="4" t="n"/>
      <c r="P222" s="5" t="n"/>
      <c r="Q222" s="3" t="n"/>
      <c r="R222" s="4" t="n"/>
      <c r="S222" s="5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6">
        <f>IF(C222=0,0,IF(E222="",B222*D222/100,E222))</f>
        <v/>
      </c>
      <c r="AE222" s="6">
        <f>IF(F222=0,0,IF(H222="",B222*G222/100,H222))</f>
        <v/>
      </c>
      <c r="AF222" s="6">
        <f>IF(I222=0,0,IF(K222="",B222*J222/100,K222))</f>
        <v/>
      </c>
      <c r="AG222" s="6">
        <f>IF(L222=0,0,IF(N222="",B222*M222/100,N222))</f>
        <v/>
      </c>
      <c r="AH222" s="6">
        <f>IF(O222=0,0,IF(Q222="",B222*P222/100,Q222))</f>
        <v/>
      </c>
      <c r="AI222" s="6">
        <f>IF(R222=0,0,IF(T222="",B222*S222/100,T222))</f>
        <v/>
      </c>
      <c r="AJ222" s="6">
        <f>B222*0.035</f>
        <v/>
      </c>
      <c r="AK222" s="6">
        <f>B222*0.065</f>
        <v/>
      </c>
      <c r="AL222" s="6">
        <f>SUM(B222,AD222,AE222,AF222,AG222,AH222,AI222,U222,V222,AJ222,AK222)</f>
        <v/>
      </c>
      <c r="AM222" s="6">
        <f>B222*0.055</f>
        <v/>
      </c>
      <c r="AN222" s="6">
        <f>B222*0.035</f>
        <v/>
      </c>
      <c r="AO222" s="6">
        <f>B222*0.165</f>
        <v/>
      </c>
      <c r="AP222" s="6">
        <f>MAX(0,AL222-AM222-AO222)</f>
        <v/>
      </c>
      <c r="AQ222" s="6">
        <f>IF(AP222&lt;=490,0,IF(AP222&lt;=600,(AP222-490)*0.05,IF(AP222&lt;=730,5.5+(AP222-600)*0.10,IF(AP222&lt;=3896.67,18.5+(AP222-730)*0.175,IF(AP222&lt;=19896.67,572.67+(AP222-3896.67)*0.25,IF(AP222&lt;=50416.67,4572.67+(AP222-19896.67)*0.30,13728.67+(AP222-50416.67)*0.35))))))</f>
        <v/>
      </c>
      <c r="AR222" s="6">
        <f>SUM(AM222,AQ222,W222,X222,Y222,Z222,AA222,AN222,AO222)</f>
        <v/>
      </c>
      <c r="AS222" s="6">
        <f>AL222-AR222</f>
        <v/>
      </c>
      <c r="AT222" s="6">
        <f>AB222-AC222</f>
        <v/>
      </c>
    </row>
    <row r="223">
      <c r="A223" s="2" t="n"/>
      <c r="B223" s="3" t="n"/>
      <c r="C223" s="4" t="n"/>
      <c r="D223" s="5" t="n"/>
      <c r="E223" s="3" t="n"/>
      <c r="F223" s="4" t="n"/>
      <c r="G223" s="5" t="n"/>
      <c r="H223" s="3" t="n"/>
      <c r="I223" s="4" t="n"/>
      <c r="J223" s="5" t="n"/>
      <c r="K223" s="3" t="n"/>
      <c r="L223" s="4" t="n"/>
      <c r="M223" s="5" t="n"/>
      <c r="N223" s="3" t="n"/>
      <c r="O223" s="4" t="n"/>
      <c r="P223" s="5" t="n"/>
      <c r="Q223" s="3" t="n"/>
      <c r="R223" s="4" t="n"/>
      <c r="S223" s="5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6">
        <f>IF(C223=0,0,IF(E223="",B223*D223/100,E223))</f>
        <v/>
      </c>
      <c r="AE223" s="6">
        <f>IF(F223=0,0,IF(H223="",B223*G223/100,H223))</f>
        <v/>
      </c>
      <c r="AF223" s="6">
        <f>IF(I223=0,0,IF(K223="",B223*J223/100,K223))</f>
        <v/>
      </c>
      <c r="AG223" s="6">
        <f>IF(L223=0,0,IF(N223="",B223*M223/100,N223))</f>
        <v/>
      </c>
      <c r="AH223" s="6">
        <f>IF(O223=0,0,IF(Q223="",B223*P223/100,Q223))</f>
        <v/>
      </c>
      <c r="AI223" s="6">
        <f>IF(R223=0,0,IF(T223="",B223*S223/100,T223))</f>
        <v/>
      </c>
      <c r="AJ223" s="6">
        <f>B223*0.035</f>
        <v/>
      </c>
      <c r="AK223" s="6">
        <f>B223*0.065</f>
        <v/>
      </c>
      <c r="AL223" s="6">
        <f>SUM(B223,AD223,AE223,AF223,AG223,AH223,AI223,U223,V223,AJ223,AK223)</f>
        <v/>
      </c>
      <c r="AM223" s="6">
        <f>B223*0.055</f>
        <v/>
      </c>
      <c r="AN223" s="6">
        <f>B223*0.035</f>
        <v/>
      </c>
      <c r="AO223" s="6">
        <f>B223*0.165</f>
        <v/>
      </c>
      <c r="AP223" s="6">
        <f>MAX(0,AL223-AM223-AO223)</f>
        <v/>
      </c>
      <c r="AQ223" s="6">
        <f>IF(AP223&lt;=490,0,IF(AP223&lt;=600,(AP223-490)*0.05,IF(AP223&lt;=730,5.5+(AP223-600)*0.10,IF(AP223&lt;=3896.67,18.5+(AP223-730)*0.175,IF(AP223&lt;=19896.67,572.67+(AP223-3896.67)*0.25,IF(AP223&lt;=50416.67,4572.67+(AP223-19896.67)*0.30,13728.67+(AP223-50416.67)*0.35))))))</f>
        <v/>
      </c>
      <c r="AR223" s="6">
        <f>SUM(AM223,AQ223,W223,X223,Y223,Z223,AA223,AN223,AO223)</f>
        <v/>
      </c>
      <c r="AS223" s="6">
        <f>AL223-AR223</f>
        <v/>
      </c>
      <c r="AT223" s="6">
        <f>AB223-AC223</f>
        <v/>
      </c>
    </row>
    <row r="224">
      <c r="A224" s="2" t="n"/>
      <c r="B224" s="3" t="n"/>
      <c r="C224" s="4" t="n"/>
      <c r="D224" s="5" t="n"/>
      <c r="E224" s="3" t="n"/>
      <c r="F224" s="4" t="n"/>
      <c r="G224" s="5" t="n"/>
      <c r="H224" s="3" t="n"/>
      <c r="I224" s="4" t="n"/>
      <c r="J224" s="5" t="n"/>
      <c r="K224" s="3" t="n"/>
      <c r="L224" s="4" t="n"/>
      <c r="M224" s="5" t="n"/>
      <c r="N224" s="3" t="n"/>
      <c r="O224" s="4" t="n"/>
      <c r="P224" s="5" t="n"/>
      <c r="Q224" s="3" t="n"/>
      <c r="R224" s="4" t="n"/>
      <c r="S224" s="5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6">
        <f>IF(C224=0,0,IF(E224="",B224*D224/100,E224))</f>
        <v/>
      </c>
      <c r="AE224" s="6">
        <f>IF(F224=0,0,IF(H224="",B224*G224/100,H224))</f>
        <v/>
      </c>
      <c r="AF224" s="6">
        <f>IF(I224=0,0,IF(K224="",B224*J224/100,K224))</f>
        <v/>
      </c>
      <c r="AG224" s="6">
        <f>IF(L224=0,0,IF(N224="",B224*M224/100,N224))</f>
        <v/>
      </c>
      <c r="AH224" s="6">
        <f>IF(O224=0,0,IF(Q224="",B224*P224/100,Q224))</f>
        <v/>
      </c>
      <c r="AI224" s="6">
        <f>IF(R224=0,0,IF(T224="",B224*S224/100,T224))</f>
        <v/>
      </c>
      <c r="AJ224" s="6">
        <f>B224*0.035</f>
        <v/>
      </c>
      <c r="AK224" s="6">
        <f>B224*0.065</f>
        <v/>
      </c>
      <c r="AL224" s="6">
        <f>SUM(B224,AD224,AE224,AF224,AG224,AH224,AI224,U224,V224,AJ224,AK224)</f>
        <v/>
      </c>
      <c r="AM224" s="6">
        <f>B224*0.055</f>
        <v/>
      </c>
      <c r="AN224" s="6">
        <f>B224*0.035</f>
        <v/>
      </c>
      <c r="AO224" s="6">
        <f>B224*0.165</f>
        <v/>
      </c>
      <c r="AP224" s="6">
        <f>MAX(0,AL224-AM224-AO224)</f>
        <v/>
      </c>
      <c r="AQ224" s="6">
        <f>IF(AP224&lt;=490,0,IF(AP224&lt;=600,(AP224-490)*0.05,IF(AP224&lt;=730,5.5+(AP224-600)*0.10,IF(AP224&lt;=3896.67,18.5+(AP224-730)*0.175,IF(AP224&lt;=19896.67,572.67+(AP224-3896.67)*0.25,IF(AP224&lt;=50416.67,4572.67+(AP224-19896.67)*0.30,13728.67+(AP224-50416.67)*0.35))))))</f>
        <v/>
      </c>
      <c r="AR224" s="6">
        <f>SUM(AM224,AQ224,W224,X224,Y224,Z224,AA224,AN224,AO224)</f>
        <v/>
      </c>
      <c r="AS224" s="6">
        <f>AL224-AR224</f>
        <v/>
      </c>
      <c r="AT224" s="6">
        <f>AB224-AC224</f>
        <v/>
      </c>
    </row>
    <row r="225">
      <c r="A225" s="2" t="n"/>
      <c r="B225" s="3" t="n"/>
      <c r="C225" s="4" t="n"/>
      <c r="D225" s="5" t="n"/>
      <c r="E225" s="3" t="n"/>
      <c r="F225" s="4" t="n"/>
      <c r="G225" s="5" t="n"/>
      <c r="H225" s="3" t="n"/>
      <c r="I225" s="4" t="n"/>
      <c r="J225" s="5" t="n"/>
      <c r="K225" s="3" t="n"/>
      <c r="L225" s="4" t="n"/>
      <c r="M225" s="5" t="n"/>
      <c r="N225" s="3" t="n"/>
      <c r="O225" s="4" t="n"/>
      <c r="P225" s="5" t="n"/>
      <c r="Q225" s="3" t="n"/>
      <c r="R225" s="4" t="n"/>
      <c r="S225" s="5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6">
        <f>IF(C225=0,0,IF(E225="",B225*D225/100,E225))</f>
        <v/>
      </c>
      <c r="AE225" s="6">
        <f>IF(F225=0,0,IF(H225="",B225*G225/100,H225))</f>
        <v/>
      </c>
      <c r="AF225" s="6">
        <f>IF(I225=0,0,IF(K225="",B225*J225/100,K225))</f>
        <v/>
      </c>
      <c r="AG225" s="6">
        <f>IF(L225=0,0,IF(N225="",B225*M225/100,N225))</f>
        <v/>
      </c>
      <c r="AH225" s="6">
        <f>IF(O225=0,0,IF(Q225="",B225*P225/100,Q225))</f>
        <v/>
      </c>
      <c r="AI225" s="6">
        <f>IF(R225=0,0,IF(T225="",B225*S225/100,T225))</f>
        <v/>
      </c>
      <c r="AJ225" s="6">
        <f>B225*0.035</f>
        <v/>
      </c>
      <c r="AK225" s="6">
        <f>B225*0.065</f>
        <v/>
      </c>
      <c r="AL225" s="6">
        <f>SUM(B225,AD225,AE225,AF225,AG225,AH225,AI225,U225,V225,AJ225,AK225)</f>
        <v/>
      </c>
      <c r="AM225" s="6">
        <f>B225*0.055</f>
        <v/>
      </c>
      <c r="AN225" s="6">
        <f>B225*0.035</f>
        <v/>
      </c>
      <c r="AO225" s="6">
        <f>B225*0.165</f>
        <v/>
      </c>
      <c r="AP225" s="6">
        <f>MAX(0,AL225-AM225-AO225)</f>
        <v/>
      </c>
      <c r="AQ225" s="6">
        <f>IF(AP225&lt;=490,0,IF(AP225&lt;=600,(AP225-490)*0.05,IF(AP225&lt;=730,5.5+(AP225-600)*0.10,IF(AP225&lt;=3896.67,18.5+(AP225-730)*0.175,IF(AP225&lt;=19896.67,572.67+(AP225-3896.67)*0.25,IF(AP225&lt;=50416.67,4572.67+(AP225-19896.67)*0.30,13728.67+(AP225-50416.67)*0.35))))))</f>
        <v/>
      </c>
      <c r="AR225" s="6">
        <f>SUM(AM225,AQ225,W225,X225,Y225,Z225,AA225,AN225,AO225)</f>
        <v/>
      </c>
      <c r="AS225" s="6">
        <f>AL225-AR225</f>
        <v/>
      </c>
      <c r="AT225" s="6">
        <f>AB225-AC225</f>
        <v/>
      </c>
    </row>
    <row r="226">
      <c r="A226" s="2" t="n"/>
      <c r="B226" s="3" t="n"/>
      <c r="C226" s="4" t="n"/>
      <c r="D226" s="5" t="n"/>
      <c r="E226" s="3" t="n"/>
      <c r="F226" s="4" t="n"/>
      <c r="G226" s="5" t="n"/>
      <c r="H226" s="3" t="n"/>
      <c r="I226" s="4" t="n"/>
      <c r="J226" s="5" t="n"/>
      <c r="K226" s="3" t="n"/>
      <c r="L226" s="4" t="n"/>
      <c r="M226" s="5" t="n"/>
      <c r="N226" s="3" t="n"/>
      <c r="O226" s="4" t="n"/>
      <c r="P226" s="5" t="n"/>
      <c r="Q226" s="3" t="n"/>
      <c r="R226" s="4" t="n"/>
      <c r="S226" s="5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6">
        <f>IF(C226=0,0,IF(E226="",B226*D226/100,E226))</f>
        <v/>
      </c>
      <c r="AE226" s="6">
        <f>IF(F226=0,0,IF(H226="",B226*G226/100,H226))</f>
        <v/>
      </c>
      <c r="AF226" s="6">
        <f>IF(I226=0,0,IF(K226="",B226*J226/100,K226))</f>
        <v/>
      </c>
      <c r="AG226" s="6">
        <f>IF(L226=0,0,IF(N226="",B226*M226/100,N226))</f>
        <v/>
      </c>
      <c r="AH226" s="6">
        <f>IF(O226=0,0,IF(Q226="",B226*P226/100,Q226))</f>
        <v/>
      </c>
      <c r="AI226" s="6">
        <f>IF(R226=0,0,IF(T226="",B226*S226/100,T226))</f>
        <v/>
      </c>
      <c r="AJ226" s="6">
        <f>B226*0.035</f>
        <v/>
      </c>
      <c r="AK226" s="6">
        <f>B226*0.065</f>
        <v/>
      </c>
      <c r="AL226" s="6">
        <f>SUM(B226,AD226,AE226,AF226,AG226,AH226,AI226,U226,V226,AJ226,AK226)</f>
        <v/>
      </c>
      <c r="AM226" s="6">
        <f>B226*0.055</f>
        <v/>
      </c>
      <c r="AN226" s="6">
        <f>B226*0.035</f>
        <v/>
      </c>
      <c r="AO226" s="6">
        <f>B226*0.165</f>
        <v/>
      </c>
      <c r="AP226" s="6">
        <f>MAX(0,AL226-AM226-AO226)</f>
        <v/>
      </c>
      <c r="AQ226" s="6">
        <f>IF(AP226&lt;=490,0,IF(AP226&lt;=600,(AP226-490)*0.05,IF(AP226&lt;=730,5.5+(AP226-600)*0.10,IF(AP226&lt;=3896.67,18.5+(AP226-730)*0.175,IF(AP226&lt;=19896.67,572.67+(AP226-3896.67)*0.25,IF(AP226&lt;=50416.67,4572.67+(AP226-19896.67)*0.30,13728.67+(AP226-50416.67)*0.35))))))</f>
        <v/>
      </c>
      <c r="AR226" s="6">
        <f>SUM(AM226,AQ226,W226,X226,Y226,Z226,AA226,AN226,AO226)</f>
        <v/>
      </c>
      <c r="AS226" s="6">
        <f>AL226-AR226</f>
        <v/>
      </c>
      <c r="AT226" s="6">
        <f>AB226-AC226</f>
        <v/>
      </c>
    </row>
    <row r="227">
      <c r="A227" s="2" t="n"/>
      <c r="B227" s="3" t="n"/>
      <c r="C227" s="4" t="n"/>
      <c r="D227" s="5" t="n"/>
      <c r="E227" s="3" t="n"/>
      <c r="F227" s="4" t="n"/>
      <c r="G227" s="5" t="n"/>
      <c r="H227" s="3" t="n"/>
      <c r="I227" s="4" t="n"/>
      <c r="J227" s="5" t="n"/>
      <c r="K227" s="3" t="n"/>
      <c r="L227" s="4" t="n"/>
      <c r="M227" s="5" t="n"/>
      <c r="N227" s="3" t="n"/>
      <c r="O227" s="4" t="n"/>
      <c r="P227" s="5" t="n"/>
      <c r="Q227" s="3" t="n"/>
      <c r="R227" s="4" t="n"/>
      <c r="S227" s="5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6">
        <f>IF(C227=0,0,IF(E227="",B227*D227/100,E227))</f>
        <v/>
      </c>
      <c r="AE227" s="6">
        <f>IF(F227=0,0,IF(H227="",B227*G227/100,H227))</f>
        <v/>
      </c>
      <c r="AF227" s="6">
        <f>IF(I227=0,0,IF(K227="",B227*J227/100,K227))</f>
        <v/>
      </c>
      <c r="AG227" s="6">
        <f>IF(L227=0,0,IF(N227="",B227*M227/100,N227))</f>
        <v/>
      </c>
      <c r="AH227" s="6">
        <f>IF(O227=0,0,IF(Q227="",B227*P227/100,Q227))</f>
        <v/>
      </c>
      <c r="AI227" s="6">
        <f>IF(R227=0,0,IF(T227="",B227*S227/100,T227))</f>
        <v/>
      </c>
      <c r="AJ227" s="6">
        <f>B227*0.035</f>
        <v/>
      </c>
      <c r="AK227" s="6">
        <f>B227*0.065</f>
        <v/>
      </c>
      <c r="AL227" s="6">
        <f>SUM(B227,AD227,AE227,AF227,AG227,AH227,AI227,U227,V227,AJ227,AK227)</f>
        <v/>
      </c>
      <c r="AM227" s="6">
        <f>B227*0.055</f>
        <v/>
      </c>
      <c r="AN227" s="6">
        <f>B227*0.035</f>
        <v/>
      </c>
      <c r="AO227" s="6">
        <f>B227*0.165</f>
        <v/>
      </c>
      <c r="AP227" s="6">
        <f>MAX(0,AL227-AM227-AO227)</f>
        <v/>
      </c>
      <c r="AQ227" s="6">
        <f>IF(AP227&lt;=490,0,IF(AP227&lt;=600,(AP227-490)*0.05,IF(AP227&lt;=730,5.5+(AP227-600)*0.10,IF(AP227&lt;=3896.67,18.5+(AP227-730)*0.175,IF(AP227&lt;=19896.67,572.67+(AP227-3896.67)*0.25,IF(AP227&lt;=50416.67,4572.67+(AP227-19896.67)*0.30,13728.67+(AP227-50416.67)*0.35))))))</f>
        <v/>
      </c>
      <c r="AR227" s="6">
        <f>SUM(AM227,AQ227,W227,X227,Y227,Z227,AA227,AN227,AO227)</f>
        <v/>
      </c>
      <c r="AS227" s="6">
        <f>AL227-AR227</f>
        <v/>
      </c>
      <c r="AT227" s="6">
        <f>AB227-AC227</f>
        <v/>
      </c>
    </row>
    <row r="228">
      <c r="A228" s="2" t="n"/>
      <c r="B228" s="3" t="n"/>
      <c r="C228" s="4" t="n"/>
      <c r="D228" s="5" t="n"/>
      <c r="E228" s="3" t="n"/>
      <c r="F228" s="4" t="n"/>
      <c r="G228" s="5" t="n"/>
      <c r="H228" s="3" t="n"/>
      <c r="I228" s="4" t="n"/>
      <c r="J228" s="5" t="n"/>
      <c r="K228" s="3" t="n"/>
      <c r="L228" s="4" t="n"/>
      <c r="M228" s="5" t="n"/>
      <c r="N228" s="3" t="n"/>
      <c r="O228" s="4" t="n"/>
      <c r="P228" s="5" t="n"/>
      <c r="Q228" s="3" t="n"/>
      <c r="R228" s="4" t="n"/>
      <c r="S228" s="5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6">
        <f>IF(C228=0,0,IF(E228="",B228*D228/100,E228))</f>
        <v/>
      </c>
      <c r="AE228" s="6">
        <f>IF(F228=0,0,IF(H228="",B228*G228/100,H228))</f>
        <v/>
      </c>
      <c r="AF228" s="6">
        <f>IF(I228=0,0,IF(K228="",B228*J228/100,K228))</f>
        <v/>
      </c>
      <c r="AG228" s="6">
        <f>IF(L228=0,0,IF(N228="",B228*M228/100,N228))</f>
        <v/>
      </c>
      <c r="AH228" s="6">
        <f>IF(O228=0,0,IF(Q228="",B228*P228/100,Q228))</f>
        <v/>
      </c>
      <c r="AI228" s="6">
        <f>IF(R228=0,0,IF(T228="",B228*S228/100,T228))</f>
        <v/>
      </c>
      <c r="AJ228" s="6">
        <f>B228*0.035</f>
        <v/>
      </c>
      <c r="AK228" s="6">
        <f>B228*0.065</f>
        <v/>
      </c>
      <c r="AL228" s="6">
        <f>SUM(B228,AD228,AE228,AF228,AG228,AH228,AI228,U228,V228,AJ228,AK228)</f>
        <v/>
      </c>
      <c r="AM228" s="6">
        <f>B228*0.055</f>
        <v/>
      </c>
      <c r="AN228" s="6">
        <f>B228*0.035</f>
        <v/>
      </c>
      <c r="AO228" s="6">
        <f>B228*0.165</f>
        <v/>
      </c>
      <c r="AP228" s="6">
        <f>MAX(0,AL228-AM228-AO228)</f>
        <v/>
      </c>
      <c r="AQ228" s="6">
        <f>IF(AP228&lt;=490,0,IF(AP228&lt;=600,(AP228-490)*0.05,IF(AP228&lt;=730,5.5+(AP228-600)*0.10,IF(AP228&lt;=3896.67,18.5+(AP228-730)*0.175,IF(AP228&lt;=19896.67,572.67+(AP228-3896.67)*0.25,IF(AP228&lt;=50416.67,4572.67+(AP228-19896.67)*0.30,13728.67+(AP228-50416.67)*0.35))))))</f>
        <v/>
      </c>
      <c r="AR228" s="6">
        <f>SUM(AM228,AQ228,W228,X228,Y228,Z228,AA228,AN228,AO228)</f>
        <v/>
      </c>
      <c r="AS228" s="6">
        <f>AL228-AR228</f>
        <v/>
      </c>
      <c r="AT228" s="6">
        <f>AB228-AC228</f>
        <v/>
      </c>
    </row>
    <row r="229">
      <c r="A229" s="2" t="n"/>
      <c r="B229" s="3" t="n"/>
      <c r="C229" s="4" t="n"/>
      <c r="D229" s="5" t="n"/>
      <c r="E229" s="3" t="n"/>
      <c r="F229" s="4" t="n"/>
      <c r="G229" s="5" t="n"/>
      <c r="H229" s="3" t="n"/>
      <c r="I229" s="4" t="n"/>
      <c r="J229" s="5" t="n"/>
      <c r="K229" s="3" t="n"/>
      <c r="L229" s="4" t="n"/>
      <c r="M229" s="5" t="n"/>
      <c r="N229" s="3" t="n"/>
      <c r="O229" s="4" t="n"/>
      <c r="P229" s="5" t="n"/>
      <c r="Q229" s="3" t="n"/>
      <c r="R229" s="4" t="n"/>
      <c r="S229" s="5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6">
        <f>IF(C229=0,0,IF(E229="",B229*D229/100,E229))</f>
        <v/>
      </c>
      <c r="AE229" s="6">
        <f>IF(F229=0,0,IF(H229="",B229*G229/100,H229))</f>
        <v/>
      </c>
      <c r="AF229" s="6">
        <f>IF(I229=0,0,IF(K229="",B229*J229/100,K229))</f>
        <v/>
      </c>
      <c r="AG229" s="6">
        <f>IF(L229=0,0,IF(N229="",B229*M229/100,N229))</f>
        <v/>
      </c>
      <c r="AH229" s="6">
        <f>IF(O229=0,0,IF(Q229="",B229*P229/100,Q229))</f>
        <v/>
      </c>
      <c r="AI229" s="6">
        <f>IF(R229=0,0,IF(T229="",B229*S229/100,T229))</f>
        <v/>
      </c>
      <c r="AJ229" s="6">
        <f>B229*0.035</f>
        <v/>
      </c>
      <c r="AK229" s="6">
        <f>B229*0.065</f>
        <v/>
      </c>
      <c r="AL229" s="6">
        <f>SUM(B229,AD229,AE229,AF229,AG229,AH229,AI229,U229,V229,AJ229,AK229)</f>
        <v/>
      </c>
      <c r="AM229" s="6">
        <f>B229*0.055</f>
        <v/>
      </c>
      <c r="AN229" s="6">
        <f>B229*0.035</f>
        <v/>
      </c>
      <c r="AO229" s="6">
        <f>B229*0.165</f>
        <v/>
      </c>
      <c r="AP229" s="6">
        <f>MAX(0,AL229-AM229-AO229)</f>
        <v/>
      </c>
      <c r="AQ229" s="6">
        <f>IF(AP229&lt;=490,0,IF(AP229&lt;=600,(AP229-490)*0.05,IF(AP229&lt;=730,5.5+(AP229-600)*0.10,IF(AP229&lt;=3896.67,18.5+(AP229-730)*0.175,IF(AP229&lt;=19896.67,572.67+(AP229-3896.67)*0.25,IF(AP229&lt;=50416.67,4572.67+(AP229-19896.67)*0.30,13728.67+(AP229-50416.67)*0.35))))))</f>
        <v/>
      </c>
      <c r="AR229" s="6">
        <f>SUM(AM229,AQ229,W229,X229,Y229,Z229,AA229,AN229,AO229)</f>
        <v/>
      </c>
      <c r="AS229" s="6">
        <f>AL229-AR229</f>
        <v/>
      </c>
      <c r="AT229" s="6">
        <f>AB229-AC229</f>
        <v/>
      </c>
    </row>
    <row r="230">
      <c r="A230" s="2" t="n"/>
      <c r="B230" s="3" t="n"/>
      <c r="C230" s="4" t="n"/>
      <c r="D230" s="5" t="n"/>
      <c r="E230" s="3" t="n"/>
      <c r="F230" s="4" t="n"/>
      <c r="G230" s="5" t="n"/>
      <c r="H230" s="3" t="n"/>
      <c r="I230" s="4" t="n"/>
      <c r="J230" s="5" t="n"/>
      <c r="K230" s="3" t="n"/>
      <c r="L230" s="4" t="n"/>
      <c r="M230" s="5" t="n"/>
      <c r="N230" s="3" t="n"/>
      <c r="O230" s="4" t="n"/>
      <c r="P230" s="5" t="n"/>
      <c r="Q230" s="3" t="n"/>
      <c r="R230" s="4" t="n"/>
      <c r="S230" s="5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6">
        <f>IF(C230=0,0,IF(E230="",B230*D230/100,E230))</f>
        <v/>
      </c>
      <c r="AE230" s="6">
        <f>IF(F230=0,0,IF(H230="",B230*G230/100,H230))</f>
        <v/>
      </c>
      <c r="AF230" s="6">
        <f>IF(I230=0,0,IF(K230="",B230*J230/100,K230))</f>
        <v/>
      </c>
      <c r="AG230" s="6">
        <f>IF(L230=0,0,IF(N230="",B230*M230/100,N230))</f>
        <v/>
      </c>
      <c r="AH230" s="6">
        <f>IF(O230=0,0,IF(Q230="",B230*P230/100,Q230))</f>
        <v/>
      </c>
      <c r="AI230" s="6">
        <f>IF(R230=0,0,IF(T230="",B230*S230/100,T230))</f>
        <v/>
      </c>
      <c r="AJ230" s="6">
        <f>B230*0.035</f>
        <v/>
      </c>
      <c r="AK230" s="6">
        <f>B230*0.065</f>
        <v/>
      </c>
      <c r="AL230" s="6">
        <f>SUM(B230,AD230,AE230,AF230,AG230,AH230,AI230,U230,V230,AJ230,AK230)</f>
        <v/>
      </c>
      <c r="AM230" s="6">
        <f>B230*0.055</f>
        <v/>
      </c>
      <c r="AN230" s="6">
        <f>B230*0.035</f>
        <v/>
      </c>
      <c r="AO230" s="6">
        <f>B230*0.165</f>
        <v/>
      </c>
      <c r="AP230" s="6">
        <f>MAX(0,AL230-AM230-AO230)</f>
        <v/>
      </c>
      <c r="AQ230" s="6">
        <f>IF(AP230&lt;=490,0,IF(AP230&lt;=600,(AP230-490)*0.05,IF(AP230&lt;=730,5.5+(AP230-600)*0.10,IF(AP230&lt;=3896.67,18.5+(AP230-730)*0.175,IF(AP230&lt;=19896.67,572.67+(AP230-3896.67)*0.25,IF(AP230&lt;=50416.67,4572.67+(AP230-19896.67)*0.30,13728.67+(AP230-50416.67)*0.35))))))</f>
        <v/>
      </c>
      <c r="AR230" s="6">
        <f>SUM(AM230,AQ230,W230,X230,Y230,Z230,AA230,AN230,AO230)</f>
        <v/>
      </c>
      <c r="AS230" s="6">
        <f>AL230-AR230</f>
        <v/>
      </c>
      <c r="AT230" s="6">
        <f>AB230-AC230</f>
        <v/>
      </c>
    </row>
    <row r="231">
      <c r="A231" s="2" t="n"/>
      <c r="B231" s="3" t="n"/>
      <c r="C231" s="4" t="n"/>
      <c r="D231" s="5" t="n"/>
      <c r="E231" s="3" t="n"/>
      <c r="F231" s="4" t="n"/>
      <c r="G231" s="5" t="n"/>
      <c r="H231" s="3" t="n"/>
      <c r="I231" s="4" t="n"/>
      <c r="J231" s="5" t="n"/>
      <c r="K231" s="3" t="n"/>
      <c r="L231" s="4" t="n"/>
      <c r="M231" s="5" t="n"/>
      <c r="N231" s="3" t="n"/>
      <c r="O231" s="4" t="n"/>
      <c r="P231" s="5" t="n"/>
      <c r="Q231" s="3" t="n"/>
      <c r="R231" s="4" t="n"/>
      <c r="S231" s="5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6">
        <f>IF(C231=0,0,IF(E231="",B231*D231/100,E231))</f>
        <v/>
      </c>
      <c r="AE231" s="6">
        <f>IF(F231=0,0,IF(H231="",B231*G231/100,H231))</f>
        <v/>
      </c>
      <c r="AF231" s="6">
        <f>IF(I231=0,0,IF(K231="",B231*J231/100,K231))</f>
        <v/>
      </c>
      <c r="AG231" s="6">
        <f>IF(L231=0,0,IF(N231="",B231*M231/100,N231))</f>
        <v/>
      </c>
      <c r="AH231" s="6">
        <f>IF(O231=0,0,IF(Q231="",B231*P231/100,Q231))</f>
        <v/>
      </c>
      <c r="AI231" s="6">
        <f>IF(R231=0,0,IF(T231="",B231*S231/100,T231))</f>
        <v/>
      </c>
      <c r="AJ231" s="6">
        <f>B231*0.035</f>
        <v/>
      </c>
      <c r="AK231" s="6">
        <f>B231*0.065</f>
        <v/>
      </c>
      <c r="AL231" s="6">
        <f>SUM(B231,AD231,AE231,AF231,AG231,AH231,AI231,U231,V231,AJ231,AK231)</f>
        <v/>
      </c>
      <c r="AM231" s="6">
        <f>B231*0.055</f>
        <v/>
      </c>
      <c r="AN231" s="6">
        <f>B231*0.035</f>
        <v/>
      </c>
      <c r="AO231" s="6">
        <f>B231*0.165</f>
        <v/>
      </c>
      <c r="AP231" s="6">
        <f>MAX(0,AL231-AM231-AO231)</f>
        <v/>
      </c>
      <c r="AQ231" s="6">
        <f>IF(AP231&lt;=490,0,IF(AP231&lt;=600,(AP231-490)*0.05,IF(AP231&lt;=730,5.5+(AP231-600)*0.10,IF(AP231&lt;=3896.67,18.5+(AP231-730)*0.175,IF(AP231&lt;=19896.67,572.67+(AP231-3896.67)*0.25,IF(AP231&lt;=50416.67,4572.67+(AP231-19896.67)*0.30,13728.67+(AP231-50416.67)*0.35))))))</f>
        <v/>
      </c>
      <c r="AR231" s="6">
        <f>SUM(AM231,AQ231,W231,X231,Y231,Z231,AA231,AN231,AO231)</f>
        <v/>
      </c>
      <c r="AS231" s="6">
        <f>AL231-AR231</f>
        <v/>
      </c>
      <c r="AT231" s="6">
        <f>AB231-AC231</f>
        <v/>
      </c>
    </row>
    <row r="232">
      <c r="A232" s="2" t="n"/>
      <c r="B232" s="3" t="n"/>
      <c r="C232" s="4" t="n"/>
      <c r="D232" s="5" t="n"/>
      <c r="E232" s="3" t="n"/>
      <c r="F232" s="4" t="n"/>
      <c r="G232" s="5" t="n"/>
      <c r="H232" s="3" t="n"/>
      <c r="I232" s="4" t="n"/>
      <c r="J232" s="5" t="n"/>
      <c r="K232" s="3" t="n"/>
      <c r="L232" s="4" t="n"/>
      <c r="M232" s="5" t="n"/>
      <c r="N232" s="3" t="n"/>
      <c r="O232" s="4" t="n"/>
      <c r="P232" s="5" t="n"/>
      <c r="Q232" s="3" t="n"/>
      <c r="R232" s="4" t="n"/>
      <c r="S232" s="5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6">
        <f>IF(C232=0,0,IF(E232="",B232*D232/100,E232))</f>
        <v/>
      </c>
      <c r="AE232" s="6">
        <f>IF(F232=0,0,IF(H232="",B232*G232/100,H232))</f>
        <v/>
      </c>
      <c r="AF232" s="6">
        <f>IF(I232=0,0,IF(K232="",B232*J232/100,K232))</f>
        <v/>
      </c>
      <c r="AG232" s="6">
        <f>IF(L232=0,0,IF(N232="",B232*M232/100,N232))</f>
        <v/>
      </c>
      <c r="AH232" s="6">
        <f>IF(O232=0,0,IF(Q232="",B232*P232/100,Q232))</f>
        <v/>
      </c>
      <c r="AI232" s="6">
        <f>IF(R232=0,0,IF(T232="",B232*S232/100,T232))</f>
        <v/>
      </c>
      <c r="AJ232" s="6">
        <f>B232*0.035</f>
        <v/>
      </c>
      <c r="AK232" s="6">
        <f>B232*0.065</f>
        <v/>
      </c>
      <c r="AL232" s="6">
        <f>SUM(B232,AD232,AE232,AF232,AG232,AH232,AI232,U232,V232,AJ232,AK232)</f>
        <v/>
      </c>
      <c r="AM232" s="6">
        <f>B232*0.055</f>
        <v/>
      </c>
      <c r="AN232" s="6">
        <f>B232*0.035</f>
        <v/>
      </c>
      <c r="AO232" s="6">
        <f>B232*0.165</f>
        <v/>
      </c>
      <c r="AP232" s="6">
        <f>MAX(0,AL232-AM232-AO232)</f>
        <v/>
      </c>
      <c r="AQ232" s="6">
        <f>IF(AP232&lt;=490,0,IF(AP232&lt;=600,(AP232-490)*0.05,IF(AP232&lt;=730,5.5+(AP232-600)*0.10,IF(AP232&lt;=3896.67,18.5+(AP232-730)*0.175,IF(AP232&lt;=19896.67,572.67+(AP232-3896.67)*0.25,IF(AP232&lt;=50416.67,4572.67+(AP232-19896.67)*0.30,13728.67+(AP232-50416.67)*0.35))))))</f>
        <v/>
      </c>
      <c r="AR232" s="6">
        <f>SUM(AM232,AQ232,W232,X232,Y232,Z232,AA232,AN232,AO232)</f>
        <v/>
      </c>
      <c r="AS232" s="6">
        <f>AL232-AR232</f>
        <v/>
      </c>
      <c r="AT232" s="6">
        <f>AB232-AC232</f>
        <v/>
      </c>
    </row>
    <row r="233">
      <c r="A233" s="2" t="n"/>
      <c r="B233" s="3" t="n"/>
      <c r="C233" s="4" t="n"/>
      <c r="D233" s="5" t="n"/>
      <c r="E233" s="3" t="n"/>
      <c r="F233" s="4" t="n"/>
      <c r="G233" s="5" t="n"/>
      <c r="H233" s="3" t="n"/>
      <c r="I233" s="4" t="n"/>
      <c r="J233" s="5" t="n"/>
      <c r="K233" s="3" t="n"/>
      <c r="L233" s="4" t="n"/>
      <c r="M233" s="5" t="n"/>
      <c r="N233" s="3" t="n"/>
      <c r="O233" s="4" t="n"/>
      <c r="P233" s="5" t="n"/>
      <c r="Q233" s="3" t="n"/>
      <c r="R233" s="4" t="n"/>
      <c r="S233" s="5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6">
        <f>IF(C233=0,0,IF(E233="",B233*D233/100,E233))</f>
        <v/>
      </c>
      <c r="AE233" s="6">
        <f>IF(F233=0,0,IF(H233="",B233*G233/100,H233))</f>
        <v/>
      </c>
      <c r="AF233" s="6">
        <f>IF(I233=0,0,IF(K233="",B233*J233/100,K233))</f>
        <v/>
      </c>
      <c r="AG233" s="6">
        <f>IF(L233=0,0,IF(N233="",B233*M233/100,N233))</f>
        <v/>
      </c>
      <c r="AH233" s="6">
        <f>IF(O233=0,0,IF(Q233="",B233*P233/100,Q233))</f>
        <v/>
      </c>
      <c r="AI233" s="6">
        <f>IF(R233=0,0,IF(T233="",B233*S233/100,T233))</f>
        <v/>
      </c>
      <c r="AJ233" s="6">
        <f>B233*0.035</f>
        <v/>
      </c>
      <c r="AK233" s="6">
        <f>B233*0.065</f>
        <v/>
      </c>
      <c r="AL233" s="6">
        <f>SUM(B233,AD233,AE233,AF233,AG233,AH233,AI233,U233,V233,AJ233,AK233)</f>
        <v/>
      </c>
      <c r="AM233" s="6">
        <f>B233*0.055</f>
        <v/>
      </c>
      <c r="AN233" s="6">
        <f>B233*0.035</f>
        <v/>
      </c>
      <c r="AO233" s="6">
        <f>B233*0.165</f>
        <v/>
      </c>
      <c r="AP233" s="6">
        <f>MAX(0,AL233-AM233-AO233)</f>
        <v/>
      </c>
      <c r="AQ233" s="6">
        <f>IF(AP233&lt;=490,0,IF(AP233&lt;=600,(AP233-490)*0.05,IF(AP233&lt;=730,5.5+(AP233-600)*0.10,IF(AP233&lt;=3896.67,18.5+(AP233-730)*0.175,IF(AP233&lt;=19896.67,572.67+(AP233-3896.67)*0.25,IF(AP233&lt;=50416.67,4572.67+(AP233-19896.67)*0.30,13728.67+(AP233-50416.67)*0.35))))))</f>
        <v/>
      </c>
      <c r="AR233" s="6">
        <f>SUM(AM233,AQ233,W233,X233,Y233,Z233,AA233,AN233,AO233)</f>
        <v/>
      </c>
      <c r="AS233" s="6">
        <f>AL233-AR233</f>
        <v/>
      </c>
      <c r="AT233" s="6">
        <f>AB233-AC233</f>
        <v/>
      </c>
    </row>
    <row r="234">
      <c r="A234" s="2" t="n"/>
      <c r="B234" s="3" t="n"/>
      <c r="C234" s="4" t="n"/>
      <c r="D234" s="5" t="n"/>
      <c r="E234" s="3" t="n"/>
      <c r="F234" s="4" t="n"/>
      <c r="G234" s="5" t="n"/>
      <c r="H234" s="3" t="n"/>
      <c r="I234" s="4" t="n"/>
      <c r="J234" s="5" t="n"/>
      <c r="K234" s="3" t="n"/>
      <c r="L234" s="4" t="n"/>
      <c r="M234" s="5" t="n"/>
      <c r="N234" s="3" t="n"/>
      <c r="O234" s="4" t="n"/>
      <c r="P234" s="5" t="n"/>
      <c r="Q234" s="3" t="n"/>
      <c r="R234" s="4" t="n"/>
      <c r="S234" s="5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6">
        <f>IF(C234=0,0,IF(E234="",B234*D234/100,E234))</f>
        <v/>
      </c>
      <c r="AE234" s="6">
        <f>IF(F234=0,0,IF(H234="",B234*G234/100,H234))</f>
        <v/>
      </c>
      <c r="AF234" s="6">
        <f>IF(I234=0,0,IF(K234="",B234*J234/100,K234))</f>
        <v/>
      </c>
      <c r="AG234" s="6">
        <f>IF(L234=0,0,IF(N234="",B234*M234/100,N234))</f>
        <v/>
      </c>
      <c r="AH234" s="6">
        <f>IF(O234=0,0,IF(Q234="",B234*P234/100,Q234))</f>
        <v/>
      </c>
      <c r="AI234" s="6">
        <f>IF(R234=0,0,IF(T234="",B234*S234/100,T234))</f>
        <v/>
      </c>
      <c r="AJ234" s="6">
        <f>B234*0.035</f>
        <v/>
      </c>
      <c r="AK234" s="6">
        <f>B234*0.065</f>
        <v/>
      </c>
      <c r="AL234" s="6">
        <f>SUM(B234,AD234,AE234,AF234,AG234,AH234,AI234,U234,V234,AJ234,AK234)</f>
        <v/>
      </c>
      <c r="AM234" s="6">
        <f>B234*0.055</f>
        <v/>
      </c>
      <c r="AN234" s="6">
        <f>B234*0.035</f>
        <v/>
      </c>
      <c r="AO234" s="6">
        <f>B234*0.165</f>
        <v/>
      </c>
      <c r="AP234" s="6">
        <f>MAX(0,AL234-AM234-AO234)</f>
        <v/>
      </c>
      <c r="AQ234" s="6">
        <f>IF(AP234&lt;=490,0,IF(AP234&lt;=600,(AP234-490)*0.05,IF(AP234&lt;=730,5.5+(AP234-600)*0.10,IF(AP234&lt;=3896.67,18.5+(AP234-730)*0.175,IF(AP234&lt;=19896.67,572.67+(AP234-3896.67)*0.25,IF(AP234&lt;=50416.67,4572.67+(AP234-19896.67)*0.30,13728.67+(AP234-50416.67)*0.35))))))</f>
        <v/>
      </c>
      <c r="AR234" s="6">
        <f>SUM(AM234,AQ234,W234,X234,Y234,Z234,AA234,AN234,AO234)</f>
        <v/>
      </c>
      <c r="AS234" s="6">
        <f>AL234-AR234</f>
        <v/>
      </c>
      <c r="AT234" s="6">
        <f>AB234-AC234</f>
        <v/>
      </c>
    </row>
    <row r="235">
      <c r="A235" s="2" t="n"/>
      <c r="B235" s="3" t="n"/>
      <c r="C235" s="4" t="n"/>
      <c r="D235" s="5" t="n"/>
      <c r="E235" s="3" t="n"/>
      <c r="F235" s="4" t="n"/>
      <c r="G235" s="5" t="n"/>
      <c r="H235" s="3" t="n"/>
      <c r="I235" s="4" t="n"/>
      <c r="J235" s="5" t="n"/>
      <c r="K235" s="3" t="n"/>
      <c r="L235" s="4" t="n"/>
      <c r="M235" s="5" t="n"/>
      <c r="N235" s="3" t="n"/>
      <c r="O235" s="4" t="n"/>
      <c r="P235" s="5" t="n"/>
      <c r="Q235" s="3" t="n"/>
      <c r="R235" s="4" t="n"/>
      <c r="S235" s="5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6">
        <f>IF(C235=0,0,IF(E235="",B235*D235/100,E235))</f>
        <v/>
      </c>
      <c r="AE235" s="6">
        <f>IF(F235=0,0,IF(H235="",B235*G235/100,H235))</f>
        <v/>
      </c>
      <c r="AF235" s="6">
        <f>IF(I235=0,0,IF(K235="",B235*J235/100,K235))</f>
        <v/>
      </c>
      <c r="AG235" s="6">
        <f>IF(L235=0,0,IF(N235="",B235*M235/100,N235))</f>
        <v/>
      </c>
      <c r="AH235" s="6">
        <f>IF(O235=0,0,IF(Q235="",B235*P235/100,Q235))</f>
        <v/>
      </c>
      <c r="AI235" s="6">
        <f>IF(R235=0,0,IF(T235="",B235*S235/100,T235))</f>
        <v/>
      </c>
      <c r="AJ235" s="6">
        <f>B235*0.035</f>
        <v/>
      </c>
      <c r="AK235" s="6">
        <f>B235*0.065</f>
        <v/>
      </c>
      <c r="AL235" s="6">
        <f>SUM(B235,AD235,AE235,AF235,AG235,AH235,AI235,U235,V235,AJ235,AK235)</f>
        <v/>
      </c>
      <c r="AM235" s="6">
        <f>B235*0.055</f>
        <v/>
      </c>
      <c r="AN235" s="6">
        <f>B235*0.035</f>
        <v/>
      </c>
      <c r="AO235" s="6">
        <f>B235*0.165</f>
        <v/>
      </c>
      <c r="AP235" s="6">
        <f>MAX(0,AL235-AM235-AO235)</f>
        <v/>
      </c>
      <c r="AQ235" s="6">
        <f>IF(AP235&lt;=490,0,IF(AP235&lt;=600,(AP235-490)*0.05,IF(AP235&lt;=730,5.5+(AP235-600)*0.10,IF(AP235&lt;=3896.67,18.5+(AP235-730)*0.175,IF(AP235&lt;=19896.67,572.67+(AP235-3896.67)*0.25,IF(AP235&lt;=50416.67,4572.67+(AP235-19896.67)*0.30,13728.67+(AP235-50416.67)*0.35))))))</f>
        <v/>
      </c>
      <c r="AR235" s="6">
        <f>SUM(AM235,AQ235,W235,X235,Y235,Z235,AA235,AN235,AO235)</f>
        <v/>
      </c>
      <c r="AS235" s="6">
        <f>AL235-AR235</f>
        <v/>
      </c>
      <c r="AT235" s="6">
        <f>AB235-AC235</f>
        <v/>
      </c>
    </row>
    <row r="236">
      <c r="A236" s="2" t="n"/>
      <c r="B236" s="3" t="n"/>
      <c r="C236" s="4" t="n"/>
      <c r="D236" s="5" t="n"/>
      <c r="E236" s="3" t="n"/>
      <c r="F236" s="4" t="n"/>
      <c r="G236" s="5" t="n"/>
      <c r="H236" s="3" t="n"/>
      <c r="I236" s="4" t="n"/>
      <c r="J236" s="5" t="n"/>
      <c r="K236" s="3" t="n"/>
      <c r="L236" s="4" t="n"/>
      <c r="M236" s="5" t="n"/>
      <c r="N236" s="3" t="n"/>
      <c r="O236" s="4" t="n"/>
      <c r="P236" s="5" t="n"/>
      <c r="Q236" s="3" t="n"/>
      <c r="R236" s="4" t="n"/>
      <c r="S236" s="5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6">
        <f>IF(C236=0,0,IF(E236="",B236*D236/100,E236))</f>
        <v/>
      </c>
      <c r="AE236" s="6">
        <f>IF(F236=0,0,IF(H236="",B236*G236/100,H236))</f>
        <v/>
      </c>
      <c r="AF236" s="6">
        <f>IF(I236=0,0,IF(K236="",B236*J236/100,K236))</f>
        <v/>
      </c>
      <c r="AG236" s="6">
        <f>IF(L236=0,0,IF(N236="",B236*M236/100,N236))</f>
        <v/>
      </c>
      <c r="AH236" s="6">
        <f>IF(O236=0,0,IF(Q236="",B236*P236/100,Q236))</f>
        <v/>
      </c>
      <c r="AI236" s="6">
        <f>IF(R236=0,0,IF(T236="",B236*S236/100,T236))</f>
        <v/>
      </c>
      <c r="AJ236" s="6">
        <f>B236*0.035</f>
        <v/>
      </c>
      <c r="AK236" s="6">
        <f>B236*0.065</f>
        <v/>
      </c>
      <c r="AL236" s="6">
        <f>SUM(B236,AD236,AE236,AF236,AG236,AH236,AI236,U236,V236,AJ236,AK236)</f>
        <v/>
      </c>
      <c r="AM236" s="6">
        <f>B236*0.055</f>
        <v/>
      </c>
      <c r="AN236" s="6">
        <f>B236*0.035</f>
        <v/>
      </c>
      <c r="AO236" s="6">
        <f>B236*0.165</f>
        <v/>
      </c>
      <c r="AP236" s="6">
        <f>MAX(0,AL236-AM236-AO236)</f>
        <v/>
      </c>
      <c r="AQ236" s="6">
        <f>IF(AP236&lt;=490,0,IF(AP236&lt;=600,(AP236-490)*0.05,IF(AP236&lt;=730,5.5+(AP236-600)*0.10,IF(AP236&lt;=3896.67,18.5+(AP236-730)*0.175,IF(AP236&lt;=19896.67,572.67+(AP236-3896.67)*0.25,IF(AP236&lt;=50416.67,4572.67+(AP236-19896.67)*0.30,13728.67+(AP236-50416.67)*0.35))))))</f>
        <v/>
      </c>
      <c r="AR236" s="6">
        <f>SUM(AM236,AQ236,W236,X236,Y236,Z236,AA236,AN236,AO236)</f>
        <v/>
      </c>
      <c r="AS236" s="6">
        <f>AL236-AR236</f>
        <v/>
      </c>
      <c r="AT236" s="6">
        <f>AB236-AC236</f>
        <v/>
      </c>
    </row>
    <row r="237">
      <c r="A237" s="2" t="n"/>
      <c r="B237" s="3" t="n"/>
      <c r="C237" s="4" t="n"/>
      <c r="D237" s="5" t="n"/>
      <c r="E237" s="3" t="n"/>
      <c r="F237" s="4" t="n"/>
      <c r="G237" s="5" t="n"/>
      <c r="H237" s="3" t="n"/>
      <c r="I237" s="4" t="n"/>
      <c r="J237" s="5" t="n"/>
      <c r="K237" s="3" t="n"/>
      <c r="L237" s="4" t="n"/>
      <c r="M237" s="5" t="n"/>
      <c r="N237" s="3" t="n"/>
      <c r="O237" s="4" t="n"/>
      <c r="P237" s="5" t="n"/>
      <c r="Q237" s="3" t="n"/>
      <c r="R237" s="4" t="n"/>
      <c r="S237" s="5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6">
        <f>IF(C237=0,0,IF(E237="",B237*D237/100,E237))</f>
        <v/>
      </c>
      <c r="AE237" s="6">
        <f>IF(F237=0,0,IF(H237="",B237*G237/100,H237))</f>
        <v/>
      </c>
      <c r="AF237" s="6">
        <f>IF(I237=0,0,IF(K237="",B237*J237/100,K237))</f>
        <v/>
      </c>
      <c r="AG237" s="6">
        <f>IF(L237=0,0,IF(N237="",B237*M237/100,N237))</f>
        <v/>
      </c>
      <c r="AH237" s="6">
        <f>IF(O237=0,0,IF(Q237="",B237*P237/100,Q237))</f>
        <v/>
      </c>
      <c r="AI237" s="6">
        <f>IF(R237=0,0,IF(T237="",B237*S237/100,T237))</f>
        <v/>
      </c>
      <c r="AJ237" s="6">
        <f>B237*0.035</f>
        <v/>
      </c>
      <c r="AK237" s="6">
        <f>B237*0.065</f>
        <v/>
      </c>
      <c r="AL237" s="6">
        <f>SUM(B237,AD237,AE237,AF237,AG237,AH237,AI237,U237,V237,AJ237,AK237)</f>
        <v/>
      </c>
      <c r="AM237" s="6">
        <f>B237*0.055</f>
        <v/>
      </c>
      <c r="AN237" s="6">
        <f>B237*0.035</f>
        <v/>
      </c>
      <c r="AO237" s="6">
        <f>B237*0.165</f>
        <v/>
      </c>
      <c r="AP237" s="6">
        <f>MAX(0,AL237-AM237-AO237)</f>
        <v/>
      </c>
      <c r="AQ237" s="6">
        <f>IF(AP237&lt;=490,0,IF(AP237&lt;=600,(AP237-490)*0.05,IF(AP237&lt;=730,5.5+(AP237-600)*0.10,IF(AP237&lt;=3896.67,18.5+(AP237-730)*0.175,IF(AP237&lt;=19896.67,572.67+(AP237-3896.67)*0.25,IF(AP237&lt;=50416.67,4572.67+(AP237-19896.67)*0.30,13728.67+(AP237-50416.67)*0.35))))))</f>
        <v/>
      </c>
      <c r="AR237" s="6">
        <f>SUM(AM237,AQ237,W237,X237,Y237,Z237,AA237,AN237,AO237)</f>
        <v/>
      </c>
      <c r="AS237" s="6">
        <f>AL237-AR237</f>
        <v/>
      </c>
      <c r="AT237" s="6">
        <f>AB237-AC237</f>
        <v/>
      </c>
    </row>
    <row r="238">
      <c r="A238" s="2" t="n"/>
      <c r="B238" s="3" t="n"/>
      <c r="C238" s="4" t="n"/>
      <c r="D238" s="5" t="n"/>
      <c r="E238" s="3" t="n"/>
      <c r="F238" s="4" t="n"/>
      <c r="G238" s="5" t="n"/>
      <c r="H238" s="3" t="n"/>
      <c r="I238" s="4" t="n"/>
      <c r="J238" s="5" t="n"/>
      <c r="K238" s="3" t="n"/>
      <c r="L238" s="4" t="n"/>
      <c r="M238" s="5" t="n"/>
      <c r="N238" s="3" t="n"/>
      <c r="O238" s="4" t="n"/>
      <c r="P238" s="5" t="n"/>
      <c r="Q238" s="3" t="n"/>
      <c r="R238" s="4" t="n"/>
      <c r="S238" s="5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6">
        <f>IF(C238=0,0,IF(E238="",B238*D238/100,E238))</f>
        <v/>
      </c>
      <c r="AE238" s="6">
        <f>IF(F238=0,0,IF(H238="",B238*G238/100,H238))</f>
        <v/>
      </c>
      <c r="AF238" s="6">
        <f>IF(I238=0,0,IF(K238="",B238*J238/100,K238))</f>
        <v/>
      </c>
      <c r="AG238" s="6">
        <f>IF(L238=0,0,IF(N238="",B238*M238/100,N238))</f>
        <v/>
      </c>
      <c r="AH238" s="6">
        <f>IF(O238=0,0,IF(Q238="",B238*P238/100,Q238))</f>
        <v/>
      </c>
      <c r="AI238" s="6">
        <f>IF(R238=0,0,IF(T238="",B238*S238/100,T238))</f>
        <v/>
      </c>
      <c r="AJ238" s="6">
        <f>B238*0.035</f>
        <v/>
      </c>
      <c r="AK238" s="6">
        <f>B238*0.065</f>
        <v/>
      </c>
      <c r="AL238" s="6">
        <f>SUM(B238,AD238,AE238,AF238,AG238,AH238,AI238,U238,V238,AJ238,AK238)</f>
        <v/>
      </c>
      <c r="AM238" s="6">
        <f>B238*0.055</f>
        <v/>
      </c>
      <c r="AN238" s="6">
        <f>B238*0.035</f>
        <v/>
      </c>
      <c r="AO238" s="6">
        <f>B238*0.165</f>
        <v/>
      </c>
      <c r="AP238" s="6">
        <f>MAX(0,AL238-AM238-AO238)</f>
        <v/>
      </c>
      <c r="AQ238" s="6">
        <f>IF(AP238&lt;=490,0,IF(AP238&lt;=600,(AP238-490)*0.05,IF(AP238&lt;=730,5.5+(AP238-600)*0.10,IF(AP238&lt;=3896.67,18.5+(AP238-730)*0.175,IF(AP238&lt;=19896.67,572.67+(AP238-3896.67)*0.25,IF(AP238&lt;=50416.67,4572.67+(AP238-19896.67)*0.30,13728.67+(AP238-50416.67)*0.35))))))</f>
        <v/>
      </c>
      <c r="AR238" s="6">
        <f>SUM(AM238,AQ238,W238,X238,Y238,Z238,AA238,AN238,AO238)</f>
        <v/>
      </c>
      <c r="AS238" s="6">
        <f>AL238-AR238</f>
        <v/>
      </c>
      <c r="AT238" s="6">
        <f>AB238-AC238</f>
        <v/>
      </c>
    </row>
    <row r="239">
      <c r="A239" s="2" t="n"/>
      <c r="B239" s="3" t="n"/>
      <c r="C239" s="4" t="n"/>
      <c r="D239" s="5" t="n"/>
      <c r="E239" s="3" t="n"/>
      <c r="F239" s="4" t="n"/>
      <c r="G239" s="5" t="n"/>
      <c r="H239" s="3" t="n"/>
      <c r="I239" s="4" t="n"/>
      <c r="J239" s="5" t="n"/>
      <c r="K239" s="3" t="n"/>
      <c r="L239" s="4" t="n"/>
      <c r="M239" s="5" t="n"/>
      <c r="N239" s="3" t="n"/>
      <c r="O239" s="4" t="n"/>
      <c r="P239" s="5" t="n"/>
      <c r="Q239" s="3" t="n"/>
      <c r="R239" s="4" t="n"/>
      <c r="S239" s="5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6">
        <f>IF(C239=0,0,IF(E239="",B239*D239/100,E239))</f>
        <v/>
      </c>
      <c r="AE239" s="6">
        <f>IF(F239=0,0,IF(H239="",B239*G239/100,H239))</f>
        <v/>
      </c>
      <c r="AF239" s="6">
        <f>IF(I239=0,0,IF(K239="",B239*J239/100,K239))</f>
        <v/>
      </c>
      <c r="AG239" s="6">
        <f>IF(L239=0,0,IF(N239="",B239*M239/100,N239))</f>
        <v/>
      </c>
      <c r="AH239" s="6">
        <f>IF(O239=0,0,IF(Q239="",B239*P239/100,Q239))</f>
        <v/>
      </c>
      <c r="AI239" s="6">
        <f>IF(R239=0,0,IF(T239="",B239*S239/100,T239))</f>
        <v/>
      </c>
      <c r="AJ239" s="6">
        <f>B239*0.035</f>
        <v/>
      </c>
      <c r="AK239" s="6">
        <f>B239*0.065</f>
        <v/>
      </c>
      <c r="AL239" s="6">
        <f>SUM(B239,AD239,AE239,AF239,AG239,AH239,AI239,U239,V239,AJ239,AK239)</f>
        <v/>
      </c>
      <c r="AM239" s="6">
        <f>B239*0.055</f>
        <v/>
      </c>
      <c r="AN239" s="6">
        <f>B239*0.035</f>
        <v/>
      </c>
      <c r="AO239" s="6">
        <f>B239*0.165</f>
        <v/>
      </c>
      <c r="AP239" s="6">
        <f>MAX(0,AL239-AM239-AO239)</f>
        <v/>
      </c>
      <c r="AQ239" s="6">
        <f>IF(AP239&lt;=490,0,IF(AP239&lt;=600,(AP239-490)*0.05,IF(AP239&lt;=730,5.5+(AP239-600)*0.10,IF(AP239&lt;=3896.67,18.5+(AP239-730)*0.175,IF(AP239&lt;=19896.67,572.67+(AP239-3896.67)*0.25,IF(AP239&lt;=50416.67,4572.67+(AP239-19896.67)*0.30,13728.67+(AP239-50416.67)*0.35))))))</f>
        <v/>
      </c>
      <c r="AR239" s="6">
        <f>SUM(AM239,AQ239,W239,X239,Y239,Z239,AA239,AN239,AO239)</f>
        <v/>
      </c>
      <c r="AS239" s="6">
        <f>AL239-AR239</f>
        <v/>
      </c>
      <c r="AT239" s="6">
        <f>AB239-AC239</f>
        <v/>
      </c>
    </row>
    <row r="240">
      <c r="A240" s="2" t="n"/>
      <c r="B240" s="3" t="n"/>
      <c r="C240" s="4" t="n"/>
      <c r="D240" s="5" t="n"/>
      <c r="E240" s="3" t="n"/>
      <c r="F240" s="4" t="n"/>
      <c r="G240" s="5" t="n"/>
      <c r="H240" s="3" t="n"/>
      <c r="I240" s="4" t="n"/>
      <c r="J240" s="5" t="n"/>
      <c r="K240" s="3" t="n"/>
      <c r="L240" s="4" t="n"/>
      <c r="M240" s="5" t="n"/>
      <c r="N240" s="3" t="n"/>
      <c r="O240" s="4" t="n"/>
      <c r="P240" s="5" t="n"/>
      <c r="Q240" s="3" t="n"/>
      <c r="R240" s="4" t="n"/>
      <c r="S240" s="5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6">
        <f>IF(C240=0,0,IF(E240="",B240*D240/100,E240))</f>
        <v/>
      </c>
      <c r="AE240" s="6">
        <f>IF(F240=0,0,IF(H240="",B240*G240/100,H240))</f>
        <v/>
      </c>
      <c r="AF240" s="6">
        <f>IF(I240=0,0,IF(K240="",B240*J240/100,K240))</f>
        <v/>
      </c>
      <c r="AG240" s="6">
        <f>IF(L240=0,0,IF(N240="",B240*M240/100,N240))</f>
        <v/>
      </c>
      <c r="AH240" s="6">
        <f>IF(O240=0,0,IF(Q240="",B240*P240/100,Q240))</f>
        <v/>
      </c>
      <c r="AI240" s="6">
        <f>IF(R240=0,0,IF(T240="",B240*S240/100,T240))</f>
        <v/>
      </c>
      <c r="AJ240" s="6">
        <f>B240*0.035</f>
        <v/>
      </c>
      <c r="AK240" s="6">
        <f>B240*0.065</f>
        <v/>
      </c>
      <c r="AL240" s="6">
        <f>SUM(B240,AD240,AE240,AF240,AG240,AH240,AI240,U240,V240,AJ240,AK240)</f>
        <v/>
      </c>
      <c r="AM240" s="6">
        <f>B240*0.055</f>
        <v/>
      </c>
      <c r="AN240" s="6">
        <f>B240*0.035</f>
        <v/>
      </c>
      <c r="AO240" s="6">
        <f>B240*0.165</f>
        <v/>
      </c>
      <c r="AP240" s="6">
        <f>MAX(0,AL240-AM240-AO240)</f>
        <v/>
      </c>
      <c r="AQ240" s="6">
        <f>IF(AP240&lt;=490,0,IF(AP240&lt;=600,(AP240-490)*0.05,IF(AP240&lt;=730,5.5+(AP240-600)*0.10,IF(AP240&lt;=3896.67,18.5+(AP240-730)*0.175,IF(AP240&lt;=19896.67,572.67+(AP240-3896.67)*0.25,IF(AP240&lt;=50416.67,4572.67+(AP240-19896.67)*0.30,13728.67+(AP240-50416.67)*0.35))))))</f>
        <v/>
      </c>
      <c r="AR240" s="6">
        <f>SUM(AM240,AQ240,W240,X240,Y240,Z240,AA240,AN240,AO240)</f>
        <v/>
      </c>
      <c r="AS240" s="6">
        <f>AL240-AR240</f>
        <v/>
      </c>
      <c r="AT240" s="6">
        <f>AB240-AC240</f>
        <v/>
      </c>
    </row>
    <row r="241">
      <c r="A241" s="2" t="n"/>
      <c r="B241" s="3" t="n"/>
      <c r="C241" s="4" t="n"/>
      <c r="D241" s="5" t="n"/>
      <c r="E241" s="3" t="n"/>
      <c r="F241" s="4" t="n"/>
      <c r="G241" s="5" t="n"/>
      <c r="H241" s="3" t="n"/>
      <c r="I241" s="4" t="n"/>
      <c r="J241" s="5" t="n"/>
      <c r="K241" s="3" t="n"/>
      <c r="L241" s="4" t="n"/>
      <c r="M241" s="5" t="n"/>
      <c r="N241" s="3" t="n"/>
      <c r="O241" s="4" t="n"/>
      <c r="P241" s="5" t="n"/>
      <c r="Q241" s="3" t="n"/>
      <c r="R241" s="4" t="n"/>
      <c r="S241" s="5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6">
        <f>IF(C241=0,0,IF(E241="",B241*D241/100,E241))</f>
        <v/>
      </c>
      <c r="AE241" s="6">
        <f>IF(F241=0,0,IF(H241="",B241*G241/100,H241))</f>
        <v/>
      </c>
      <c r="AF241" s="6">
        <f>IF(I241=0,0,IF(K241="",B241*J241/100,K241))</f>
        <v/>
      </c>
      <c r="AG241" s="6">
        <f>IF(L241=0,0,IF(N241="",B241*M241/100,N241))</f>
        <v/>
      </c>
      <c r="AH241" s="6">
        <f>IF(O241=0,0,IF(Q241="",B241*P241/100,Q241))</f>
        <v/>
      </c>
      <c r="AI241" s="6">
        <f>IF(R241=0,0,IF(T241="",B241*S241/100,T241))</f>
        <v/>
      </c>
      <c r="AJ241" s="6">
        <f>B241*0.035</f>
        <v/>
      </c>
      <c r="AK241" s="6">
        <f>B241*0.065</f>
        <v/>
      </c>
      <c r="AL241" s="6">
        <f>SUM(B241,AD241,AE241,AF241,AG241,AH241,AI241,U241,V241,AJ241,AK241)</f>
        <v/>
      </c>
      <c r="AM241" s="6">
        <f>B241*0.055</f>
        <v/>
      </c>
      <c r="AN241" s="6">
        <f>B241*0.035</f>
        <v/>
      </c>
      <c r="AO241" s="6">
        <f>B241*0.165</f>
        <v/>
      </c>
      <c r="AP241" s="6">
        <f>MAX(0,AL241-AM241-AO241)</f>
        <v/>
      </c>
      <c r="AQ241" s="6">
        <f>IF(AP241&lt;=490,0,IF(AP241&lt;=600,(AP241-490)*0.05,IF(AP241&lt;=730,5.5+(AP241-600)*0.10,IF(AP241&lt;=3896.67,18.5+(AP241-730)*0.175,IF(AP241&lt;=19896.67,572.67+(AP241-3896.67)*0.25,IF(AP241&lt;=50416.67,4572.67+(AP241-19896.67)*0.30,13728.67+(AP241-50416.67)*0.35))))))</f>
        <v/>
      </c>
      <c r="AR241" s="6">
        <f>SUM(AM241,AQ241,W241,X241,Y241,Z241,AA241,AN241,AO241)</f>
        <v/>
      </c>
      <c r="AS241" s="6">
        <f>AL241-AR241</f>
        <v/>
      </c>
      <c r="AT241" s="6">
        <f>AB241-AC241</f>
        <v/>
      </c>
    </row>
    <row r="242">
      <c r="A242" s="2" t="n"/>
      <c r="B242" s="3" t="n"/>
      <c r="C242" s="4" t="n"/>
      <c r="D242" s="5" t="n"/>
      <c r="E242" s="3" t="n"/>
      <c r="F242" s="4" t="n"/>
      <c r="G242" s="5" t="n"/>
      <c r="H242" s="3" t="n"/>
      <c r="I242" s="4" t="n"/>
      <c r="J242" s="5" t="n"/>
      <c r="K242" s="3" t="n"/>
      <c r="L242" s="4" t="n"/>
      <c r="M242" s="5" t="n"/>
      <c r="N242" s="3" t="n"/>
      <c r="O242" s="4" t="n"/>
      <c r="P242" s="5" t="n"/>
      <c r="Q242" s="3" t="n"/>
      <c r="R242" s="4" t="n"/>
      <c r="S242" s="5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6">
        <f>IF(C242=0,0,IF(E242="",B242*D242/100,E242))</f>
        <v/>
      </c>
      <c r="AE242" s="6">
        <f>IF(F242=0,0,IF(H242="",B242*G242/100,H242))</f>
        <v/>
      </c>
      <c r="AF242" s="6">
        <f>IF(I242=0,0,IF(K242="",B242*J242/100,K242))</f>
        <v/>
      </c>
      <c r="AG242" s="6">
        <f>IF(L242=0,0,IF(N242="",B242*M242/100,N242))</f>
        <v/>
      </c>
      <c r="AH242" s="6">
        <f>IF(O242=0,0,IF(Q242="",B242*P242/100,Q242))</f>
        <v/>
      </c>
      <c r="AI242" s="6">
        <f>IF(R242=0,0,IF(T242="",B242*S242/100,T242))</f>
        <v/>
      </c>
      <c r="AJ242" s="6">
        <f>B242*0.035</f>
        <v/>
      </c>
      <c r="AK242" s="6">
        <f>B242*0.065</f>
        <v/>
      </c>
      <c r="AL242" s="6">
        <f>SUM(B242,AD242,AE242,AF242,AG242,AH242,AI242,U242,V242,AJ242,AK242)</f>
        <v/>
      </c>
      <c r="AM242" s="6">
        <f>B242*0.055</f>
        <v/>
      </c>
      <c r="AN242" s="6">
        <f>B242*0.035</f>
        <v/>
      </c>
      <c r="AO242" s="6">
        <f>B242*0.165</f>
        <v/>
      </c>
      <c r="AP242" s="6">
        <f>MAX(0,AL242-AM242-AO242)</f>
        <v/>
      </c>
      <c r="AQ242" s="6">
        <f>IF(AP242&lt;=490,0,IF(AP242&lt;=600,(AP242-490)*0.05,IF(AP242&lt;=730,5.5+(AP242-600)*0.10,IF(AP242&lt;=3896.67,18.5+(AP242-730)*0.175,IF(AP242&lt;=19896.67,572.67+(AP242-3896.67)*0.25,IF(AP242&lt;=50416.67,4572.67+(AP242-19896.67)*0.30,13728.67+(AP242-50416.67)*0.35))))))</f>
        <v/>
      </c>
      <c r="AR242" s="6">
        <f>SUM(AM242,AQ242,W242,X242,Y242,Z242,AA242,AN242,AO242)</f>
        <v/>
      </c>
      <c r="AS242" s="6">
        <f>AL242-AR242</f>
        <v/>
      </c>
      <c r="AT242" s="6">
        <f>AB242-AC242</f>
        <v/>
      </c>
    </row>
    <row r="243">
      <c r="A243" s="2" t="n"/>
      <c r="B243" s="3" t="n"/>
      <c r="C243" s="4" t="n"/>
      <c r="D243" s="5" t="n"/>
      <c r="E243" s="3" t="n"/>
      <c r="F243" s="4" t="n"/>
      <c r="G243" s="5" t="n"/>
      <c r="H243" s="3" t="n"/>
      <c r="I243" s="4" t="n"/>
      <c r="J243" s="5" t="n"/>
      <c r="K243" s="3" t="n"/>
      <c r="L243" s="4" t="n"/>
      <c r="M243" s="5" t="n"/>
      <c r="N243" s="3" t="n"/>
      <c r="O243" s="4" t="n"/>
      <c r="P243" s="5" t="n"/>
      <c r="Q243" s="3" t="n"/>
      <c r="R243" s="4" t="n"/>
      <c r="S243" s="5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6">
        <f>IF(C243=0,0,IF(E243="",B243*D243/100,E243))</f>
        <v/>
      </c>
      <c r="AE243" s="6">
        <f>IF(F243=0,0,IF(H243="",B243*G243/100,H243))</f>
        <v/>
      </c>
      <c r="AF243" s="6">
        <f>IF(I243=0,0,IF(K243="",B243*J243/100,K243))</f>
        <v/>
      </c>
      <c r="AG243" s="6">
        <f>IF(L243=0,0,IF(N243="",B243*M243/100,N243))</f>
        <v/>
      </c>
      <c r="AH243" s="6">
        <f>IF(O243=0,0,IF(Q243="",B243*P243/100,Q243))</f>
        <v/>
      </c>
      <c r="AI243" s="6">
        <f>IF(R243=0,0,IF(T243="",B243*S243/100,T243))</f>
        <v/>
      </c>
      <c r="AJ243" s="6">
        <f>B243*0.035</f>
        <v/>
      </c>
      <c r="AK243" s="6">
        <f>B243*0.065</f>
        <v/>
      </c>
      <c r="AL243" s="6">
        <f>SUM(B243,AD243,AE243,AF243,AG243,AH243,AI243,U243,V243,AJ243,AK243)</f>
        <v/>
      </c>
      <c r="AM243" s="6">
        <f>B243*0.055</f>
        <v/>
      </c>
      <c r="AN243" s="6">
        <f>B243*0.035</f>
        <v/>
      </c>
      <c r="AO243" s="6">
        <f>B243*0.165</f>
        <v/>
      </c>
      <c r="AP243" s="6">
        <f>MAX(0,AL243-AM243-AO243)</f>
        <v/>
      </c>
      <c r="AQ243" s="6">
        <f>IF(AP243&lt;=490,0,IF(AP243&lt;=600,(AP243-490)*0.05,IF(AP243&lt;=730,5.5+(AP243-600)*0.10,IF(AP243&lt;=3896.67,18.5+(AP243-730)*0.175,IF(AP243&lt;=19896.67,572.67+(AP243-3896.67)*0.25,IF(AP243&lt;=50416.67,4572.67+(AP243-19896.67)*0.30,13728.67+(AP243-50416.67)*0.35))))))</f>
        <v/>
      </c>
      <c r="AR243" s="6">
        <f>SUM(AM243,AQ243,W243,X243,Y243,Z243,AA243,AN243,AO243)</f>
        <v/>
      </c>
      <c r="AS243" s="6">
        <f>AL243-AR243</f>
        <v/>
      </c>
      <c r="AT243" s="6">
        <f>AB243-AC243</f>
        <v/>
      </c>
    </row>
    <row r="244">
      <c r="A244" s="2" t="n"/>
      <c r="B244" s="3" t="n"/>
      <c r="C244" s="4" t="n"/>
      <c r="D244" s="5" t="n"/>
      <c r="E244" s="3" t="n"/>
      <c r="F244" s="4" t="n"/>
      <c r="G244" s="5" t="n"/>
      <c r="H244" s="3" t="n"/>
      <c r="I244" s="4" t="n"/>
      <c r="J244" s="5" t="n"/>
      <c r="K244" s="3" t="n"/>
      <c r="L244" s="4" t="n"/>
      <c r="M244" s="5" t="n"/>
      <c r="N244" s="3" t="n"/>
      <c r="O244" s="4" t="n"/>
      <c r="P244" s="5" t="n"/>
      <c r="Q244" s="3" t="n"/>
      <c r="R244" s="4" t="n"/>
      <c r="S244" s="5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6">
        <f>IF(C244=0,0,IF(E244="",B244*D244/100,E244))</f>
        <v/>
      </c>
      <c r="AE244" s="6">
        <f>IF(F244=0,0,IF(H244="",B244*G244/100,H244))</f>
        <v/>
      </c>
      <c r="AF244" s="6">
        <f>IF(I244=0,0,IF(K244="",B244*J244/100,K244))</f>
        <v/>
      </c>
      <c r="AG244" s="6">
        <f>IF(L244=0,0,IF(N244="",B244*M244/100,N244))</f>
        <v/>
      </c>
      <c r="AH244" s="6">
        <f>IF(O244=0,0,IF(Q244="",B244*P244/100,Q244))</f>
        <v/>
      </c>
      <c r="AI244" s="6">
        <f>IF(R244=0,0,IF(T244="",B244*S244/100,T244))</f>
        <v/>
      </c>
      <c r="AJ244" s="6">
        <f>B244*0.035</f>
        <v/>
      </c>
      <c r="AK244" s="6">
        <f>B244*0.065</f>
        <v/>
      </c>
      <c r="AL244" s="6">
        <f>SUM(B244,AD244,AE244,AF244,AG244,AH244,AI244,U244,V244,AJ244,AK244)</f>
        <v/>
      </c>
      <c r="AM244" s="6">
        <f>B244*0.055</f>
        <v/>
      </c>
      <c r="AN244" s="6">
        <f>B244*0.035</f>
        <v/>
      </c>
      <c r="AO244" s="6">
        <f>B244*0.165</f>
        <v/>
      </c>
      <c r="AP244" s="6">
        <f>MAX(0,AL244-AM244-AO244)</f>
        <v/>
      </c>
      <c r="AQ244" s="6">
        <f>IF(AP244&lt;=490,0,IF(AP244&lt;=600,(AP244-490)*0.05,IF(AP244&lt;=730,5.5+(AP244-600)*0.10,IF(AP244&lt;=3896.67,18.5+(AP244-730)*0.175,IF(AP244&lt;=19896.67,572.67+(AP244-3896.67)*0.25,IF(AP244&lt;=50416.67,4572.67+(AP244-19896.67)*0.30,13728.67+(AP244-50416.67)*0.35))))))</f>
        <v/>
      </c>
      <c r="AR244" s="6">
        <f>SUM(AM244,AQ244,W244,X244,Y244,Z244,AA244,AN244,AO244)</f>
        <v/>
      </c>
      <c r="AS244" s="6">
        <f>AL244-AR244</f>
        <v/>
      </c>
      <c r="AT244" s="6">
        <f>AB244-AC244</f>
        <v/>
      </c>
    </row>
    <row r="245">
      <c r="A245" s="2" t="n"/>
      <c r="B245" s="3" t="n"/>
      <c r="C245" s="4" t="n"/>
      <c r="D245" s="5" t="n"/>
      <c r="E245" s="3" t="n"/>
      <c r="F245" s="4" t="n"/>
      <c r="G245" s="5" t="n"/>
      <c r="H245" s="3" t="n"/>
      <c r="I245" s="4" t="n"/>
      <c r="J245" s="5" t="n"/>
      <c r="K245" s="3" t="n"/>
      <c r="L245" s="4" t="n"/>
      <c r="M245" s="5" t="n"/>
      <c r="N245" s="3" t="n"/>
      <c r="O245" s="4" t="n"/>
      <c r="P245" s="5" t="n"/>
      <c r="Q245" s="3" t="n"/>
      <c r="R245" s="4" t="n"/>
      <c r="S245" s="5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6">
        <f>IF(C245=0,0,IF(E245="",B245*D245/100,E245))</f>
        <v/>
      </c>
      <c r="AE245" s="6">
        <f>IF(F245=0,0,IF(H245="",B245*G245/100,H245))</f>
        <v/>
      </c>
      <c r="AF245" s="6">
        <f>IF(I245=0,0,IF(K245="",B245*J245/100,K245))</f>
        <v/>
      </c>
      <c r="AG245" s="6">
        <f>IF(L245=0,0,IF(N245="",B245*M245/100,N245))</f>
        <v/>
      </c>
      <c r="AH245" s="6">
        <f>IF(O245=0,0,IF(Q245="",B245*P245/100,Q245))</f>
        <v/>
      </c>
      <c r="AI245" s="6">
        <f>IF(R245=0,0,IF(T245="",B245*S245/100,T245))</f>
        <v/>
      </c>
      <c r="AJ245" s="6">
        <f>B245*0.035</f>
        <v/>
      </c>
      <c r="AK245" s="6">
        <f>B245*0.065</f>
        <v/>
      </c>
      <c r="AL245" s="6">
        <f>SUM(B245,AD245,AE245,AF245,AG245,AH245,AI245,U245,V245,AJ245,AK245)</f>
        <v/>
      </c>
      <c r="AM245" s="6">
        <f>B245*0.055</f>
        <v/>
      </c>
      <c r="AN245" s="6">
        <f>B245*0.035</f>
        <v/>
      </c>
      <c r="AO245" s="6">
        <f>B245*0.165</f>
        <v/>
      </c>
      <c r="AP245" s="6">
        <f>MAX(0,AL245-AM245-AO245)</f>
        <v/>
      </c>
      <c r="AQ245" s="6">
        <f>IF(AP245&lt;=490,0,IF(AP245&lt;=600,(AP245-490)*0.05,IF(AP245&lt;=730,5.5+(AP245-600)*0.10,IF(AP245&lt;=3896.67,18.5+(AP245-730)*0.175,IF(AP245&lt;=19896.67,572.67+(AP245-3896.67)*0.25,IF(AP245&lt;=50416.67,4572.67+(AP245-19896.67)*0.30,13728.67+(AP245-50416.67)*0.35))))))</f>
        <v/>
      </c>
      <c r="AR245" s="6">
        <f>SUM(AM245,AQ245,W245,X245,Y245,Z245,AA245,AN245,AO245)</f>
        <v/>
      </c>
      <c r="AS245" s="6">
        <f>AL245-AR245</f>
        <v/>
      </c>
      <c r="AT245" s="6">
        <f>AB245-AC245</f>
        <v/>
      </c>
    </row>
    <row r="246">
      <c r="A246" s="2" t="n"/>
      <c r="B246" s="3" t="n"/>
      <c r="C246" s="4" t="n"/>
      <c r="D246" s="5" t="n"/>
      <c r="E246" s="3" t="n"/>
      <c r="F246" s="4" t="n"/>
      <c r="G246" s="5" t="n"/>
      <c r="H246" s="3" t="n"/>
      <c r="I246" s="4" t="n"/>
      <c r="J246" s="5" t="n"/>
      <c r="K246" s="3" t="n"/>
      <c r="L246" s="4" t="n"/>
      <c r="M246" s="5" t="n"/>
      <c r="N246" s="3" t="n"/>
      <c r="O246" s="4" t="n"/>
      <c r="P246" s="5" t="n"/>
      <c r="Q246" s="3" t="n"/>
      <c r="R246" s="4" t="n"/>
      <c r="S246" s="5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6">
        <f>IF(C246=0,0,IF(E246="",B246*D246/100,E246))</f>
        <v/>
      </c>
      <c r="AE246" s="6">
        <f>IF(F246=0,0,IF(H246="",B246*G246/100,H246))</f>
        <v/>
      </c>
      <c r="AF246" s="6">
        <f>IF(I246=0,0,IF(K246="",B246*J246/100,K246))</f>
        <v/>
      </c>
      <c r="AG246" s="6">
        <f>IF(L246=0,0,IF(N246="",B246*M246/100,N246))</f>
        <v/>
      </c>
      <c r="AH246" s="6">
        <f>IF(O246=0,0,IF(Q246="",B246*P246/100,Q246))</f>
        <v/>
      </c>
      <c r="AI246" s="6">
        <f>IF(R246=0,0,IF(T246="",B246*S246/100,T246))</f>
        <v/>
      </c>
      <c r="AJ246" s="6">
        <f>B246*0.035</f>
        <v/>
      </c>
      <c r="AK246" s="6">
        <f>B246*0.065</f>
        <v/>
      </c>
      <c r="AL246" s="6">
        <f>SUM(B246,AD246,AE246,AF246,AG246,AH246,AI246,U246,V246,AJ246,AK246)</f>
        <v/>
      </c>
      <c r="AM246" s="6">
        <f>B246*0.055</f>
        <v/>
      </c>
      <c r="AN246" s="6">
        <f>B246*0.035</f>
        <v/>
      </c>
      <c r="AO246" s="6">
        <f>B246*0.165</f>
        <v/>
      </c>
      <c r="AP246" s="6">
        <f>MAX(0,AL246-AM246-AO246)</f>
        <v/>
      </c>
      <c r="AQ246" s="6">
        <f>IF(AP246&lt;=490,0,IF(AP246&lt;=600,(AP246-490)*0.05,IF(AP246&lt;=730,5.5+(AP246-600)*0.10,IF(AP246&lt;=3896.67,18.5+(AP246-730)*0.175,IF(AP246&lt;=19896.67,572.67+(AP246-3896.67)*0.25,IF(AP246&lt;=50416.67,4572.67+(AP246-19896.67)*0.30,13728.67+(AP246-50416.67)*0.35))))))</f>
        <v/>
      </c>
      <c r="AR246" s="6">
        <f>SUM(AM246,AQ246,W246,X246,Y246,Z246,AA246,AN246,AO246)</f>
        <v/>
      </c>
      <c r="AS246" s="6">
        <f>AL246-AR246</f>
        <v/>
      </c>
      <c r="AT246" s="6">
        <f>AB246-AC246</f>
        <v/>
      </c>
    </row>
    <row r="247">
      <c r="A247" s="2" t="n"/>
      <c r="B247" s="3" t="n"/>
      <c r="C247" s="4" t="n"/>
      <c r="D247" s="5" t="n"/>
      <c r="E247" s="3" t="n"/>
      <c r="F247" s="4" t="n"/>
      <c r="G247" s="5" t="n"/>
      <c r="H247" s="3" t="n"/>
      <c r="I247" s="4" t="n"/>
      <c r="J247" s="5" t="n"/>
      <c r="K247" s="3" t="n"/>
      <c r="L247" s="4" t="n"/>
      <c r="M247" s="5" t="n"/>
      <c r="N247" s="3" t="n"/>
      <c r="O247" s="4" t="n"/>
      <c r="P247" s="5" t="n"/>
      <c r="Q247" s="3" t="n"/>
      <c r="R247" s="4" t="n"/>
      <c r="S247" s="5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6">
        <f>IF(C247=0,0,IF(E247="",B247*D247/100,E247))</f>
        <v/>
      </c>
      <c r="AE247" s="6">
        <f>IF(F247=0,0,IF(H247="",B247*G247/100,H247))</f>
        <v/>
      </c>
      <c r="AF247" s="6">
        <f>IF(I247=0,0,IF(K247="",B247*J247/100,K247))</f>
        <v/>
      </c>
      <c r="AG247" s="6">
        <f>IF(L247=0,0,IF(N247="",B247*M247/100,N247))</f>
        <v/>
      </c>
      <c r="AH247" s="6">
        <f>IF(O247=0,0,IF(Q247="",B247*P247/100,Q247))</f>
        <v/>
      </c>
      <c r="AI247" s="6">
        <f>IF(R247=0,0,IF(T247="",B247*S247/100,T247))</f>
        <v/>
      </c>
      <c r="AJ247" s="6">
        <f>B247*0.035</f>
        <v/>
      </c>
      <c r="AK247" s="6">
        <f>B247*0.065</f>
        <v/>
      </c>
      <c r="AL247" s="6">
        <f>SUM(B247,AD247,AE247,AF247,AG247,AH247,AI247,U247,V247,AJ247,AK247)</f>
        <v/>
      </c>
      <c r="AM247" s="6">
        <f>B247*0.055</f>
        <v/>
      </c>
      <c r="AN247" s="6">
        <f>B247*0.035</f>
        <v/>
      </c>
      <c r="AO247" s="6">
        <f>B247*0.165</f>
        <v/>
      </c>
      <c r="AP247" s="6">
        <f>MAX(0,AL247-AM247-AO247)</f>
        <v/>
      </c>
      <c r="AQ247" s="6">
        <f>IF(AP247&lt;=490,0,IF(AP247&lt;=600,(AP247-490)*0.05,IF(AP247&lt;=730,5.5+(AP247-600)*0.10,IF(AP247&lt;=3896.67,18.5+(AP247-730)*0.175,IF(AP247&lt;=19896.67,572.67+(AP247-3896.67)*0.25,IF(AP247&lt;=50416.67,4572.67+(AP247-19896.67)*0.30,13728.67+(AP247-50416.67)*0.35))))))</f>
        <v/>
      </c>
      <c r="AR247" s="6">
        <f>SUM(AM247,AQ247,W247,X247,Y247,Z247,AA247,AN247,AO247)</f>
        <v/>
      </c>
      <c r="AS247" s="6">
        <f>AL247-AR247</f>
        <v/>
      </c>
      <c r="AT247" s="6">
        <f>AB247-AC247</f>
        <v/>
      </c>
    </row>
    <row r="248">
      <c r="A248" s="2" t="n"/>
      <c r="B248" s="3" t="n"/>
      <c r="C248" s="4" t="n"/>
      <c r="D248" s="5" t="n"/>
      <c r="E248" s="3" t="n"/>
      <c r="F248" s="4" t="n"/>
      <c r="G248" s="5" t="n"/>
      <c r="H248" s="3" t="n"/>
      <c r="I248" s="4" t="n"/>
      <c r="J248" s="5" t="n"/>
      <c r="K248" s="3" t="n"/>
      <c r="L248" s="4" t="n"/>
      <c r="M248" s="5" t="n"/>
      <c r="N248" s="3" t="n"/>
      <c r="O248" s="4" t="n"/>
      <c r="P248" s="5" t="n"/>
      <c r="Q248" s="3" t="n"/>
      <c r="R248" s="4" t="n"/>
      <c r="S248" s="5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6">
        <f>IF(C248=0,0,IF(E248="",B248*D248/100,E248))</f>
        <v/>
      </c>
      <c r="AE248" s="6">
        <f>IF(F248=0,0,IF(H248="",B248*G248/100,H248))</f>
        <v/>
      </c>
      <c r="AF248" s="6">
        <f>IF(I248=0,0,IF(K248="",B248*J248/100,K248))</f>
        <v/>
      </c>
      <c r="AG248" s="6">
        <f>IF(L248=0,0,IF(N248="",B248*M248/100,N248))</f>
        <v/>
      </c>
      <c r="AH248" s="6">
        <f>IF(O248=0,0,IF(Q248="",B248*P248/100,Q248))</f>
        <v/>
      </c>
      <c r="AI248" s="6">
        <f>IF(R248=0,0,IF(T248="",B248*S248/100,T248))</f>
        <v/>
      </c>
      <c r="AJ248" s="6">
        <f>B248*0.035</f>
        <v/>
      </c>
      <c r="AK248" s="6">
        <f>B248*0.065</f>
        <v/>
      </c>
      <c r="AL248" s="6">
        <f>SUM(B248,AD248,AE248,AF248,AG248,AH248,AI248,U248,V248,AJ248,AK248)</f>
        <v/>
      </c>
      <c r="AM248" s="6">
        <f>B248*0.055</f>
        <v/>
      </c>
      <c r="AN248" s="6">
        <f>B248*0.035</f>
        <v/>
      </c>
      <c r="AO248" s="6">
        <f>B248*0.165</f>
        <v/>
      </c>
      <c r="AP248" s="6">
        <f>MAX(0,AL248-AM248-AO248)</f>
        <v/>
      </c>
      <c r="AQ248" s="6">
        <f>IF(AP248&lt;=490,0,IF(AP248&lt;=600,(AP248-490)*0.05,IF(AP248&lt;=730,5.5+(AP248-600)*0.10,IF(AP248&lt;=3896.67,18.5+(AP248-730)*0.175,IF(AP248&lt;=19896.67,572.67+(AP248-3896.67)*0.25,IF(AP248&lt;=50416.67,4572.67+(AP248-19896.67)*0.30,13728.67+(AP248-50416.67)*0.35))))))</f>
        <v/>
      </c>
      <c r="AR248" s="6">
        <f>SUM(AM248,AQ248,W248,X248,Y248,Z248,AA248,AN248,AO248)</f>
        <v/>
      </c>
      <c r="AS248" s="6">
        <f>AL248-AR248</f>
        <v/>
      </c>
      <c r="AT248" s="6">
        <f>AB248-AC248</f>
        <v/>
      </c>
    </row>
    <row r="249">
      <c r="A249" s="2" t="n"/>
      <c r="B249" s="3" t="n"/>
      <c r="C249" s="4" t="n"/>
      <c r="D249" s="5" t="n"/>
      <c r="E249" s="3" t="n"/>
      <c r="F249" s="4" t="n"/>
      <c r="G249" s="5" t="n"/>
      <c r="H249" s="3" t="n"/>
      <c r="I249" s="4" t="n"/>
      <c r="J249" s="5" t="n"/>
      <c r="K249" s="3" t="n"/>
      <c r="L249" s="4" t="n"/>
      <c r="M249" s="5" t="n"/>
      <c r="N249" s="3" t="n"/>
      <c r="O249" s="4" t="n"/>
      <c r="P249" s="5" t="n"/>
      <c r="Q249" s="3" t="n"/>
      <c r="R249" s="4" t="n"/>
      <c r="S249" s="5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6">
        <f>IF(C249=0,0,IF(E249="",B249*D249/100,E249))</f>
        <v/>
      </c>
      <c r="AE249" s="6">
        <f>IF(F249=0,0,IF(H249="",B249*G249/100,H249))</f>
        <v/>
      </c>
      <c r="AF249" s="6">
        <f>IF(I249=0,0,IF(K249="",B249*J249/100,K249))</f>
        <v/>
      </c>
      <c r="AG249" s="6">
        <f>IF(L249=0,0,IF(N249="",B249*M249/100,N249))</f>
        <v/>
      </c>
      <c r="AH249" s="6">
        <f>IF(O249=0,0,IF(Q249="",B249*P249/100,Q249))</f>
        <v/>
      </c>
      <c r="AI249" s="6">
        <f>IF(R249=0,0,IF(T249="",B249*S249/100,T249))</f>
        <v/>
      </c>
      <c r="AJ249" s="6">
        <f>B249*0.035</f>
        <v/>
      </c>
      <c r="AK249" s="6">
        <f>B249*0.065</f>
        <v/>
      </c>
      <c r="AL249" s="6">
        <f>SUM(B249,AD249,AE249,AF249,AG249,AH249,AI249,U249,V249,AJ249,AK249)</f>
        <v/>
      </c>
      <c r="AM249" s="6">
        <f>B249*0.055</f>
        <v/>
      </c>
      <c r="AN249" s="6">
        <f>B249*0.035</f>
        <v/>
      </c>
      <c r="AO249" s="6">
        <f>B249*0.165</f>
        <v/>
      </c>
      <c r="AP249" s="6">
        <f>MAX(0,AL249-AM249-AO249)</f>
        <v/>
      </c>
      <c r="AQ249" s="6">
        <f>IF(AP249&lt;=490,0,IF(AP249&lt;=600,(AP249-490)*0.05,IF(AP249&lt;=730,5.5+(AP249-600)*0.10,IF(AP249&lt;=3896.67,18.5+(AP249-730)*0.175,IF(AP249&lt;=19896.67,572.67+(AP249-3896.67)*0.25,IF(AP249&lt;=50416.67,4572.67+(AP249-19896.67)*0.30,13728.67+(AP249-50416.67)*0.35))))))</f>
        <v/>
      </c>
      <c r="AR249" s="6">
        <f>SUM(AM249,AQ249,W249,X249,Y249,Z249,AA249,AN249,AO249)</f>
        <v/>
      </c>
      <c r="AS249" s="6">
        <f>AL249-AR249</f>
        <v/>
      </c>
      <c r="AT249" s="6">
        <f>AB249-AC249</f>
        <v/>
      </c>
    </row>
    <row r="250">
      <c r="A250" s="2" t="n"/>
      <c r="B250" s="3" t="n"/>
      <c r="C250" s="4" t="n"/>
      <c r="D250" s="5" t="n"/>
      <c r="E250" s="3" t="n"/>
      <c r="F250" s="4" t="n"/>
      <c r="G250" s="5" t="n"/>
      <c r="H250" s="3" t="n"/>
      <c r="I250" s="4" t="n"/>
      <c r="J250" s="5" t="n"/>
      <c r="K250" s="3" t="n"/>
      <c r="L250" s="4" t="n"/>
      <c r="M250" s="5" t="n"/>
      <c r="N250" s="3" t="n"/>
      <c r="O250" s="4" t="n"/>
      <c r="P250" s="5" t="n"/>
      <c r="Q250" s="3" t="n"/>
      <c r="R250" s="4" t="n"/>
      <c r="S250" s="5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6">
        <f>IF(C250=0,0,IF(E250="",B250*D250/100,E250))</f>
        <v/>
      </c>
      <c r="AE250" s="6">
        <f>IF(F250=0,0,IF(H250="",B250*G250/100,H250))</f>
        <v/>
      </c>
      <c r="AF250" s="6">
        <f>IF(I250=0,0,IF(K250="",B250*J250/100,K250))</f>
        <v/>
      </c>
      <c r="AG250" s="6">
        <f>IF(L250=0,0,IF(N250="",B250*M250/100,N250))</f>
        <v/>
      </c>
      <c r="AH250" s="6">
        <f>IF(O250=0,0,IF(Q250="",B250*P250/100,Q250))</f>
        <v/>
      </c>
      <c r="AI250" s="6">
        <f>IF(R250=0,0,IF(T250="",B250*S250/100,T250))</f>
        <v/>
      </c>
      <c r="AJ250" s="6">
        <f>B250*0.035</f>
        <v/>
      </c>
      <c r="AK250" s="6">
        <f>B250*0.065</f>
        <v/>
      </c>
      <c r="AL250" s="6">
        <f>SUM(B250,AD250,AE250,AF250,AG250,AH250,AI250,U250,V250,AJ250,AK250)</f>
        <v/>
      </c>
      <c r="AM250" s="6">
        <f>B250*0.055</f>
        <v/>
      </c>
      <c r="AN250" s="6">
        <f>B250*0.035</f>
        <v/>
      </c>
      <c r="AO250" s="6">
        <f>B250*0.165</f>
        <v/>
      </c>
      <c r="AP250" s="6">
        <f>MAX(0,AL250-AM250-AO250)</f>
        <v/>
      </c>
      <c r="AQ250" s="6">
        <f>IF(AP250&lt;=490,0,IF(AP250&lt;=600,(AP250-490)*0.05,IF(AP250&lt;=730,5.5+(AP250-600)*0.10,IF(AP250&lt;=3896.67,18.5+(AP250-730)*0.175,IF(AP250&lt;=19896.67,572.67+(AP250-3896.67)*0.25,IF(AP250&lt;=50416.67,4572.67+(AP250-19896.67)*0.30,13728.67+(AP250-50416.67)*0.35))))))</f>
        <v/>
      </c>
      <c r="AR250" s="6">
        <f>SUM(AM250,AQ250,W250,X250,Y250,Z250,AA250,AN250,AO250)</f>
        <v/>
      </c>
      <c r="AS250" s="6">
        <f>AL250-AR250</f>
        <v/>
      </c>
      <c r="AT250" s="6">
        <f>AB250-AC250</f>
        <v/>
      </c>
    </row>
    <row r="251">
      <c r="A251" s="2" t="n"/>
      <c r="B251" s="3" t="n"/>
      <c r="C251" s="4" t="n"/>
      <c r="D251" s="5" t="n"/>
      <c r="E251" s="3" t="n"/>
      <c r="F251" s="4" t="n"/>
      <c r="G251" s="5" t="n"/>
      <c r="H251" s="3" t="n"/>
      <c r="I251" s="4" t="n"/>
      <c r="J251" s="5" t="n"/>
      <c r="K251" s="3" t="n"/>
      <c r="L251" s="4" t="n"/>
      <c r="M251" s="5" t="n"/>
      <c r="N251" s="3" t="n"/>
      <c r="O251" s="4" t="n"/>
      <c r="P251" s="5" t="n"/>
      <c r="Q251" s="3" t="n"/>
      <c r="R251" s="4" t="n"/>
      <c r="S251" s="5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6">
        <f>IF(C251=0,0,IF(E251="",B251*D251/100,E251))</f>
        <v/>
      </c>
      <c r="AE251" s="6">
        <f>IF(F251=0,0,IF(H251="",B251*G251/100,H251))</f>
        <v/>
      </c>
      <c r="AF251" s="6">
        <f>IF(I251=0,0,IF(K251="",B251*J251/100,K251))</f>
        <v/>
      </c>
      <c r="AG251" s="6">
        <f>IF(L251=0,0,IF(N251="",B251*M251/100,N251))</f>
        <v/>
      </c>
      <c r="AH251" s="6">
        <f>IF(O251=0,0,IF(Q251="",B251*P251/100,Q251))</f>
        <v/>
      </c>
      <c r="AI251" s="6">
        <f>IF(R251=0,0,IF(T251="",B251*S251/100,T251))</f>
        <v/>
      </c>
      <c r="AJ251" s="6">
        <f>B251*0.035</f>
        <v/>
      </c>
      <c r="AK251" s="6">
        <f>B251*0.065</f>
        <v/>
      </c>
      <c r="AL251" s="6">
        <f>SUM(B251,AD251,AE251,AF251,AG251,AH251,AI251,U251,V251,AJ251,AK251)</f>
        <v/>
      </c>
      <c r="AM251" s="6">
        <f>B251*0.055</f>
        <v/>
      </c>
      <c r="AN251" s="6">
        <f>B251*0.035</f>
        <v/>
      </c>
      <c r="AO251" s="6">
        <f>B251*0.165</f>
        <v/>
      </c>
      <c r="AP251" s="6">
        <f>MAX(0,AL251-AM251-AO251)</f>
        <v/>
      </c>
      <c r="AQ251" s="6">
        <f>IF(AP251&lt;=490,0,IF(AP251&lt;=600,(AP251-490)*0.05,IF(AP251&lt;=730,5.5+(AP251-600)*0.10,IF(AP251&lt;=3896.67,18.5+(AP251-730)*0.175,IF(AP251&lt;=19896.67,572.67+(AP251-3896.67)*0.25,IF(AP251&lt;=50416.67,4572.67+(AP251-19896.67)*0.30,13728.67+(AP251-50416.67)*0.35))))))</f>
        <v/>
      </c>
      <c r="AR251" s="6">
        <f>SUM(AM251,AQ251,W251,X251,Y251,Z251,AA251,AN251,AO251)</f>
        <v/>
      </c>
      <c r="AS251" s="6">
        <f>AL251-AR251</f>
        <v/>
      </c>
      <c r="AT251" s="6">
        <f>AB251-AC251</f>
        <v/>
      </c>
    </row>
    <row r="252">
      <c r="A252" s="2" t="n"/>
      <c r="B252" s="3" t="n"/>
      <c r="C252" s="4" t="n"/>
      <c r="D252" s="5" t="n"/>
      <c r="E252" s="3" t="n"/>
      <c r="F252" s="4" t="n"/>
      <c r="G252" s="5" t="n"/>
      <c r="H252" s="3" t="n"/>
      <c r="I252" s="4" t="n"/>
      <c r="J252" s="5" t="n"/>
      <c r="K252" s="3" t="n"/>
      <c r="L252" s="4" t="n"/>
      <c r="M252" s="5" t="n"/>
      <c r="N252" s="3" t="n"/>
      <c r="O252" s="4" t="n"/>
      <c r="P252" s="5" t="n"/>
      <c r="Q252" s="3" t="n"/>
      <c r="R252" s="4" t="n"/>
      <c r="S252" s="5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6">
        <f>IF(C252=0,0,IF(E252="",B252*D252/100,E252))</f>
        <v/>
      </c>
      <c r="AE252" s="6">
        <f>IF(F252=0,0,IF(H252="",B252*G252/100,H252))</f>
        <v/>
      </c>
      <c r="AF252" s="6">
        <f>IF(I252=0,0,IF(K252="",B252*J252/100,K252))</f>
        <v/>
      </c>
      <c r="AG252" s="6">
        <f>IF(L252=0,0,IF(N252="",B252*M252/100,N252))</f>
        <v/>
      </c>
      <c r="AH252" s="6">
        <f>IF(O252=0,0,IF(Q252="",B252*P252/100,Q252))</f>
        <v/>
      </c>
      <c r="AI252" s="6">
        <f>IF(R252=0,0,IF(T252="",B252*S252/100,T252))</f>
        <v/>
      </c>
      <c r="AJ252" s="6">
        <f>B252*0.035</f>
        <v/>
      </c>
      <c r="AK252" s="6">
        <f>B252*0.065</f>
        <v/>
      </c>
      <c r="AL252" s="6">
        <f>SUM(B252,AD252,AE252,AF252,AG252,AH252,AI252,U252,V252,AJ252,AK252)</f>
        <v/>
      </c>
      <c r="AM252" s="6">
        <f>B252*0.055</f>
        <v/>
      </c>
      <c r="AN252" s="6">
        <f>B252*0.035</f>
        <v/>
      </c>
      <c r="AO252" s="6">
        <f>B252*0.165</f>
        <v/>
      </c>
      <c r="AP252" s="6">
        <f>MAX(0,AL252-AM252-AO252)</f>
        <v/>
      </c>
      <c r="AQ252" s="6">
        <f>IF(AP252&lt;=490,0,IF(AP252&lt;=600,(AP252-490)*0.05,IF(AP252&lt;=730,5.5+(AP252-600)*0.10,IF(AP252&lt;=3896.67,18.5+(AP252-730)*0.175,IF(AP252&lt;=19896.67,572.67+(AP252-3896.67)*0.25,IF(AP252&lt;=50416.67,4572.67+(AP252-19896.67)*0.30,13728.67+(AP252-50416.67)*0.35))))))</f>
        <v/>
      </c>
      <c r="AR252" s="6">
        <f>SUM(AM252,AQ252,W252,X252,Y252,Z252,AA252,AN252,AO252)</f>
        <v/>
      </c>
      <c r="AS252" s="6">
        <f>AL252-AR252</f>
        <v/>
      </c>
      <c r="AT252" s="6">
        <f>AB252-AC252</f>
        <v/>
      </c>
    </row>
    <row r="253">
      <c r="A253" s="2" t="n"/>
      <c r="B253" s="3" t="n"/>
      <c r="C253" s="4" t="n"/>
      <c r="D253" s="5" t="n"/>
      <c r="E253" s="3" t="n"/>
      <c r="F253" s="4" t="n"/>
      <c r="G253" s="5" t="n"/>
      <c r="H253" s="3" t="n"/>
      <c r="I253" s="4" t="n"/>
      <c r="J253" s="5" t="n"/>
      <c r="K253" s="3" t="n"/>
      <c r="L253" s="4" t="n"/>
      <c r="M253" s="5" t="n"/>
      <c r="N253" s="3" t="n"/>
      <c r="O253" s="4" t="n"/>
      <c r="P253" s="5" t="n"/>
      <c r="Q253" s="3" t="n"/>
      <c r="R253" s="4" t="n"/>
      <c r="S253" s="5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6">
        <f>IF(C253=0,0,IF(E253="",B253*D253/100,E253))</f>
        <v/>
      </c>
      <c r="AE253" s="6">
        <f>IF(F253=0,0,IF(H253="",B253*G253/100,H253))</f>
        <v/>
      </c>
      <c r="AF253" s="6">
        <f>IF(I253=0,0,IF(K253="",B253*J253/100,K253))</f>
        <v/>
      </c>
      <c r="AG253" s="6">
        <f>IF(L253=0,0,IF(N253="",B253*M253/100,N253))</f>
        <v/>
      </c>
      <c r="AH253" s="6">
        <f>IF(O253=0,0,IF(Q253="",B253*P253/100,Q253))</f>
        <v/>
      </c>
      <c r="AI253" s="6">
        <f>IF(R253=0,0,IF(T253="",B253*S253/100,T253))</f>
        <v/>
      </c>
      <c r="AJ253" s="6">
        <f>B253*0.035</f>
        <v/>
      </c>
      <c r="AK253" s="6">
        <f>B253*0.065</f>
        <v/>
      </c>
      <c r="AL253" s="6">
        <f>SUM(B253,AD253,AE253,AF253,AG253,AH253,AI253,U253,V253,AJ253,AK253)</f>
        <v/>
      </c>
      <c r="AM253" s="6">
        <f>B253*0.055</f>
        <v/>
      </c>
      <c r="AN253" s="6">
        <f>B253*0.035</f>
        <v/>
      </c>
      <c r="AO253" s="6">
        <f>B253*0.165</f>
        <v/>
      </c>
      <c r="AP253" s="6">
        <f>MAX(0,AL253-AM253-AO253)</f>
        <v/>
      </c>
      <c r="AQ253" s="6">
        <f>IF(AP253&lt;=490,0,IF(AP253&lt;=600,(AP253-490)*0.05,IF(AP253&lt;=730,5.5+(AP253-600)*0.10,IF(AP253&lt;=3896.67,18.5+(AP253-730)*0.175,IF(AP253&lt;=19896.67,572.67+(AP253-3896.67)*0.25,IF(AP253&lt;=50416.67,4572.67+(AP253-19896.67)*0.30,13728.67+(AP253-50416.67)*0.35))))))</f>
        <v/>
      </c>
      <c r="AR253" s="6">
        <f>SUM(AM253,AQ253,W253,X253,Y253,Z253,AA253,AN253,AO253)</f>
        <v/>
      </c>
      <c r="AS253" s="6">
        <f>AL253-AR253</f>
        <v/>
      </c>
      <c r="AT253" s="6">
        <f>AB253-AC253</f>
        <v/>
      </c>
    </row>
    <row r="254">
      <c r="A254" s="2" t="n"/>
      <c r="B254" s="3" t="n"/>
      <c r="C254" s="4" t="n"/>
      <c r="D254" s="5" t="n"/>
      <c r="E254" s="3" t="n"/>
      <c r="F254" s="4" t="n"/>
      <c r="G254" s="5" t="n"/>
      <c r="H254" s="3" t="n"/>
      <c r="I254" s="4" t="n"/>
      <c r="J254" s="5" t="n"/>
      <c r="K254" s="3" t="n"/>
      <c r="L254" s="4" t="n"/>
      <c r="M254" s="5" t="n"/>
      <c r="N254" s="3" t="n"/>
      <c r="O254" s="4" t="n"/>
      <c r="P254" s="5" t="n"/>
      <c r="Q254" s="3" t="n"/>
      <c r="R254" s="4" t="n"/>
      <c r="S254" s="5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6">
        <f>IF(C254=0,0,IF(E254="",B254*D254/100,E254))</f>
        <v/>
      </c>
      <c r="AE254" s="6">
        <f>IF(F254=0,0,IF(H254="",B254*G254/100,H254))</f>
        <v/>
      </c>
      <c r="AF254" s="6">
        <f>IF(I254=0,0,IF(K254="",B254*J254/100,K254))</f>
        <v/>
      </c>
      <c r="AG254" s="6">
        <f>IF(L254=0,0,IF(N254="",B254*M254/100,N254))</f>
        <v/>
      </c>
      <c r="AH254" s="6">
        <f>IF(O254=0,0,IF(Q254="",B254*P254/100,Q254))</f>
        <v/>
      </c>
      <c r="AI254" s="6">
        <f>IF(R254=0,0,IF(T254="",B254*S254/100,T254))</f>
        <v/>
      </c>
      <c r="AJ254" s="6">
        <f>B254*0.035</f>
        <v/>
      </c>
      <c r="AK254" s="6">
        <f>B254*0.065</f>
        <v/>
      </c>
      <c r="AL254" s="6">
        <f>SUM(B254,AD254,AE254,AF254,AG254,AH254,AI254,U254,V254,AJ254,AK254)</f>
        <v/>
      </c>
      <c r="AM254" s="6">
        <f>B254*0.055</f>
        <v/>
      </c>
      <c r="AN254" s="6">
        <f>B254*0.035</f>
        <v/>
      </c>
      <c r="AO254" s="6">
        <f>B254*0.165</f>
        <v/>
      </c>
      <c r="AP254" s="6">
        <f>MAX(0,AL254-AM254-AO254)</f>
        <v/>
      </c>
      <c r="AQ254" s="6">
        <f>IF(AP254&lt;=490,0,IF(AP254&lt;=600,(AP254-490)*0.05,IF(AP254&lt;=730,5.5+(AP254-600)*0.10,IF(AP254&lt;=3896.67,18.5+(AP254-730)*0.175,IF(AP254&lt;=19896.67,572.67+(AP254-3896.67)*0.25,IF(AP254&lt;=50416.67,4572.67+(AP254-19896.67)*0.30,13728.67+(AP254-50416.67)*0.35))))))</f>
        <v/>
      </c>
      <c r="AR254" s="6">
        <f>SUM(AM254,AQ254,W254,X254,Y254,Z254,AA254,AN254,AO254)</f>
        <v/>
      </c>
      <c r="AS254" s="6">
        <f>AL254-AR254</f>
        <v/>
      </c>
      <c r="AT254" s="6">
        <f>AB254-AC254</f>
        <v/>
      </c>
    </row>
    <row r="255">
      <c r="A255" s="2" t="n"/>
      <c r="B255" s="3" t="n"/>
      <c r="C255" s="4" t="n"/>
      <c r="D255" s="5" t="n"/>
      <c r="E255" s="3" t="n"/>
      <c r="F255" s="4" t="n"/>
      <c r="G255" s="5" t="n"/>
      <c r="H255" s="3" t="n"/>
      <c r="I255" s="4" t="n"/>
      <c r="J255" s="5" t="n"/>
      <c r="K255" s="3" t="n"/>
      <c r="L255" s="4" t="n"/>
      <c r="M255" s="5" t="n"/>
      <c r="N255" s="3" t="n"/>
      <c r="O255" s="4" t="n"/>
      <c r="P255" s="5" t="n"/>
      <c r="Q255" s="3" t="n"/>
      <c r="R255" s="4" t="n"/>
      <c r="S255" s="5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6">
        <f>IF(C255=0,0,IF(E255="",B255*D255/100,E255))</f>
        <v/>
      </c>
      <c r="AE255" s="6">
        <f>IF(F255=0,0,IF(H255="",B255*G255/100,H255))</f>
        <v/>
      </c>
      <c r="AF255" s="6">
        <f>IF(I255=0,0,IF(K255="",B255*J255/100,K255))</f>
        <v/>
      </c>
      <c r="AG255" s="6">
        <f>IF(L255=0,0,IF(N255="",B255*M255/100,N255))</f>
        <v/>
      </c>
      <c r="AH255" s="6">
        <f>IF(O255=0,0,IF(Q255="",B255*P255/100,Q255))</f>
        <v/>
      </c>
      <c r="AI255" s="6">
        <f>IF(R255=0,0,IF(T255="",B255*S255/100,T255))</f>
        <v/>
      </c>
      <c r="AJ255" s="6">
        <f>B255*0.035</f>
        <v/>
      </c>
      <c r="AK255" s="6">
        <f>B255*0.065</f>
        <v/>
      </c>
      <c r="AL255" s="6">
        <f>SUM(B255,AD255,AE255,AF255,AG255,AH255,AI255,U255,V255,AJ255,AK255)</f>
        <v/>
      </c>
      <c r="AM255" s="6">
        <f>B255*0.055</f>
        <v/>
      </c>
      <c r="AN255" s="6">
        <f>B255*0.035</f>
        <v/>
      </c>
      <c r="AO255" s="6">
        <f>B255*0.165</f>
        <v/>
      </c>
      <c r="AP255" s="6">
        <f>MAX(0,AL255-AM255-AO255)</f>
        <v/>
      </c>
      <c r="AQ255" s="6">
        <f>IF(AP255&lt;=490,0,IF(AP255&lt;=600,(AP255-490)*0.05,IF(AP255&lt;=730,5.5+(AP255-600)*0.10,IF(AP255&lt;=3896.67,18.5+(AP255-730)*0.175,IF(AP255&lt;=19896.67,572.67+(AP255-3896.67)*0.25,IF(AP255&lt;=50416.67,4572.67+(AP255-19896.67)*0.30,13728.67+(AP255-50416.67)*0.35))))))</f>
        <v/>
      </c>
      <c r="AR255" s="6">
        <f>SUM(AM255,AQ255,W255,X255,Y255,Z255,AA255,AN255,AO255)</f>
        <v/>
      </c>
      <c r="AS255" s="6">
        <f>AL255-AR255</f>
        <v/>
      </c>
      <c r="AT255" s="6">
        <f>AB255-AC255</f>
        <v/>
      </c>
    </row>
    <row r="256">
      <c r="A256" s="2" t="n"/>
      <c r="B256" s="3" t="n"/>
      <c r="C256" s="4" t="n"/>
      <c r="D256" s="5" t="n"/>
      <c r="E256" s="3" t="n"/>
      <c r="F256" s="4" t="n"/>
      <c r="G256" s="5" t="n"/>
      <c r="H256" s="3" t="n"/>
      <c r="I256" s="4" t="n"/>
      <c r="J256" s="5" t="n"/>
      <c r="K256" s="3" t="n"/>
      <c r="L256" s="4" t="n"/>
      <c r="M256" s="5" t="n"/>
      <c r="N256" s="3" t="n"/>
      <c r="O256" s="4" t="n"/>
      <c r="P256" s="5" t="n"/>
      <c r="Q256" s="3" t="n"/>
      <c r="R256" s="4" t="n"/>
      <c r="S256" s="5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6">
        <f>IF(C256=0,0,IF(E256="",B256*D256/100,E256))</f>
        <v/>
      </c>
      <c r="AE256" s="6">
        <f>IF(F256=0,0,IF(H256="",B256*G256/100,H256))</f>
        <v/>
      </c>
      <c r="AF256" s="6">
        <f>IF(I256=0,0,IF(K256="",B256*J256/100,K256))</f>
        <v/>
      </c>
      <c r="AG256" s="6">
        <f>IF(L256=0,0,IF(N256="",B256*M256/100,N256))</f>
        <v/>
      </c>
      <c r="AH256" s="6">
        <f>IF(O256=0,0,IF(Q256="",B256*P256/100,Q256))</f>
        <v/>
      </c>
      <c r="AI256" s="6">
        <f>IF(R256=0,0,IF(T256="",B256*S256/100,T256))</f>
        <v/>
      </c>
      <c r="AJ256" s="6">
        <f>B256*0.035</f>
        <v/>
      </c>
      <c r="AK256" s="6">
        <f>B256*0.065</f>
        <v/>
      </c>
      <c r="AL256" s="6">
        <f>SUM(B256,AD256,AE256,AF256,AG256,AH256,AI256,U256,V256,AJ256,AK256)</f>
        <v/>
      </c>
      <c r="AM256" s="6">
        <f>B256*0.055</f>
        <v/>
      </c>
      <c r="AN256" s="6">
        <f>B256*0.035</f>
        <v/>
      </c>
      <c r="AO256" s="6">
        <f>B256*0.165</f>
        <v/>
      </c>
      <c r="AP256" s="6">
        <f>MAX(0,AL256-AM256-AO256)</f>
        <v/>
      </c>
      <c r="AQ256" s="6">
        <f>IF(AP256&lt;=490,0,IF(AP256&lt;=600,(AP256-490)*0.05,IF(AP256&lt;=730,5.5+(AP256-600)*0.10,IF(AP256&lt;=3896.67,18.5+(AP256-730)*0.175,IF(AP256&lt;=19896.67,572.67+(AP256-3896.67)*0.25,IF(AP256&lt;=50416.67,4572.67+(AP256-19896.67)*0.30,13728.67+(AP256-50416.67)*0.35))))))</f>
        <v/>
      </c>
      <c r="AR256" s="6">
        <f>SUM(AM256,AQ256,W256,X256,Y256,Z256,AA256,AN256,AO256)</f>
        <v/>
      </c>
      <c r="AS256" s="6">
        <f>AL256-AR256</f>
        <v/>
      </c>
      <c r="AT256" s="6">
        <f>AB256-AC256</f>
        <v/>
      </c>
    </row>
    <row r="257">
      <c r="A257" s="2" t="n"/>
      <c r="B257" s="3" t="n"/>
      <c r="C257" s="4" t="n"/>
      <c r="D257" s="5" t="n"/>
      <c r="E257" s="3" t="n"/>
      <c r="F257" s="4" t="n"/>
      <c r="G257" s="5" t="n"/>
      <c r="H257" s="3" t="n"/>
      <c r="I257" s="4" t="n"/>
      <c r="J257" s="5" t="n"/>
      <c r="K257" s="3" t="n"/>
      <c r="L257" s="4" t="n"/>
      <c r="M257" s="5" t="n"/>
      <c r="N257" s="3" t="n"/>
      <c r="O257" s="4" t="n"/>
      <c r="P257" s="5" t="n"/>
      <c r="Q257" s="3" t="n"/>
      <c r="R257" s="4" t="n"/>
      <c r="S257" s="5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6">
        <f>IF(C257=0,0,IF(E257="",B257*D257/100,E257))</f>
        <v/>
      </c>
      <c r="AE257" s="6">
        <f>IF(F257=0,0,IF(H257="",B257*G257/100,H257))</f>
        <v/>
      </c>
      <c r="AF257" s="6">
        <f>IF(I257=0,0,IF(K257="",B257*J257/100,K257))</f>
        <v/>
      </c>
      <c r="AG257" s="6">
        <f>IF(L257=0,0,IF(N257="",B257*M257/100,N257))</f>
        <v/>
      </c>
      <c r="AH257" s="6">
        <f>IF(O257=0,0,IF(Q257="",B257*P257/100,Q257))</f>
        <v/>
      </c>
      <c r="AI257" s="6">
        <f>IF(R257=0,0,IF(T257="",B257*S257/100,T257))</f>
        <v/>
      </c>
      <c r="AJ257" s="6">
        <f>B257*0.035</f>
        <v/>
      </c>
      <c r="AK257" s="6">
        <f>B257*0.065</f>
        <v/>
      </c>
      <c r="AL257" s="6">
        <f>SUM(B257,AD257,AE257,AF257,AG257,AH257,AI257,U257,V257,AJ257,AK257)</f>
        <v/>
      </c>
      <c r="AM257" s="6">
        <f>B257*0.055</f>
        <v/>
      </c>
      <c r="AN257" s="6">
        <f>B257*0.035</f>
        <v/>
      </c>
      <c r="AO257" s="6">
        <f>B257*0.165</f>
        <v/>
      </c>
      <c r="AP257" s="6">
        <f>MAX(0,AL257-AM257-AO257)</f>
        <v/>
      </c>
      <c r="AQ257" s="6">
        <f>IF(AP257&lt;=490,0,IF(AP257&lt;=600,(AP257-490)*0.05,IF(AP257&lt;=730,5.5+(AP257-600)*0.10,IF(AP257&lt;=3896.67,18.5+(AP257-730)*0.175,IF(AP257&lt;=19896.67,572.67+(AP257-3896.67)*0.25,IF(AP257&lt;=50416.67,4572.67+(AP257-19896.67)*0.30,13728.67+(AP257-50416.67)*0.35))))))</f>
        <v/>
      </c>
      <c r="AR257" s="6">
        <f>SUM(AM257,AQ257,W257,X257,Y257,Z257,AA257,AN257,AO257)</f>
        <v/>
      </c>
      <c r="AS257" s="6">
        <f>AL257-AR257</f>
        <v/>
      </c>
      <c r="AT257" s="6">
        <f>AB257-AC257</f>
        <v/>
      </c>
    </row>
    <row r="258">
      <c r="A258" s="2" t="n"/>
      <c r="B258" s="3" t="n"/>
      <c r="C258" s="4" t="n"/>
      <c r="D258" s="5" t="n"/>
      <c r="E258" s="3" t="n"/>
      <c r="F258" s="4" t="n"/>
      <c r="G258" s="5" t="n"/>
      <c r="H258" s="3" t="n"/>
      <c r="I258" s="4" t="n"/>
      <c r="J258" s="5" t="n"/>
      <c r="K258" s="3" t="n"/>
      <c r="L258" s="4" t="n"/>
      <c r="M258" s="5" t="n"/>
      <c r="N258" s="3" t="n"/>
      <c r="O258" s="4" t="n"/>
      <c r="P258" s="5" t="n"/>
      <c r="Q258" s="3" t="n"/>
      <c r="R258" s="4" t="n"/>
      <c r="S258" s="5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6">
        <f>IF(C258=0,0,IF(E258="",B258*D258/100,E258))</f>
        <v/>
      </c>
      <c r="AE258" s="6">
        <f>IF(F258=0,0,IF(H258="",B258*G258/100,H258))</f>
        <v/>
      </c>
      <c r="AF258" s="6">
        <f>IF(I258=0,0,IF(K258="",B258*J258/100,K258))</f>
        <v/>
      </c>
      <c r="AG258" s="6">
        <f>IF(L258=0,0,IF(N258="",B258*M258/100,N258))</f>
        <v/>
      </c>
      <c r="AH258" s="6">
        <f>IF(O258=0,0,IF(Q258="",B258*P258/100,Q258))</f>
        <v/>
      </c>
      <c r="AI258" s="6">
        <f>IF(R258=0,0,IF(T258="",B258*S258/100,T258))</f>
        <v/>
      </c>
      <c r="AJ258" s="6">
        <f>B258*0.035</f>
        <v/>
      </c>
      <c r="AK258" s="6">
        <f>B258*0.065</f>
        <v/>
      </c>
      <c r="AL258" s="6">
        <f>SUM(B258,AD258,AE258,AF258,AG258,AH258,AI258,U258,V258,AJ258,AK258)</f>
        <v/>
      </c>
      <c r="AM258" s="6">
        <f>B258*0.055</f>
        <v/>
      </c>
      <c r="AN258" s="6">
        <f>B258*0.035</f>
        <v/>
      </c>
      <c r="AO258" s="6">
        <f>B258*0.165</f>
        <v/>
      </c>
      <c r="AP258" s="6">
        <f>MAX(0,AL258-AM258-AO258)</f>
        <v/>
      </c>
      <c r="AQ258" s="6">
        <f>IF(AP258&lt;=490,0,IF(AP258&lt;=600,(AP258-490)*0.05,IF(AP258&lt;=730,5.5+(AP258-600)*0.10,IF(AP258&lt;=3896.67,18.5+(AP258-730)*0.175,IF(AP258&lt;=19896.67,572.67+(AP258-3896.67)*0.25,IF(AP258&lt;=50416.67,4572.67+(AP258-19896.67)*0.30,13728.67+(AP258-50416.67)*0.35))))))</f>
        <v/>
      </c>
      <c r="AR258" s="6">
        <f>SUM(AM258,AQ258,W258,X258,Y258,Z258,AA258,AN258,AO258)</f>
        <v/>
      </c>
      <c r="AS258" s="6">
        <f>AL258-AR258</f>
        <v/>
      </c>
      <c r="AT258" s="6">
        <f>AB258-AC258</f>
        <v/>
      </c>
    </row>
    <row r="259">
      <c r="A259" s="2" t="n"/>
      <c r="B259" s="3" t="n"/>
      <c r="C259" s="4" t="n"/>
      <c r="D259" s="5" t="n"/>
      <c r="E259" s="3" t="n"/>
      <c r="F259" s="4" t="n"/>
      <c r="G259" s="5" t="n"/>
      <c r="H259" s="3" t="n"/>
      <c r="I259" s="4" t="n"/>
      <c r="J259" s="5" t="n"/>
      <c r="K259" s="3" t="n"/>
      <c r="L259" s="4" t="n"/>
      <c r="M259" s="5" t="n"/>
      <c r="N259" s="3" t="n"/>
      <c r="O259" s="4" t="n"/>
      <c r="P259" s="5" t="n"/>
      <c r="Q259" s="3" t="n"/>
      <c r="R259" s="4" t="n"/>
      <c r="S259" s="5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6">
        <f>IF(C259=0,0,IF(E259="",B259*D259/100,E259))</f>
        <v/>
      </c>
      <c r="AE259" s="6">
        <f>IF(F259=0,0,IF(H259="",B259*G259/100,H259))</f>
        <v/>
      </c>
      <c r="AF259" s="6">
        <f>IF(I259=0,0,IF(K259="",B259*J259/100,K259))</f>
        <v/>
      </c>
      <c r="AG259" s="6">
        <f>IF(L259=0,0,IF(N259="",B259*M259/100,N259))</f>
        <v/>
      </c>
      <c r="AH259" s="6">
        <f>IF(O259=0,0,IF(Q259="",B259*P259/100,Q259))</f>
        <v/>
      </c>
      <c r="AI259" s="6">
        <f>IF(R259=0,0,IF(T259="",B259*S259/100,T259))</f>
        <v/>
      </c>
      <c r="AJ259" s="6">
        <f>B259*0.035</f>
        <v/>
      </c>
      <c r="AK259" s="6">
        <f>B259*0.065</f>
        <v/>
      </c>
      <c r="AL259" s="6">
        <f>SUM(B259,AD259,AE259,AF259,AG259,AH259,AI259,U259,V259,AJ259,AK259)</f>
        <v/>
      </c>
      <c r="AM259" s="6">
        <f>B259*0.055</f>
        <v/>
      </c>
      <c r="AN259" s="6">
        <f>B259*0.035</f>
        <v/>
      </c>
      <c r="AO259" s="6">
        <f>B259*0.165</f>
        <v/>
      </c>
      <c r="AP259" s="6">
        <f>MAX(0,AL259-AM259-AO259)</f>
        <v/>
      </c>
      <c r="AQ259" s="6">
        <f>IF(AP259&lt;=490,0,IF(AP259&lt;=600,(AP259-490)*0.05,IF(AP259&lt;=730,5.5+(AP259-600)*0.10,IF(AP259&lt;=3896.67,18.5+(AP259-730)*0.175,IF(AP259&lt;=19896.67,572.67+(AP259-3896.67)*0.25,IF(AP259&lt;=50416.67,4572.67+(AP259-19896.67)*0.30,13728.67+(AP259-50416.67)*0.35))))))</f>
        <v/>
      </c>
      <c r="AR259" s="6">
        <f>SUM(AM259,AQ259,W259,X259,Y259,Z259,AA259,AN259,AO259)</f>
        <v/>
      </c>
      <c r="AS259" s="6">
        <f>AL259-AR259</f>
        <v/>
      </c>
      <c r="AT259" s="6">
        <f>AB259-AC259</f>
        <v/>
      </c>
    </row>
    <row r="260">
      <c r="A260" s="2" t="n"/>
      <c r="B260" s="3" t="n"/>
      <c r="C260" s="4" t="n"/>
      <c r="D260" s="5" t="n"/>
      <c r="E260" s="3" t="n"/>
      <c r="F260" s="4" t="n"/>
      <c r="G260" s="5" t="n"/>
      <c r="H260" s="3" t="n"/>
      <c r="I260" s="4" t="n"/>
      <c r="J260" s="5" t="n"/>
      <c r="K260" s="3" t="n"/>
      <c r="L260" s="4" t="n"/>
      <c r="M260" s="5" t="n"/>
      <c r="N260" s="3" t="n"/>
      <c r="O260" s="4" t="n"/>
      <c r="P260" s="5" t="n"/>
      <c r="Q260" s="3" t="n"/>
      <c r="R260" s="4" t="n"/>
      <c r="S260" s="5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6">
        <f>IF(C260=0,0,IF(E260="",B260*D260/100,E260))</f>
        <v/>
      </c>
      <c r="AE260" s="6">
        <f>IF(F260=0,0,IF(H260="",B260*G260/100,H260))</f>
        <v/>
      </c>
      <c r="AF260" s="6">
        <f>IF(I260=0,0,IF(K260="",B260*J260/100,K260))</f>
        <v/>
      </c>
      <c r="AG260" s="6">
        <f>IF(L260=0,0,IF(N260="",B260*M260/100,N260))</f>
        <v/>
      </c>
      <c r="AH260" s="6">
        <f>IF(O260=0,0,IF(Q260="",B260*P260/100,Q260))</f>
        <v/>
      </c>
      <c r="AI260" s="6">
        <f>IF(R260=0,0,IF(T260="",B260*S260/100,T260))</f>
        <v/>
      </c>
      <c r="AJ260" s="6">
        <f>B260*0.035</f>
        <v/>
      </c>
      <c r="AK260" s="6">
        <f>B260*0.065</f>
        <v/>
      </c>
      <c r="AL260" s="6">
        <f>SUM(B260,AD260,AE260,AF260,AG260,AH260,AI260,U260,V260,AJ260,AK260)</f>
        <v/>
      </c>
      <c r="AM260" s="6">
        <f>B260*0.055</f>
        <v/>
      </c>
      <c r="AN260" s="6">
        <f>B260*0.035</f>
        <v/>
      </c>
      <c r="AO260" s="6">
        <f>B260*0.165</f>
        <v/>
      </c>
      <c r="AP260" s="6">
        <f>MAX(0,AL260-AM260-AO260)</f>
        <v/>
      </c>
      <c r="AQ260" s="6">
        <f>IF(AP260&lt;=490,0,IF(AP260&lt;=600,(AP260-490)*0.05,IF(AP260&lt;=730,5.5+(AP260-600)*0.10,IF(AP260&lt;=3896.67,18.5+(AP260-730)*0.175,IF(AP260&lt;=19896.67,572.67+(AP260-3896.67)*0.25,IF(AP260&lt;=50416.67,4572.67+(AP260-19896.67)*0.30,13728.67+(AP260-50416.67)*0.35))))))</f>
        <v/>
      </c>
      <c r="AR260" s="6">
        <f>SUM(AM260,AQ260,W260,X260,Y260,Z260,AA260,AN260,AO260)</f>
        <v/>
      </c>
      <c r="AS260" s="6">
        <f>AL260-AR260</f>
        <v/>
      </c>
      <c r="AT260" s="6">
        <f>AB260-AC260</f>
        <v/>
      </c>
    </row>
    <row r="261">
      <c r="A261" s="2" t="n"/>
      <c r="B261" s="3" t="n"/>
      <c r="C261" s="4" t="n"/>
      <c r="D261" s="5" t="n"/>
      <c r="E261" s="3" t="n"/>
      <c r="F261" s="4" t="n"/>
      <c r="G261" s="5" t="n"/>
      <c r="H261" s="3" t="n"/>
      <c r="I261" s="4" t="n"/>
      <c r="J261" s="5" t="n"/>
      <c r="K261" s="3" t="n"/>
      <c r="L261" s="4" t="n"/>
      <c r="M261" s="5" t="n"/>
      <c r="N261" s="3" t="n"/>
      <c r="O261" s="4" t="n"/>
      <c r="P261" s="5" t="n"/>
      <c r="Q261" s="3" t="n"/>
      <c r="R261" s="4" t="n"/>
      <c r="S261" s="5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6">
        <f>IF(C261=0,0,IF(E261="",B261*D261/100,E261))</f>
        <v/>
      </c>
      <c r="AE261" s="6">
        <f>IF(F261=0,0,IF(H261="",B261*G261/100,H261))</f>
        <v/>
      </c>
      <c r="AF261" s="6">
        <f>IF(I261=0,0,IF(K261="",B261*J261/100,K261))</f>
        <v/>
      </c>
      <c r="AG261" s="6">
        <f>IF(L261=0,0,IF(N261="",B261*M261/100,N261))</f>
        <v/>
      </c>
      <c r="AH261" s="6">
        <f>IF(O261=0,0,IF(Q261="",B261*P261/100,Q261))</f>
        <v/>
      </c>
      <c r="AI261" s="6">
        <f>IF(R261=0,0,IF(T261="",B261*S261/100,T261))</f>
        <v/>
      </c>
      <c r="AJ261" s="6">
        <f>B261*0.035</f>
        <v/>
      </c>
      <c r="AK261" s="6">
        <f>B261*0.065</f>
        <v/>
      </c>
      <c r="AL261" s="6">
        <f>SUM(B261,AD261,AE261,AF261,AG261,AH261,AI261,U261,V261,AJ261,AK261)</f>
        <v/>
      </c>
      <c r="AM261" s="6">
        <f>B261*0.055</f>
        <v/>
      </c>
      <c r="AN261" s="6">
        <f>B261*0.035</f>
        <v/>
      </c>
      <c r="AO261" s="6">
        <f>B261*0.165</f>
        <v/>
      </c>
      <c r="AP261" s="6">
        <f>MAX(0,AL261-AM261-AO261)</f>
        <v/>
      </c>
      <c r="AQ261" s="6">
        <f>IF(AP261&lt;=490,0,IF(AP261&lt;=600,(AP261-490)*0.05,IF(AP261&lt;=730,5.5+(AP261-600)*0.10,IF(AP261&lt;=3896.67,18.5+(AP261-730)*0.175,IF(AP261&lt;=19896.67,572.67+(AP261-3896.67)*0.25,IF(AP261&lt;=50416.67,4572.67+(AP261-19896.67)*0.30,13728.67+(AP261-50416.67)*0.35))))))</f>
        <v/>
      </c>
      <c r="AR261" s="6">
        <f>SUM(AM261,AQ261,W261,X261,Y261,Z261,AA261,AN261,AO261)</f>
        <v/>
      </c>
      <c r="AS261" s="6">
        <f>AL261-AR261</f>
        <v/>
      </c>
      <c r="AT261" s="6">
        <f>AB261-AC261</f>
        <v/>
      </c>
    </row>
    <row r="262">
      <c r="A262" s="2" t="n"/>
      <c r="B262" s="3" t="n"/>
      <c r="C262" s="4" t="n"/>
      <c r="D262" s="5" t="n"/>
      <c r="E262" s="3" t="n"/>
      <c r="F262" s="4" t="n"/>
      <c r="G262" s="5" t="n"/>
      <c r="H262" s="3" t="n"/>
      <c r="I262" s="4" t="n"/>
      <c r="J262" s="5" t="n"/>
      <c r="K262" s="3" t="n"/>
      <c r="L262" s="4" t="n"/>
      <c r="M262" s="5" t="n"/>
      <c r="N262" s="3" t="n"/>
      <c r="O262" s="4" t="n"/>
      <c r="P262" s="5" t="n"/>
      <c r="Q262" s="3" t="n"/>
      <c r="R262" s="4" t="n"/>
      <c r="S262" s="5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6">
        <f>IF(C262=0,0,IF(E262="",B262*D262/100,E262))</f>
        <v/>
      </c>
      <c r="AE262" s="6">
        <f>IF(F262=0,0,IF(H262="",B262*G262/100,H262))</f>
        <v/>
      </c>
      <c r="AF262" s="6">
        <f>IF(I262=0,0,IF(K262="",B262*J262/100,K262))</f>
        <v/>
      </c>
      <c r="AG262" s="6">
        <f>IF(L262=0,0,IF(N262="",B262*M262/100,N262))</f>
        <v/>
      </c>
      <c r="AH262" s="6">
        <f>IF(O262=0,0,IF(Q262="",B262*P262/100,Q262))</f>
        <v/>
      </c>
      <c r="AI262" s="6">
        <f>IF(R262=0,0,IF(T262="",B262*S262/100,T262))</f>
        <v/>
      </c>
      <c r="AJ262" s="6">
        <f>B262*0.035</f>
        <v/>
      </c>
      <c r="AK262" s="6">
        <f>B262*0.065</f>
        <v/>
      </c>
      <c r="AL262" s="6">
        <f>SUM(B262,AD262,AE262,AF262,AG262,AH262,AI262,U262,V262,AJ262,AK262)</f>
        <v/>
      </c>
      <c r="AM262" s="6">
        <f>B262*0.055</f>
        <v/>
      </c>
      <c r="AN262" s="6">
        <f>B262*0.035</f>
        <v/>
      </c>
      <c r="AO262" s="6">
        <f>B262*0.165</f>
        <v/>
      </c>
      <c r="AP262" s="6">
        <f>MAX(0,AL262-AM262-AO262)</f>
        <v/>
      </c>
      <c r="AQ262" s="6">
        <f>IF(AP262&lt;=490,0,IF(AP262&lt;=600,(AP262-490)*0.05,IF(AP262&lt;=730,5.5+(AP262-600)*0.10,IF(AP262&lt;=3896.67,18.5+(AP262-730)*0.175,IF(AP262&lt;=19896.67,572.67+(AP262-3896.67)*0.25,IF(AP262&lt;=50416.67,4572.67+(AP262-19896.67)*0.30,13728.67+(AP262-50416.67)*0.35))))))</f>
        <v/>
      </c>
      <c r="AR262" s="6">
        <f>SUM(AM262,AQ262,W262,X262,Y262,Z262,AA262,AN262,AO262)</f>
        <v/>
      </c>
      <c r="AS262" s="6">
        <f>AL262-AR262</f>
        <v/>
      </c>
      <c r="AT262" s="6">
        <f>AB262-AC262</f>
        <v/>
      </c>
    </row>
    <row r="263">
      <c r="A263" s="2" t="n"/>
      <c r="B263" s="3" t="n"/>
      <c r="C263" s="4" t="n"/>
      <c r="D263" s="5" t="n"/>
      <c r="E263" s="3" t="n"/>
      <c r="F263" s="4" t="n"/>
      <c r="G263" s="5" t="n"/>
      <c r="H263" s="3" t="n"/>
      <c r="I263" s="4" t="n"/>
      <c r="J263" s="5" t="n"/>
      <c r="K263" s="3" t="n"/>
      <c r="L263" s="4" t="n"/>
      <c r="M263" s="5" t="n"/>
      <c r="N263" s="3" t="n"/>
      <c r="O263" s="4" t="n"/>
      <c r="P263" s="5" t="n"/>
      <c r="Q263" s="3" t="n"/>
      <c r="R263" s="4" t="n"/>
      <c r="S263" s="5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6">
        <f>IF(C263=0,0,IF(E263="",B263*D263/100,E263))</f>
        <v/>
      </c>
      <c r="AE263" s="6">
        <f>IF(F263=0,0,IF(H263="",B263*G263/100,H263))</f>
        <v/>
      </c>
      <c r="AF263" s="6">
        <f>IF(I263=0,0,IF(K263="",B263*J263/100,K263))</f>
        <v/>
      </c>
      <c r="AG263" s="6">
        <f>IF(L263=0,0,IF(N263="",B263*M263/100,N263))</f>
        <v/>
      </c>
      <c r="AH263" s="6">
        <f>IF(O263=0,0,IF(Q263="",B263*P263/100,Q263))</f>
        <v/>
      </c>
      <c r="AI263" s="6">
        <f>IF(R263=0,0,IF(T263="",B263*S263/100,T263))</f>
        <v/>
      </c>
      <c r="AJ263" s="6">
        <f>B263*0.035</f>
        <v/>
      </c>
      <c r="AK263" s="6">
        <f>B263*0.065</f>
        <v/>
      </c>
      <c r="AL263" s="6">
        <f>SUM(B263,AD263,AE263,AF263,AG263,AH263,AI263,U263,V263,AJ263,AK263)</f>
        <v/>
      </c>
      <c r="AM263" s="6">
        <f>B263*0.055</f>
        <v/>
      </c>
      <c r="AN263" s="6">
        <f>B263*0.035</f>
        <v/>
      </c>
      <c r="AO263" s="6">
        <f>B263*0.165</f>
        <v/>
      </c>
      <c r="AP263" s="6">
        <f>MAX(0,AL263-AM263-AO263)</f>
        <v/>
      </c>
      <c r="AQ263" s="6">
        <f>IF(AP263&lt;=490,0,IF(AP263&lt;=600,(AP263-490)*0.05,IF(AP263&lt;=730,5.5+(AP263-600)*0.10,IF(AP263&lt;=3896.67,18.5+(AP263-730)*0.175,IF(AP263&lt;=19896.67,572.67+(AP263-3896.67)*0.25,IF(AP263&lt;=50416.67,4572.67+(AP263-19896.67)*0.30,13728.67+(AP263-50416.67)*0.35))))))</f>
        <v/>
      </c>
      <c r="AR263" s="6">
        <f>SUM(AM263,AQ263,W263,X263,Y263,Z263,AA263,AN263,AO263)</f>
        <v/>
      </c>
      <c r="AS263" s="6">
        <f>AL263-AR263</f>
        <v/>
      </c>
      <c r="AT263" s="6">
        <f>AB263-AC263</f>
        <v/>
      </c>
    </row>
    <row r="264">
      <c r="A264" s="2" t="n"/>
      <c r="B264" s="3" t="n"/>
      <c r="C264" s="4" t="n"/>
      <c r="D264" s="5" t="n"/>
      <c r="E264" s="3" t="n"/>
      <c r="F264" s="4" t="n"/>
      <c r="G264" s="5" t="n"/>
      <c r="H264" s="3" t="n"/>
      <c r="I264" s="4" t="n"/>
      <c r="J264" s="5" t="n"/>
      <c r="K264" s="3" t="n"/>
      <c r="L264" s="4" t="n"/>
      <c r="M264" s="5" t="n"/>
      <c r="N264" s="3" t="n"/>
      <c r="O264" s="4" t="n"/>
      <c r="P264" s="5" t="n"/>
      <c r="Q264" s="3" t="n"/>
      <c r="R264" s="4" t="n"/>
      <c r="S264" s="5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6">
        <f>IF(C264=0,0,IF(E264="",B264*D264/100,E264))</f>
        <v/>
      </c>
      <c r="AE264" s="6">
        <f>IF(F264=0,0,IF(H264="",B264*G264/100,H264))</f>
        <v/>
      </c>
      <c r="AF264" s="6">
        <f>IF(I264=0,0,IF(K264="",B264*J264/100,K264))</f>
        <v/>
      </c>
      <c r="AG264" s="6">
        <f>IF(L264=0,0,IF(N264="",B264*M264/100,N264))</f>
        <v/>
      </c>
      <c r="AH264" s="6">
        <f>IF(O264=0,0,IF(Q264="",B264*P264/100,Q264))</f>
        <v/>
      </c>
      <c r="AI264" s="6">
        <f>IF(R264=0,0,IF(T264="",B264*S264/100,T264))</f>
        <v/>
      </c>
      <c r="AJ264" s="6">
        <f>B264*0.035</f>
        <v/>
      </c>
      <c r="AK264" s="6">
        <f>B264*0.065</f>
        <v/>
      </c>
      <c r="AL264" s="6">
        <f>SUM(B264,AD264,AE264,AF264,AG264,AH264,AI264,U264,V264,AJ264,AK264)</f>
        <v/>
      </c>
      <c r="AM264" s="6">
        <f>B264*0.055</f>
        <v/>
      </c>
      <c r="AN264" s="6">
        <f>B264*0.035</f>
        <v/>
      </c>
      <c r="AO264" s="6">
        <f>B264*0.165</f>
        <v/>
      </c>
      <c r="AP264" s="6">
        <f>MAX(0,AL264-AM264-AO264)</f>
        <v/>
      </c>
      <c r="AQ264" s="6">
        <f>IF(AP264&lt;=490,0,IF(AP264&lt;=600,(AP264-490)*0.05,IF(AP264&lt;=730,5.5+(AP264-600)*0.10,IF(AP264&lt;=3896.67,18.5+(AP264-730)*0.175,IF(AP264&lt;=19896.67,572.67+(AP264-3896.67)*0.25,IF(AP264&lt;=50416.67,4572.67+(AP264-19896.67)*0.30,13728.67+(AP264-50416.67)*0.35))))))</f>
        <v/>
      </c>
      <c r="AR264" s="6">
        <f>SUM(AM264,AQ264,W264,X264,Y264,Z264,AA264,AN264,AO264)</f>
        <v/>
      </c>
      <c r="AS264" s="6">
        <f>AL264-AR264</f>
        <v/>
      </c>
      <c r="AT264" s="6">
        <f>AB264-AC264</f>
        <v/>
      </c>
    </row>
    <row r="265">
      <c r="A265" s="2" t="n"/>
      <c r="B265" s="3" t="n"/>
      <c r="C265" s="4" t="n"/>
      <c r="D265" s="5" t="n"/>
      <c r="E265" s="3" t="n"/>
      <c r="F265" s="4" t="n"/>
      <c r="G265" s="5" t="n"/>
      <c r="H265" s="3" t="n"/>
      <c r="I265" s="4" t="n"/>
      <c r="J265" s="5" t="n"/>
      <c r="K265" s="3" t="n"/>
      <c r="L265" s="4" t="n"/>
      <c r="M265" s="5" t="n"/>
      <c r="N265" s="3" t="n"/>
      <c r="O265" s="4" t="n"/>
      <c r="P265" s="5" t="n"/>
      <c r="Q265" s="3" t="n"/>
      <c r="R265" s="4" t="n"/>
      <c r="S265" s="5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6">
        <f>IF(C265=0,0,IF(E265="",B265*D265/100,E265))</f>
        <v/>
      </c>
      <c r="AE265" s="6">
        <f>IF(F265=0,0,IF(H265="",B265*G265/100,H265))</f>
        <v/>
      </c>
      <c r="AF265" s="6">
        <f>IF(I265=0,0,IF(K265="",B265*J265/100,K265))</f>
        <v/>
      </c>
      <c r="AG265" s="6">
        <f>IF(L265=0,0,IF(N265="",B265*M265/100,N265))</f>
        <v/>
      </c>
      <c r="AH265" s="6">
        <f>IF(O265=0,0,IF(Q265="",B265*P265/100,Q265))</f>
        <v/>
      </c>
      <c r="AI265" s="6">
        <f>IF(R265=0,0,IF(T265="",B265*S265/100,T265))</f>
        <v/>
      </c>
      <c r="AJ265" s="6">
        <f>B265*0.035</f>
        <v/>
      </c>
      <c r="AK265" s="6">
        <f>B265*0.065</f>
        <v/>
      </c>
      <c r="AL265" s="6">
        <f>SUM(B265,AD265,AE265,AF265,AG265,AH265,AI265,U265,V265,AJ265,AK265)</f>
        <v/>
      </c>
      <c r="AM265" s="6">
        <f>B265*0.055</f>
        <v/>
      </c>
      <c r="AN265" s="6">
        <f>B265*0.035</f>
        <v/>
      </c>
      <c r="AO265" s="6">
        <f>B265*0.165</f>
        <v/>
      </c>
      <c r="AP265" s="6">
        <f>MAX(0,AL265-AM265-AO265)</f>
        <v/>
      </c>
      <c r="AQ265" s="6">
        <f>IF(AP265&lt;=490,0,IF(AP265&lt;=600,(AP265-490)*0.05,IF(AP265&lt;=730,5.5+(AP265-600)*0.10,IF(AP265&lt;=3896.67,18.5+(AP265-730)*0.175,IF(AP265&lt;=19896.67,572.67+(AP265-3896.67)*0.25,IF(AP265&lt;=50416.67,4572.67+(AP265-19896.67)*0.30,13728.67+(AP265-50416.67)*0.35))))))</f>
        <v/>
      </c>
      <c r="AR265" s="6">
        <f>SUM(AM265,AQ265,W265,X265,Y265,Z265,AA265,AN265,AO265)</f>
        <v/>
      </c>
      <c r="AS265" s="6">
        <f>AL265-AR265</f>
        <v/>
      </c>
      <c r="AT265" s="6">
        <f>AB265-AC265</f>
        <v/>
      </c>
    </row>
    <row r="266">
      <c r="A266" s="2" t="n"/>
      <c r="B266" s="3" t="n"/>
      <c r="C266" s="4" t="n"/>
      <c r="D266" s="5" t="n"/>
      <c r="E266" s="3" t="n"/>
      <c r="F266" s="4" t="n"/>
      <c r="G266" s="5" t="n"/>
      <c r="H266" s="3" t="n"/>
      <c r="I266" s="4" t="n"/>
      <c r="J266" s="5" t="n"/>
      <c r="K266" s="3" t="n"/>
      <c r="L266" s="4" t="n"/>
      <c r="M266" s="5" t="n"/>
      <c r="N266" s="3" t="n"/>
      <c r="O266" s="4" t="n"/>
      <c r="P266" s="5" t="n"/>
      <c r="Q266" s="3" t="n"/>
      <c r="R266" s="4" t="n"/>
      <c r="S266" s="5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6">
        <f>IF(C266=0,0,IF(E266="",B266*D266/100,E266))</f>
        <v/>
      </c>
      <c r="AE266" s="6">
        <f>IF(F266=0,0,IF(H266="",B266*G266/100,H266))</f>
        <v/>
      </c>
      <c r="AF266" s="6">
        <f>IF(I266=0,0,IF(K266="",B266*J266/100,K266))</f>
        <v/>
      </c>
      <c r="AG266" s="6">
        <f>IF(L266=0,0,IF(N266="",B266*M266/100,N266))</f>
        <v/>
      </c>
      <c r="AH266" s="6">
        <f>IF(O266=0,0,IF(Q266="",B266*P266/100,Q266))</f>
        <v/>
      </c>
      <c r="AI266" s="6">
        <f>IF(R266=0,0,IF(T266="",B266*S266/100,T266))</f>
        <v/>
      </c>
      <c r="AJ266" s="6">
        <f>B266*0.035</f>
        <v/>
      </c>
      <c r="AK266" s="6">
        <f>B266*0.065</f>
        <v/>
      </c>
      <c r="AL266" s="6">
        <f>SUM(B266,AD266,AE266,AF266,AG266,AH266,AI266,U266,V266,AJ266,AK266)</f>
        <v/>
      </c>
      <c r="AM266" s="6">
        <f>B266*0.055</f>
        <v/>
      </c>
      <c r="AN266" s="6">
        <f>B266*0.035</f>
        <v/>
      </c>
      <c r="AO266" s="6">
        <f>B266*0.165</f>
        <v/>
      </c>
      <c r="AP266" s="6">
        <f>MAX(0,AL266-AM266-AO266)</f>
        <v/>
      </c>
      <c r="AQ266" s="6">
        <f>IF(AP266&lt;=490,0,IF(AP266&lt;=600,(AP266-490)*0.05,IF(AP266&lt;=730,5.5+(AP266-600)*0.10,IF(AP266&lt;=3896.67,18.5+(AP266-730)*0.175,IF(AP266&lt;=19896.67,572.67+(AP266-3896.67)*0.25,IF(AP266&lt;=50416.67,4572.67+(AP266-19896.67)*0.30,13728.67+(AP266-50416.67)*0.35))))))</f>
        <v/>
      </c>
      <c r="AR266" s="6">
        <f>SUM(AM266,AQ266,W266,X266,Y266,Z266,AA266,AN266,AO266)</f>
        <v/>
      </c>
      <c r="AS266" s="6">
        <f>AL266-AR266</f>
        <v/>
      </c>
      <c r="AT266" s="6">
        <f>AB266-AC266</f>
        <v/>
      </c>
    </row>
    <row r="267">
      <c r="A267" s="2" t="n"/>
      <c r="B267" s="3" t="n"/>
      <c r="C267" s="4" t="n"/>
      <c r="D267" s="5" t="n"/>
      <c r="E267" s="3" t="n"/>
      <c r="F267" s="4" t="n"/>
      <c r="G267" s="5" t="n"/>
      <c r="H267" s="3" t="n"/>
      <c r="I267" s="4" t="n"/>
      <c r="J267" s="5" t="n"/>
      <c r="K267" s="3" t="n"/>
      <c r="L267" s="4" t="n"/>
      <c r="M267" s="5" t="n"/>
      <c r="N267" s="3" t="n"/>
      <c r="O267" s="4" t="n"/>
      <c r="P267" s="5" t="n"/>
      <c r="Q267" s="3" t="n"/>
      <c r="R267" s="4" t="n"/>
      <c r="S267" s="5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6">
        <f>IF(C267=0,0,IF(E267="",B267*D267/100,E267))</f>
        <v/>
      </c>
      <c r="AE267" s="6">
        <f>IF(F267=0,0,IF(H267="",B267*G267/100,H267))</f>
        <v/>
      </c>
      <c r="AF267" s="6">
        <f>IF(I267=0,0,IF(K267="",B267*J267/100,K267))</f>
        <v/>
      </c>
      <c r="AG267" s="6">
        <f>IF(L267=0,0,IF(N267="",B267*M267/100,N267))</f>
        <v/>
      </c>
      <c r="AH267" s="6">
        <f>IF(O267=0,0,IF(Q267="",B267*P267/100,Q267))</f>
        <v/>
      </c>
      <c r="AI267" s="6">
        <f>IF(R267=0,0,IF(T267="",B267*S267/100,T267))</f>
        <v/>
      </c>
      <c r="AJ267" s="6">
        <f>B267*0.035</f>
        <v/>
      </c>
      <c r="AK267" s="6">
        <f>B267*0.065</f>
        <v/>
      </c>
      <c r="AL267" s="6">
        <f>SUM(B267,AD267,AE267,AF267,AG267,AH267,AI267,U267,V267,AJ267,AK267)</f>
        <v/>
      </c>
      <c r="AM267" s="6">
        <f>B267*0.055</f>
        <v/>
      </c>
      <c r="AN267" s="6">
        <f>B267*0.035</f>
        <v/>
      </c>
      <c r="AO267" s="6">
        <f>B267*0.165</f>
        <v/>
      </c>
      <c r="AP267" s="6">
        <f>MAX(0,AL267-AM267-AO267)</f>
        <v/>
      </c>
      <c r="AQ267" s="6">
        <f>IF(AP267&lt;=490,0,IF(AP267&lt;=600,(AP267-490)*0.05,IF(AP267&lt;=730,5.5+(AP267-600)*0.10,IF(AP267&lt;=3896.67,18.5+(AP267-730)*0.175,IF(AP267&lt;=19896.67,572.67+(AP267-3896.67)*0.25,IF(AP267&lt;=50416.67,4572.67+(AP267-19896.67)*0.30,13728.67+(AP267-50416.67)*0.35))))))</f>
        <v/>
      </c>
      <c r="AR267" s="6">
        <f>SUM(AM267,AQ267,W267,X267,Y267,Z267,AA267,AN267,AO267)</f>
        <v/>
      </c>
      <c r="AS267" s="6">
        <f>AL267-AR267</f>
        <v/>
      </c>
      <c r="AT267" s="6">
        <f>AB267-AC267</f>
        <v/>
      </c>
    </row>
    <row r="268">
      <c r="A268" s="2" t="n"/>
      <c r="B268" s="3" t="n"/>
      <c r="C268" s="4" t="n"/>
      <c r="D268" s="5" t="n"/>
      <c r="E268" s="3" t="n"/>
      <c r="F268" s="4" t="n"/>
      <c r="G268" s="5" t="n"/>
      <c r="H268" s="3" t="n"/>
      <c r="I268" s="4" t="n"/>
      <c r="J268" s="5" t="n"/>
      <c r="K268" s="3" t="n"/>
      <c r="L268" s="4" t="n"/>
      <c r="M268" s="5" t="n"/>
      <c r="N268" s="3" t="n"/>
      <c r="O268" s="4" t="n"/>
      <c r="P268" s="5" t="n"/>
      <c r="Q268" s="3" t="n"/>
      <c r="R268" s="4" t="n"/>
      <c r="S268" s="5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6">
        <f>IF(C268=0,0,IF(E268="",B268*D268/100,E268))</f>
        <v/>
      </c>
      <c r="AE268" s="6">
        <f>IF(F268=0,0,IF(H268="",B268*G268/100,H268))</f>
        <v/>
      </c>
      <c r="AF268" s="6">
        <f>IF(I268=0,0,IF(K268="",B268*J268/100,K268))</f>
        <v/>
      </c>
      <c r="AG268" s="6">
        <f>IF(L268=0,0,IF(N268="",B268*M268/100,N268))</f>
        <v/>
      </c>
      <c r="AH268" s="6">
        <f>IF(O268=0,0,IF(Q268="",B268*P268/100,Q268))</f>
        <v/>
      </c>
      <c r="AI268" s="6">
        <f>IF(R268=0,0,IF(T268="",B268*S268/100,T268))</f>
        <v/>
      </c>
      <c r="AJ268" s="6">
        <f>B268*0.035</f>
        <v/>
      </c>
      <c r="AK268" s="6">
        <f>B268*0.065</f>
        <v/>
      </c>
      <c r="AL268" s="6">
        <f>SUM(B268,AD268,AE268,AF268,AG268,AH268,AI268,U268,V268,AJ268,AK268)</f>
        <v/>
      </c>
      <c r="AM268" s="6">
        <f>B268*0.055</f>
        <v/>
      </c>
      <c r="AN268" s="6">
        <f>B268*0.035</f>
        <v/>
      </c>
      <c r="AO268" s="6">
        <f>B268*0.165</f>
        <v/>
      </c>
      <c r="AP268" s="6">
        <f>MAX(0,AL268-AM268-AO268)</f>
        <v/>
      </c>
      <c r="AQ268" s="6">
        <f>IF(AP268&lt;=490,0,IF(AP268&lt;=600,(AP268-490)*0.05,IF(AP268&lt;=730,5.5+(AP268-600)*0.10,IF(AP268&lt;=3896.67,18.5+(AP268-730)*0.175,IF(AP268&lt;=19896.67,572.67+(AP268-3896.67)*0.25,IF(AP268&lt;=50416.67,4572.67+(AP268-19896.67)*0.30,13728.67+(AP268-50416.67)*0.35))))))</f>
        <v/>
      </c>
      <c r="AR268" s="6">
        <f>SUM(AM268,AQ268,W268,X268,Y268,Z268,AA268,AN268,AO268)</f>
        <v/>
      </c>
      <c r="AS268" s="6">
        <f>AL268-AR268</f>
        <v/>
      </c>
      <c r="AT268" s="6">
        <f>AB268-AC268</f>
        <v/>
      </c>
    </row>
    <row r="269">
      <c r="A269" s="2" t="n"/>
      <c r="B269" s="3" t="n"/>
      <c r="C269" s="4" t="n"/>
      <c r="D269" s="5" t="n"/>
      <c r="E269" s="3" t="n"/>
      <c r="F269" s="4" t="n"/>
      <c r="G269" s="5" t="n"/>
      <c r="H269" s="3" t="n"/>
      <c r="I269" s="4" t="n"/>
      <c r="J269" s="5" t="n"/>
      <c r="K269" s="3" t="n"/>
      <c r="L269" s="4" t="n"/>
      <c r="M269" s="5" t="n"/>
      <c r="N269" s="3" t="n"/>
      <c r="O269" s="4" t="n"/>
      <c r="P269" s="5" t="n"/>
      <c r="Q269" s="3" t="n"/>
      <c r="R269" s="4" t="n"/>
      <c r="S269" s="5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6">
        <f>IF(C269=0,0,IF(E269="",B269*D269/100,E269))</f>
        <v/>
      </c>
      <c r="AE269" s="6">
        <f>IF(F269=0,0,IF(H269="",B269*G269/100,H269))</f>
        <v/>
      </c>
      <c r="AF269" s="6">
        <f>IF(I269=0,0,IF(K269="",B269*J269/100,K269))</f>
        <v/>
      </c>
      <c r="AG269" s="6">
        <f>IF(L269=0,0,IF(N269="",B269*M269/100,N269))</f>
        <v/>
      </c>
      <c r="AH269" s="6">
        <f>IF(O269=0,0,IF(Q269="",B269*P269/100,Q269))</f>
        <v/>
      </c>
      <c r="AI269" s="6">
        <f>IF(R269=0,0,IF(T269="",B269*S269/100,T269))</f>
        <v/>
      </c>
      <c r="AJ269" s="6">
        <f>B269*0.035</f>
        <v/>
      </c>
      <c r="AK269" s="6">
        <f>B269*0.065</f>
        <v/>
      </c>
      <c r="AL269" s="6">
        <f>SUM(B269,AD269,AE269,AF269,AG269,AH269,AI269,U269,V269,AJ269,AK269)</f>
        <v/>
      </c>
      <c r="AM269" s="6">
        <f>B269*0.055</f>
        <v/>
      </c>
      <c r="AN269" s="6">
        <f>B269*0.035</f>
        <v/>
      </c>
      <c r="AO269" s="6">
        <f>B269*0.165</f>
        <v/>
      </c>
      <c r="AP269" s="6">
        <f>MAX(0,AL269-AM269-AO269)</f>
        <v/>
      </c>
      <c r="AQ269" s="6">
        <f>IF(AP269&lt;=490,0,IF(AP269&lt;=600,(AP269-490)*0.05,IF(AP269&lt;=730,5.5+(AP269-600)*0.10,IF(AP269&lt;=3896.67,18.5+(AP269-730)*0.175,IF(AP269&lt;=19896.67,572.67+(AP269-3896.67)*0.25,IF(AP269&lt;=50416.67,4572.67+(AP269-19896.67)*0.30,13728.67+(AP269-50416.67)*0.35))))))</f>
        <v/>
      </c>
      <c r="AR269" s="6">
        <f>SUM(AM269,AQ269,W269,X269,Y269,Z269,AA269,AN269,AO269)</f>
        <v/>
      </c>
      <c r="AS269" s="6">
        <f>AL269-AR269</f>
        <v/>
      </c>
      <c r="AT269" s="6">
        <f>AB269-AC269</f>
        <v/>
      </c>
    </row>
    <row r="270">
      <c r="A270" s="2" t="n"/>
      <c r="B270" s="3" t="n"/>
      <c r="C270" s="4" t="n"/>
      <c r="D270" s="5" t="n"/>
      <c r="E270" s="3" t="n"/>
      <c r="F270" s="4" t="n"/>
      <c r="G270" s="5" t="n"/>
      <c r="H270" s="3" t="n"/>
      <c r="I270" s="4" t="n"/>
      <c r="J270" s="5" t="n"/>
      <c r="K270" s="3" t="n"/>
      <c r="L270" s="4" t="n"/>
      <c r="M270" s="5" t="n"/>
      <c r="N270" s="3" t="n"/>
      <c r="O270" s="4" t="n"/>
      <c r="P270" s="5" t="n"/>
      <c r="Q270" s="3" t="n"/>
      <c r="R270" s="4" t="n"/>
      <c r="S270" s="5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6">
        <f>IF(C270=0,0,IF(E270="",B270*D270/100,E270))</f>
        <v/>
      </c>
      <c r="AE270" s="6">
        <f>IF(F270=0,0,IF(H270="",B270*G270/100,H270))</f>
        <v/>
      </c>
      <c r="AF270" s="6">
        <f>IF(I270=0,0,IF(K270="",B270*J270/100,K270))</f>
        <v/>
      </c>
      <c r="AG270" s="6">
        <f>IF(L270=0,0,IF(N270="",B270*M270/100,N270))</f>
        <v/>
      </c>
      <c r="AH270" s="6">
        <f>IF(O270=0,0,IF(Q270="",B270*P270/100,Q270))</f>
        <v/>
      </c>
      <c r="AI270" s="6">
        <f>IF(R270=0,0,IF(T270="",B270*S270/100,T270))</f>
        <v/>
      </c>
      <c r="AJ270" s="6">
        <f>B270*0.035</f>
        <v/>
      </c>
      <c r="AK270" s="6">
        <f>B270*0.065</f>
        <v/>
      </c>
      <c r="AL270" s="6">
        <f>SUM(B270,AD270,AE270,AF270,AG270,AH270,AI270,U270,V270,AJ270,AK270)</f>
        <v/>
      </c>
      <c r="AM270" s="6">
        <f>B270*0.055</f>
        <v/>
      </c>
      <c r="AN270" s="6">
        <f>B270*0.035</f>
        <v/>
      </c>
      <c r="AO270" s="6">
        <f>B270*0.165</f>
        <v/>
      </c>
      <c r="AP270" s="6">
        <f>MAX(0,AL270-AM270-AO270)</f>
        <v/>
      </c>
      <c r="AQ270" s="6">
        <f>IF(AP270&lt;=490,0,IF(AP270&lt;=600,(AP270-490)*0.05,IF(AP270&lt;=730,5.5+(AP270-600)*0.10,IF(AP270&lt;=3896.67,18.5+(AP270-730)*0.175,IF(AP270&lt;=19896.67,572.67+(AP270-3896.67)*0.25,IF(AP270&lt;=50416.67,4572.67+(AP270-19896.67)*0.30,13728.67+(AP270-50416.67)*0.35))))))</f>
        <v/>
      </c>
      <c r="AR270" s="6">
        <f>SUM(AM270,AQ270,W270,X270,Y270,Z270,AA270,AN270,AO270)</f>
        <v/>
      </c>
      <c r="AS270" s="6">
        <f>AL270-AR270</f>
        <v/>
      </c>
      <c r="AT270" s="6">
        <f>AB270-AC270</f>
        <v/>
      </c>
    </row>
    <row r="271">
      <c r="A271" s="2" t="n"/>
      <c r="B271" s="3" t="n"/>
      <c r="C271" s="4" t="n"/>
      <c r="D271" s="5" t="n"/>
      <c r="E271" s="3" t="n"/>
      <c r="F271" s="4" t="n"/>
      <c r="G271" s="5" t="n"/>
      <c r="H271" s="3" t="n"/>
      <c r="I271" s="4" t="n"/>
      <c r="J271" s="5" t="n"/>
      <c r="K271" s="3" t="n"/>
      <c r="L271" s="4" t="n"/>
      <c r="M271" s="5" t="n"/>
      <c r="N271" s="3" t="n"/>
      <c r="O271" s="4" t="n"/>
      <c r="P271" s="5" t="n"/>
      <c r="Q271" s="3" t="n"/>
      <c r="R271" s="4" t="n"/>
      <c r="S271" s="5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6">
        <f>IF(C271=0,0,IF(E271="",B271*D271/100,E271))</f>
        <v/>
      </c>
      <c r="AE271" s="6">
        <f>IF(F271=0,0,IF(H271="",B271*G271/100,H271))</f>
        <v/>
      </c>
      <c r="AF271" s="6">
        <f>IF(I271=0,0,IF(K271="",B271*J271/100,K271))</f>
        <v/>
      </c>
      <c r="AG271" s="6">
        <f>IF(L271=0,0,IF(N271="",B271*M271/100,N271))</f>
        <v/>
      </c>
      <c r="AH271" s="6">
        <f>IF(O271=0,0,IF(Q271="",B271*P271/100,Q271))</f>
        <v/>
      </c>
      <c r="AI271" s="6">
        <f>IF(R271=0,0,IF(T271="",B271*S271/100,T271))</f>
        <v/>
      </c>
      <c r="AJ271" s="6">
        <f>B271*0.035</f>
        <v/>
      </c>
      <c r="AK271" s="6">
        <f>B271*0.065</f>
        <v/>
      </c>
      <c r="AL271" s="6">
        <f>SUM(B271,AD271,AE271,AF271,AG271,AH271,AI271,U271,V271,AJ271,AK271)</f>
        <v/>
      </c>
      <c r="AM271" s="6">
        <f>B271*0.055</f>
        <v/>
      </c>
      <c r="AN271" s="6">
        <f>B271*0.035</f>
        <v/>
      </c>
      <c r="AO271" s="6">
        <f>B271*0.165</f>
        <v/>
      </c>
      <c r="AP271" s="6">
        <f>MAX(0,AL271-AM271-AO271)</f>
        <v/>
      </c>
      <c r="AQ271" s="6">
        <f>IF(AP271&lt;=490,0,IF(AP271&lt;=600,(AP271-490)*0.05,IF(AP271&lt;=730,5.5+(AP271-600)*0.10,IF(AP271&lt;=3896.67,18.5+(AP271-730)*0.175,IF(AP271&lt;=19896.67,572.67+(AP271-3896.67)*0.25,IF(AP271&lt;=50416.67,4572.67+(AP271-19896.67)*0.30,13728.67+(AP271-50416.67)*0.35))))))</f>
        <v/>
      </c>
      <c r="AR271" s="6">
        <f>SUM(AM271,AQ271,W271,X271,Y271,Z271,AA271,AN271,AO271)</f>
        <v/>
      </c>
      <c r="AS271" s="6">
        <f>AL271-AR271</f>
        <v/>
      </c>
      <c r="AT271" s="6">
        <f>AB271-AC271</f>
        <v/>
      </c>
    </row>
    <row r="272">
      <c r="A272" s="2" t="n"/>
      <c r="B272" s="3" t="n"/>
      <c r="C272" s="4" t="n"/>
      <c r="D272" s="5" t="n"/>
      <c r="E272" s="3" t="n"/>
      <c r="F272" s="4" t="n"/>
      <c r="G272" s="5" t="n"/>
      <c r="H272" s="3" t="n"/>
      <c r="I272" s="4" t="n"/>
      <c r="J272" s="5" t="n"/>
      <c r="K272" s="3" t="n"/>
      <c r="L272" s="4" t="n"/>
      <c r="M272" s="5" t="n"/>
      <c r="N272" s="3" t="n"/>
      <c r="O272" s="4" t="n"/>
      <c r="P272" s="5" t="n"/>
      <c r="Q272" s="3" t="n"/>
      <c r="R272" s="4" t="n"/>
      <c r="S272" s="5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6">
        <f>IF(C272=0,0,IF(E272="",B272*D272/100,E272))</f>
        <v/>
      </c>
      <c r="AE272" s="6">
        <f>IF(F272=0,0,IF(H272="",B272*G272/100,H272))</f>
        <v/>
      </c>
      <c r="AF272" s="6">
        <f>IF(I272=0,0,IF(K272="",B272*J272/100,K272))</f>
        <v/>
      </c>
      <c r="AG272" s="6">
        <f>IF(L272=0,0,IF(N272="",B272*M272/100,N272))</f>
        <v/>
      </c>
      <c r="AH272" s="6">
        <f>IF(O272=0,0,IF(Q272="",B272*P272/100,Q272))</f>
        <v/>
      </c>
      <c r="AI272" s="6">
        <f>IF(R272=0,0,IF(T272="",B272*S272/100,T272))</f>
        <v/>
      </c>
      <c r="AJ272" s="6">
        <f>B272*0.035</f>
        <v/>
      </c>
      <c r="AK272" s="6">
        <f>B272*0.065</f>
        <v/>
      </c>
      <c r="AL272" s="6">
        <f>SUM(B272,AD272,AE272,AF272,AG272,AH272,AI272,U272,V272,AJ272,AK272)</f>
        <v/>
      </c>
      <c r="AM272" s="6">
        <f>B272*0.055</f>
        <v/>
      </c>
      <c r="AN272" s="6">
        <f>B272*0.035</f>
        <v/>
      </c>
      <c r="AO272" s="6">
        <f>B272*0.165</f>
        <v/>
      </c>
      <c r="AP272" s="6">
        <f>MAX(0,AL272-AM272-AO272)</f>
        <v/>
      </c>
      <c r="AQ272" s="6">
        <f>IF(AP272&lt;=490,0,IF(AP272&lt;=600,(AP272-490)*0.05,IF(AP272&lt;=730,5.5+(AP272-600)*0.10,IF(AP272&lt;=3896.67,18.5+(AP272-730)*0.175,IF(AP272&lt;=19896.67,572.67+(AP272-3896.67)*0.25,IF(AP272&lt;=50416.67,4572.67+(AP272-19896.67)*0.30,13728.67+(AP272-50416.67)*0.35))))))</f>
        <v/>
      </c>
      <c r="AR272" s="6">
        <f>SUM(AM272,AQ272,W272,X272,Y272,Z272,AA272,AN272,AO272)</f>
        <v/>
      </c>
      <c r="AS272" s="6">
        <f>AL272-AR272</f>
        <v/>
      </c>
      <c r="AT272" s="6">
        <f>AB272-AC272</f>
        <v/>
      </c>
    </row>
    <row r="273">
      <c r="A273" s="2" t="n"/>
      <c r="B273" s="3" t="n"/>
      <c r="C273" s="4" t="n"/>
      <c r="D273" s="5" t="n"/>
      <c r="E273" s="3" t="n"/>
      <c r="F273" s="4" t="n"/>
      <c r="G273" s="5" t="n"/>
      <c r="H273" s="3" t="n"/>
      <c r="I273" s="4" t="n"/>
      <c r="J273" s="5" t="n"/>
      <c r="K273" s="3" t="n"/>
      <c r="L273" s="4" t="n"/>
      <c r="M273" s="5" t="n"/>
      <c r="N273" s="3" t="n"/>
      <c r="O273" s="4" t="n"/>
      <c r="P273" s="5" t="n"/>
      <c r="Q273" s="3" t="n"/>
      <c r="R273" s="4" t="n"/>
      <c r="S273" s="5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6">
        <f>IF(C273=0,0,IF(E273="",B273*D273/100,E273))</f>
        <v/>
      </c>
      <c r="AE273" s="6">
        <f>IF(F273=0,0,IF(H273="",B273*G273/100,H273))</f>
        <v/>
      </c>
      <c r="AF273" s="6">
        <f>IF(I273=0,0,IF(K273="",B273*J273/100,K273))</f>
        <v/>
      </c>
      <c r="AG273" s="6">
        <f>IF(L273=0,0,IF(N273="",B273*M273/100,N273))</f>
        <v/>
      </c>
      <c r="AH273" s="6">
        <f>IF(O273=0,0,IF(Q273="",B273*P273/100,Q273))</f>
        <v/>
      </c>
      <c r="AI273" s="6">
        <f>IF(R273=0,0,IF(T273="",B273*S273/100,T273))</f>
        <v/>
      </c>
      <c r="AJ273" s="6">
        <f>B273*0.035</f>
        <v/>
      </c>
      <c r="AK273" s="6">
        <f>B273*0.065</f>
        <v/>
      </c>
      <c r="AL273" s="6">
        <f>SUM(B273,AD273,AE273,AF273,AG273,AH273,AI273,U273,V273,AJ273,AK273)</f>
        <v/>
      </c>
      <c r="AM273" s="6">
        <f>B273*0.055</f>
        <v/>
      </c>
      <c r="AN273" s="6">
        <f>B273*0.035</f>
        <v/>
      </c>
      <c r="AO273" s="6">
        <f>B273*0.165</f>
        <v/>
      </c>
      <c r="AP273" s="6">
        <f>MAX(0,AL273-AM273-AO273)</f>
        <v/>
      </c>
      <c r="AQ273" s="6">
        <f>IF(AP273&lt;=490,0,IF(AP273&lt;=600,(AP273-490)*0.05,IF(AP273&lt;=730,5.5+(AP273-600)*0.10,IF(AP273&lt;=3896.67,18.5+(AP273-730)*0.175,IF(AP273&lt;=19896.67,572.67+(AP273-3896.67)*0.25,IF(AP273&lt;=50416.67,4572.67+(AP273-19896.67)*0.30,13728.67+(AP273-50416.67)*0.35))))))</f>
        <v/>
      </c>
      <c r="AR273" s="6">
        <f>SUM(AM273,AQ273,W273,X273,Y273,Z273,AA273,AN273,AO273)</f>
        <v/>
      </c>
      <c r="AS273" s="6">
        <f>AL273-AR273</f>
        <v/>
      </c>
      <c r="AT273" s="6">
        <f>AB273-AC273</f>
        <v/>
      </c>
    </row>
    <row r="274">
      <c r="A274" s="2" t="n"/>
      <c r="B274" s="3" t="n"/>
      <c r="C274" s="4" t="n"/>
      <c r="D274" s="5" t="n"/>
      <c r="E274" s="3" t="n"/>
      <c r="F274" s="4" t="n"/>
      <c r="G274" s="5" t="n"/>
      <c r="H274" s="3" t="n"/>
      <c r="I274" s="4" t="n"/>
      <c r="J274" s="5" t="n"/>
      <c r="K274" s="3" t="n"/>
      <c r="L274" s="4" t="n"/>
      <c r="M274" s="5" t="n"/>
      <c r="N274" s="3" t="n"/>
      <c r="O274" s="4" t="n"/>
      <c r="P274" s="5" t="n"/>
      <c r="Q274" s="3" t="n"/>
      <c r="R274" s="4" t="n"/>
      <c r="S274" s="5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6">
        <f>IF(C274=0,0,IF(E274="",B274*D274/100,E274))</f>
        <v/>
      </c>
      <c r="AE274" s="6">
        <f>IF(F274=0,0,IF(H274="",B274*G274/100,H274))</f>
        <v/>
      </c>
      <c r="AF274" s="6">
        <f>IF(I274=0,0,IF(K274="",B274*J274/100,K274))</f>
        <v/>
      </c>
      <c r="AG274" s="6">
        <f>IF(L274=0,0,IF(N274="",B274*M274/100,N274))</f>
        <v/>
      </c>
      <c r="AH274" s="6">
        <f>IF(O274=0,0,IF(Q274="",B274*P274/100,Q274))</f>
        <v/>
      </c>
      <c r="AI274" s="6">
        <f>IF(R274=0,0,IF(T274="",B274*S274/100,T274))</f>
        <v/>
      </c>
      <c r="AJ274" s="6">
        <f>B274*0.035</f>
        <v/>
      </c>
      <c r="AK274" s="6">
        <f>B274*0.065</f>
        <v/>
      </c>
      <c r="AL274" s="6">
        <f>SUM(B274,AD274,AE274,AF274,AG274,AH274,AI274,U274,V274,AJ274,AK274)</f>
        <v/>
      </c>
      <c r="AM274" s="6">
        <f>B274*0.055</f>
        <v/>
      </c>
      <c r="AN274" s="6">
        <f>B274*0.035</f>
        <v/>
      </c>
      <c r="AO274" s="6">
        <f>B274*0.165</f>
        <v/>
      </c>
      <c r="AP274" s="6">
        <f>MAX(0,AL274-AM274-AO274)</f>
        <v/>
      </c>
      <c r="AQ274" s="6">
        <f>IF(AP274&lt;=490,0,IF(AP274&lt;=600,(AP274-490)*0.05,IF(AP274&lt;=730,5.5+(AP274-600)*0.10,IF(AP274&lt;=3896.67,18.5+(AP274-730)*0.175,IF(AP274&lt;=19896.67,572.67+(AP274-3896.67)*0.25,IF(AP274&lt;=50416.67,4572.67+(AP274-19896.67)*0.30,13728.67+(AP274-50416.67)*0.35))))))</f>
        <v/>
      </c>
      <c r="AR274" s="6">
        <f>SUM(AM274,AQ274,W274,X274,Y274,Z274,AA274,AN274,AO274)</f>
        <v/>
      </c>
      <c r="AS274" s="6">
        <f>AL274-AR274</f>
        <v/>
      </c>
      <c r="AT274" s="6">
        <f>AB274-AC274</f>
        <v/>
      </c>
    </row>
    <row r="275">
      <c r="A275" s="2" t="n"/>
      <c r="B275" s="3" t="n"/>
      <c r="C275" s="4" t="n"/>
      <c r="D275" s="5" t="n"/>
      <c r="E275" s="3" t="n"/>
      <c r="F275" s="4" t="n"/>
      <c r="G275" s="5" t="n"/>
      <c r="H275" s="3" t="n"/>
      <c r="I275" s="4" t="n"/>
      <c r="J275" s="5" t="n"/>
      <c r="K275" s="3" t="n"/>
      <c r="L275" s="4" t="n"/>
      <c r="M275" s="5" t="n"/>
      <c r="N275" s="3" t="n"/>
      <c r="O275" s="4" t="n"/>
      <c r="P275" s="5" t="n"/>
      <c r="Q275" s="3" t="n"/>
      <c r="R275" s="4" t="n"/>
      <c r="S275" s="5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6">
        <f>IF(C275=0,0,IF(E275="",B275*D275/100,E275))</f>
        <v/>
      </c>
      <c r="AE275" s="6">
        <f>IF(F275=0,0,IF(H275="",B275*G275/100,H275))</f>
        <v/>
      </c>
      <c r="AF275" s="6">
        <f>IF(I275=0,0,IF(K275="",B275*J275/100,K275))</f>
        <v/>
      </c>
      <c r="AG275" s="6">
        <f>IF(L275=0,0,IF(N275="",B275*M275/100,N275))</f>
        <v/>
      </c>
      <c r="AH275" s="6">
        <f>IF(O275=0,0,IF(Q275="",B275*P275/100,Q275))</f>
        <v/>
      </c>
      <c r="AI275" s="6">
        <f>IF(R275=0,0,IF(T275="",B275*S275/100,T275))</f>
        <v/>
      </c>
      <c r="AJ275" s="6">
        <f>B275*0.035</f>
        <v/>
      </c>
      <c r="AK275" s="6">
        <f>B275*0.065</f>
        <v/>
      </c>
      <c r="AL275" s="6">
        <f>SUM(B275,AD275,AE275,AF275,AG275,AH275,AI275,U275,V275,AJ275,AK275)</f>
        <v/>
      </c>
      <c r="AM275" s="6">
        <f>B275*0.055</f>
        <v/>
      </c>
      <c r="AN275" s="6">
        <f>B275*0.035</f>
        <v/>
      </c>
      <c r="AO275" s="6">
        <f>B275*0.165</f>
        <v/>
      </c>
      <c r="AP275" s="6">
        <f>MAX(0,AL275-AM275-AO275)</f>
        <v/>
      </c>
      <c r="AQ275" s="6">
        <f>IF(AP275&lt;=490,0,IF(AP275&lt;=600,(AP275-490)*0.05,IF(AP275&lt;=730,5.5+(AP275-600)*0.10,IF(AP275&lt;=3896.67,18.5+(AP275-730)*0.175,IF(AP275&lt;=19896.67,572.67+(AP275-3896.67)*0.25,IF(AP275&lt;=50416.67,4572.67+(AP275-19896.67)*0.30,13728.67+(AP275-50416.67)*0.35))))))</f>
        <v/>
      </c>
      <c r="AR275" s="6">
        <f>SUM(AM275,AQ275,W275,X275,Y275,Z275,AA275,AN275,AO275)</f>
        <v/>
      </c>
      <c r="AS275" s="6">
        <f>AL275-AR275</f>
        <v/>
      </c>
      <c r="AT275" s="6">
        <f>AB275-AC275</f>
        <v/>
      </c>
    </row>
    <row r="276">
      <c r="A276" s="2" t="n"/>
      <c r="B276" s="3" t="n"/>
      <c r="C276" s="4" t="n"/>
      <c r="D276" s="5" t="n"/>
      <c r="E276" s="3" t="n"/>
      <c r="F276" s="4" t="n"/>
      <c r="G276" s="5" t="n"/>
      <c r="H276" s="3" t="n"/>
      <c r="I276" s="4" t="n"/>
      <c r="J276" s="5" t="n"/>
      <c r="K276" s="3" t="n"/>
      <c r="L276" s="4" t="n"/>
      <c r="M276" s="5" t="n"/>
      <c r="N276" s="3" t="n"/>
      <c r="O276" s="4" t="n"/>
      <c r="P276" s="5" t="n"/>
      <c r="Q276" s="3" t="n"/>
      <c r="R276" s="4" t="n"/>
      <c r="S276" s="5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6">
        <f>IF(C276=0,0,IF(E276="",B276*D276/100,E276))</f>
        <v/>
      </c>
      <c r="AE276" s="6">
        <f>IF(F276=0,0,IF(H276="",B276*G276/100,H276))</f>
        <v/>
      </c>
      <c r="AF276" s="6">
        <f>IF(I276=0,0,IF(K276="",B276*J276/100,K276))</f>
        <v/>
      </c>
      <c r="AG276" s="6">
        <f>IF(L276=0,0,IF(N276="",B276*M276/100,N276))</f>
        <v/>
      </c>
      <c r="AH276" s="6">
        <f>IF(O276=0,0,IF(Q276="",B276*P276/100,Q276))</f>
        <v/>
      </c>
      <c r="AI276" s="6">
        <f>IF(R276=0,0,IF(T276="",B276*S276/100,T276))</f>
        <v/>
      </c>
      <c r="AJ276" s="6">
        <f>B276*0.035</f>
        <v/>
      </c>
      <c r="AK276" s="6">
        <f>B276*0.065</f>
        <v/>
      </c>
      <c r="AL276" s="6">
        <f>SUM(B276,AD276,AE276,AF276,AG276,AH276,AI276,U276,V276,AJ276,AK276)</f>
        <v/>
      </c>
      <c r="AM276" s="6">
        <f>B276*0.055</f>
        <v/>
      </c>
      <c r="AN276" s="6">
        <f>B276*0.035</f>
        <v/>
      </c>
      <c r="AO276" s="6">
        <f>B276*0.165</f>
        <v/>
      </c>
      <c r="AP276" s="6">
        <f>MAX(0,AL276-AM276-AO276)</f>
        <v/>
      </c>
      <c r="AQ276" s="6">
        <f>IF(AP276&lt;=490,0,IF(AP276&lt;=600,(AP276-490)*0.05,IF(AP276&lt;=730,5.5+(AP276-600)*0.10,IF(AP276&lt;=3896.67,18.5+(AP276-730)*0.175,IF(AP276&lt;=19896.67,572.67+(AP276-3896.67)*0.25,IF(AP276&lt;=50416.67,4572.67+(AP276-19896.67)*0.30,13728.67+(AP276-50416.67)*0.35))))))</f>
        <v/>
      </c>
      <c r="AR276" s="6">
        <f>SUM(AM276,AQ276,W276,X276,Y276,Z276,AA276,AN276,AO276)</f>
        <v/>
      </c>
      <c r="AS276" s="6">
        <f>AL276-AR276</f>
        <v/>
      </c>
      <c r="AT276" s="6">
        <f>AB276-AC276</f>
        <v/>
      </c>
    </row>
    <row r="277">
      <c r="A277" s="2" t="n"/>
      <c r="B277" s="3" t="n"/>
      <c r="C277" s="4" t="n"/>
      <c r="D277" s="5" t="n"/>
      <c r="E277" s="3" t="n"/>
      <c r="F277" s="4" t="n"/>
      <c r="G277" s="5" t="n"/>
      <c r="H277" s="3" t="n"/>
      <c r="I277" s="4" t="n"/>
      <c r="J277" s="5" t="n"/>
      <c r="K277" s="3" t="n"/>
      <c r="L277" s="4" t="n"/>
      <c r="M277" s="5" t="n"/>
      <c r="N277" s="3" t="n"/>
      <c r="O277" s="4" t="n"/>
      <c r="P277" s="5" t="n"/>
      <c r="Q277" s="3" t="n"/>
      <c r="R277" s="4" t="n"/>
      <c r="S277" s="5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6">
        <f>IF(C277=0,0,IF(E277="",B277*D277/100,E277))</f>
        <v/>
      </c>
      <c r="AE277" s="6">
        <f>IF(F277=0,0,IF(H277="",B277*G277/100,H277))</f>
        <v/>
      </c>
      <c r="AF277" s="6">
        <f>IF(I277=0,0,IF(K277="",B277*J277/100,K277))</f>
        <v/>
      </c>
      <c r="AG277" s="6">
        <f>IF(L277=0,0,IF(N277="",B277*M277/100,N277))</f>
        <v/>
      </c>
      <c r="AH277" s="6">
        <f>IF(O277=0,0,IF(Q277="",B277*P277/100,Q277))</f>
        <v/>
      </c>
      <c r="AI277" s="6">
        <f>IF(R277=0,0,IF(T277="",B277*S277/100,T277))</f>
        <v/>
      </c>
      <c r="AJ277" s="6">
        <f>B277*0.035</f>
        <v/>
      </c>
      <c r="AK277" s="6">
        <f>B277*0.065</f>
        <v/>
      </c>
      <c r="AL277" s="6">
        <f>SUM(B277,AD277,AE277,AF277,AG277,AH277,AI277,U277,V277,AJ277,AK277)</f>
        <v/>
      </c>
      <c r="AM277" s="6">
        <f>B277*0.055</f>
        <v/>
      </c>
      <c r="AN277" s="6">
        <f>B277*0.035</f>
        <v/>
      </c>
      <c r="AO277" s="6">
        <f>B277*0.165</f>
        <v/>
      </c>
      <c r="AP277" s="6">
        <f>MAX(0,AL277-AM277-AO277)</f>
        <v/>
      </c>
      <c r="AQ277" s="6">
        <f>IF(AP277&lt;=490,0,IF(AP277&lt;=600,(AP277-490)*0.05,IF(AP277&lt;=730,5.5+(AP277-600)*0.10,IF(AP277&lt;=3896.67,18.5+(AP277-730)*0.175,IF(AP277&lt;=19896.67,572.67+(AP277-3896.67)*0.25,IF(AP277&lt;=50416.67,4572.67+(AP277-19896.67)*0.30,13728.67+(AP277-50416.67)*0.35))))))</f>
        <v/>
      </c>
      <c r="AR277" s="6">
        <f>SUM(AM277,AQ277,W277,X277,Y277,Z277,AA277,AN277,AO277)</f>
        <v/>
      </c>
      <c r="AS277" s="6">
        <f>AL277-AR277</f>
        <v/>
      </c>
      <c r="AT277" s="6">
        <f>AB277-AC277</f>
        <v/>
      </c>
    </row>
    <row r="278">
      <c r="A278" s="2" t="n"/>
      <c r="B278" s="3" t="n"/>
      <c r="C278" s="4" t="n"/>
      <c r="D278" s="5" t="n"/>
      <c r="E278" s="3" t="n"/>
      <c r="F278" s="4" t="n"/>
      <c r="G278" s="5" t="n"/>
      <c r="H278" s="3" t="n"/>
      <c r="I278" s="4" t="n"/>
      <c r="J278" s="5" t="n"/>
      <c r="K278" s="3" t="n"/>
      <c r="L278" s="4" t="n"/>
      <c r="M278" s="5" t="n"/>
      <c r="N278" s="3" t="n"/>
      <c r="O278" s="4" t="n"/>
      <c r="P278" s="5" t="n"/>
      <c r="Q278" s="3" t="n"/>
      <c r="R278" s="4" t="n"/>
      <c r="S278" s="5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6">
        <f>IF(C278=0,0,IF(E278="",B278*D278/100,E278))</f>
        <v/>
      </c>
      <c r="AE278" s="6">
        <f>IF(F278=0,0,IF(H278="",B278*G278/100,H278))</f>
        <v/>
      </c>
      <c r="AF278" s="6">
        <f>IF(I278=0,0,IF(K278="",B278*J278/100,K278))</f>
        <v/>
      </c>
      <c r="AG278" s="6">
        <f>IF(L278=0,0,IF(N278="",B278*M278/100,N278))</f>
        <v/>
      </c>
      <c r="AH278" s="6">
        <f>IF(O278=0,0,IF(Q278="",B278*P278/100,Q278))</f>
        <v/>
      </c>
      <c r="AI278" s="6">
        <f>IF(R278=0,0,IF(T278="",B278*S278/100,T278))</f>
        <v/>
      </c>
      <c r="AJ278" s="6">
        <f>B278*0.035</f>
        <v/>
      </c>
      <c r="AK278" s="6">
        <f>B278*0.065</f>
        <v/>
      </c>
      <c r="AL278" s="6">
        <f>SUM(B278,AD278,AE278,AF278,AG278,AH278,AI278,U278,V278,AJ278,AK278)</f>
        <v/>
      </c>
      <c r="AM278" s="6">
        <f>B278*0.055</f>
        <v/>
      </c>
      <c r="AN278" s="6">
        <f>B278*0.035</f>
        <v/>
      </c>
      <c r="AO278" s="6">
        <f>B278*0.165</f>
        <v/>
      </c>
      <c r="AP278" s="6">
        <f>MAX(0,AL278-AM278-AO278)</f>
        <v/>
      </c>
      <c r="AQ278" s="6">
        <f>IF(AP278&lt;=490,0,IF(AP278&lt;=600,(AP278-490)*0.05,IF(AP278&lt;=730,5.5+(AP278-600)*0.10,IF(AP278&lt;=3896.67,18.5+(AP278-730)*0.175,IF(AP278&lt;=19896.67,572.67+(AP278-3896.67)*0.25,IF(AP278&lt;=50416.67,4572.67+(AP278-19896.67)*0.30,13728.67+(AP278-50416.67)*0.35))))))</f>
        <v/>
      </c>
      <c r="AR278" s="6">
        <f>SUM(AM278,AQ278,W278,X278,Y278,Z278,AA278,AN278,AO278)</f>
        <v/>
      </c>
      <c r="AS278" s="6">
        <f>AL278-AR278</f>
        <v/>
      </c>
      <c r="AT278" s="6">
        <f>AB278-AC278</f>
        <v/>
      </c>
    </row>
    <row r="279">
      <c r="A279" s="2" t="n"/>
      <c r="B279" s="3" t="n"/>
      <c r="C279" s="4" t="n"/>
      <c r="D279" s="5" t="n"/>
      <c r="E279" s="3" t="n"/>
      <c r="F279" s="4" t="n"/>
      <c r="G279" s="5" t="n"/>
      <c r="H279" s="3" t="n"/>
      <c r="I279" s="4" t="n"/>
      <c r="J279" s="5" t="n"/>
      <c r="K279" s="3" t="n"/>
      <c r="L279" s="4" t="n"/>
      <c r="M279" s="5" t="n"/>
      <c r="N279" s="3" t="n"/>
      <c r="O279" s="4" t="n"/>
      <c r="P279" s="5" t="n"/>
      <c r="Q279" s="3" t="n"/>
      <c r="R279" s="4" t="n"/>
      <c r="S279" s="5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6">
        <f>IF(C279=0,0,IF(E279="",B279*D279/100,E279))</f>
        <v/>
      </c>
      <c r="AE279" s="6">
        <f>IF(F279=0,0,IF(H279="",B279*G279/100,H279))</f>
        <v/>
      </c>
      <c r="AF279" s="6">
        <f>IF(I279=0,0,IF(K279="",B279*J279/100,K279))</f>
        <v/>
      </c>
      <c r="AG279" s="6">
        <f>IF(L279=0,0,IF(N279="",B279*M279/100,N279))</f>
        <v/>
      </c>
      <c r="AH279" s="6">
        <f>IF(O279=0,0,IF(Q279="",B279*P279/100,Q279))</f>
        <v/>
      </c>
      <c r="AI279" s="6">
        <f>IF(R279=0,0,IF(T279="",B279*S279/100,T279))</f>
        <v/>
      </c>
      <c r="AJ279" s="6">
        <f>B279*0.035</f>
        <v/>
      </c>
      <c r="AK279" s="6">
        <f>B279*0.065</f>
        <v/>
      </c>
      <c r="AL279" s="6">
        <f>SUM(B279,AD279,AE279,AF279,AG279,AH279,AI279,U279,V279,AJ279,AK279)</f>
        <v/>
      </c>
      <c r="AM279" s="6">
        <f>B279*0.055</f>
        <v/>
      </c>
      <c r="AN279" s="6">
        <f>B279*0.035</f>
        <v/>
      </c>
      <c r="AO279" s="6">
        <f>B279*0.165</f>
        <v/>
      </c>
      <c r="AP279" s="6">
        <f>MAX(0,AL279-AM279-AO279)</f>
        <v/>
      </c>
      <c r="AQ279" s="6">
        <f>IF(AP279&lt;=490,0,IF(AP279&lt;=600,(AP279-490)*0.05,IF(AP279&lt;=730,5.5+(AP279-600)*0.10,IF(AP279&lt;=3896.67,18.5+(AP279-730)*0.175,IF(AP279&lt;=19896.67,572.67+(AP279-3896.67)*0.25,IF(AP279&lt;=50416.67,4572.67+(AP279-19896.67)*0.30,13728.67+(AP279-50416.67)*0.35))))))</f>
        <v/>
      </c>
      <c r="AR279" s="6">
        <f>SUM(AM279,AQ279,W279,X279,Y279,Z279,AA279,AN279,AO279)</f>
        <v/>
      </c>
      <c r="AS279" s="6">
        <f>AL279-AR279</f>
        <v/>
      </c>
      <c r="AT279" s="6">
        <f>AB279-AC279</f>
        <v/>
      </c>
    </row>
    <row r="280">
      <c r="A280" s="2" t="n"/>
      <c r="B280" s="3" t="n"/>
      <c r="C280" s="4" t="n"/>
      <c r="D280" s="5" t="n"/>
      <c r="E280" s="3" t="n"/>
      <c r="F280" s="4" t="n"/>
      <c r="G280" s="5" t="n"/>
      <c r="H280" s="3" t="n"/>
      <c r="I280" s="4" t="n"/>
      <c r="J280" s="5" t="n"/>
      <c r="K280" s="3" t="n"/>
      <c r="L280" s="4" t="n"/>
      <c r="M280" s="5" t="n"/>
      <c r="N280" s="3" t="n"/>
      <c r="O280" s="4" t="n"/>
      <c r="P280" s="5" t="n"/>
      <c r="Q280" s="3" t="n"/>
      <c r="R280" s="4" t="n"/>
      <c r="S280" s="5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6">
        <f>IF(C280=0,0,IF(E280="",B280*D280/100,E280))</f>
        <v/>
      </c>
      <c r="AE280" s="6">
        <f>IF(F280=0,0,IF(H280="",B280*G280/100,H280))</f>
        <v/>
      </c>
      <c r="AF280" s="6">
        <f>IF(I280=0,0,IF(K280="",B280*J280/100,K280))</f>
        <v/>
      </c>
      <c r="AG280" s="6">
        <f>IF(L280=0,0,IF(N280="",B280*M280/100,N280))</f>
        <v/>
      </c>
      <c r="AH280" s="6">
        <f>IF(O280=0,0,IF(Q280="",B280*P280/100,Q280))</f>
        <v/>
      </c>
      <c r="AI280" s="6">
        <f>IF(R280=0,0,IF(T280="",B280*S280/100,T280))</f>
        <v/>
      </c>
      <c r="AJ280" s="6">
        <f>B280*0.035</f>
        <v/>
      </c>
      <c r="AK280" s="6">
        <f>B280*0.065</f>
        <v/>
      </c>
      <c r="AL280" s="6">
        <f>SUM(B280,AD280,AE280,AF280,AG280,AH280,AI280,U280,V280,AJ280,AK280)</f>
        <v/>
      </c>
      <c r="AM280" s="6">
        <f>B280*0.055</f>
        <v/>
      </c>
      <c r="AN280" s="6">
        <f>B280*0.035</f>
        <v/>
      </c>
      <c r="AO280" s="6">
        <f>B280*0.165</f>
        <v/>
      </c>
      <c r="AP280" s="6">
        <f>MAX(0,AL280-AM280-AO280)</f>
        <v/>
      </c>
      <c r="AQ280" s="6">
        <f>IF(AP280&lt;=490,0,IF(AP280&lt;=600,(AP280-490)*0.05,IF(AP280&lt;=730,5.5+(AP280-600)*0.10,IF(AP280&lt;=3896.67,18.5+(AP280-730)*0.175,IF(AP280&lt;=19896.67,572.67+(AP280-3896.67)*0.25,IF(AP280&lt;=50416.67,4572.67+(AP280-19896.67)*0.30,13728.67+(AP280-50416.67)*0.35))))))</f>
        <v/>
      </c>
      <c r="AR280" s="6">
        <f>SUM(AM280,AQ280,W280,X280,Y280,Z280,AA280,AN280,AO280)</f>
        <v/>
      </c>
      <c r="AS280" s="6">
        <f>AL280-AR280</f>
        <v/>
      </c>
      <c r="AT280" s="6">
        <f>AB280-AC280</f>
        <v/>
      </c>
    </row>
    <row r="281">
      <c r="A281" s="2" t="n"/>
      <c r="B281" s="3" t="n"/>
      <c r="C281" s="4" t="n"/>
      <c r="D281" s="5" t="n"/>
      <c r="E281" s="3" t="n"/>
      <c r="F281" s="4" t="n"/>
      <c r="G281" s="5" t="n"/>
      <c r="H281" s="3" t="n"/>
      <c r="I281" s="4" t="n"/>
      <c r="J281" s="5" t="n"/>
      <c r="K281" s="3" t="n"/>
      <c r="L281" s="4" t="n"/>
      <c r="M281" s="5" t="n"/>
      <c r="N281" s="3" t="n"/>
      <c r="O281" s="4" t="n"/>
      <c r="P281" s="5" t="n"/>
      <c r="Q281" s="3" t="n"/>
      <c r="R281" s="4" t="n"/>
      <c r="S281" s="5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6">
        <f>IF(C281=0,0,IF(E281="",B281*D281/100,E281))</f>
        <v/>
      </c>
      <c r="AE281" s="6">
        <f>IF(F281=0,0,IF(H281="",B281*G281/100,H281))</f>
        <v/>
      </c>
      <c r="AF281" s="6">
        <f>IF(I281=0,0,IF(K281="",B281*J281/100,K281))</f>
        <v/>
      </c>
      <c r="AG281" s="6">
        <f>IF(L281=0,0,IF(N281="",B281*M281/100,N281))</f>
        <v/>
      </c>
      <c r="AH281" s="6">
        <f>IF(O281=0,0,IF(Q281="",B281*P281/100,Q281))</f>
        <v/>
      </c>
      <c r="AI281" s="6">
        <f>IF(R281=0,0,IF(T281="",B281*S281/100,T281))</f>
        <v/>
      </c>
      <c r="AJ281" s="6">
        <f>B281*0.035</f>
        <v/>
      </c>
      <c r="AK281" s="6">
        <f>B281*0.065</f>
        <v/>
      </c>
      <c r="AL281" s="6">
        <f>SUM(B281,AD281,AE281,AF281,AG281,AH281,AI281,U281,V281,AJ281,AK281)</f>
        <v/>
      </c>
      <c r="AM281" s="6">
        <f>B281*0.055</f>
        <v/>
      </c>
      <c r="AN281" s="6">
        <f>B281*0.035</f>
        <v/>
      </c>
      <c r="AO281" s="6">
        <f>B281*0.165</f>
        <v/>
      </c>
      <c r="AP281" s="6">
        <f>MAX(0,AL281-AM281-AO281)</f>
        <v/>
      </c>
      <c r="AQ281" s="6">
        <f>IF(AP281&lt;=490,0,IF(AP281&lt;=600,(AP281-490)*0.05,IF(AP281&lt;=730,5.5+(AP281-600)*0.10,IF(AP281&lt;=3896.67,18.5+(AP281-730)*0.175,IF(AP281&lt;=19896.67,572.67+(AP281-3896.67)*0.25,IF(AP281&lt;=50416.67,4572.67+(AP281-19896.67)*0.30,13728.67+(AP281-50416.67)*0.35))))))</f>
        <v/>
      </c>
      <c r="AR281" s="6">
        <f>SUM(AM281,AQ281,W281,X281,Y281,Z281,AA281,AN281,AO281)</f>
        <v/>
      </c>
      <c r="AS281" s="6">
        <f>AL281-AR281</f>
        <v/>
      </c>
      <c r="AT281" s="6">
        <f>AB281-AC281</f>
        <v/>
      </c>
    </row>
    <row r="282">
      <c r="A282" s="2" t="n"/>
      <c r="B282" s="3" t="n"/>
      <c r="C282" s="4" t="n"/>
      <c r="D282" s="5" t="n"/>
      <c r="E282" s="3" t="n"/>
      <c r="F282" s="4" t="n"/>
      <c r="G282" s="5" t="n"/>
      <c r="H282" s="3" t="n"/>
      <c r="I282" s="4" t="n"/>
      <c r="J282" s="5" t="n"/>
      <c r="K282" s="3" t="n"/>
      <c r="L282" s="4" t="n"/>
      <c r="M282" s="5" t="n"/>
      <c r="N282" s="3" t="n"/>
      <c r="O282" s="4" t="n"/>
      <c r="P282" s="5" t="n"/>
      <c r="Q282" s="3" t="n"/>
      <c r="R282" s="4" t="n"/>
      <c r="S282" s="5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6">
        <f>IF(C282=0,0,IF(E282="",B282*D282/100,E282))</f>
        <v/>
      </c>
      <c r="AE282" s="6">
        <f>IF(F282=0,0,IF(H282="",B282*G282/100,H282))</f>
        <v/>
      </c>
      <c r="AF282" s="6">
        <f>IF(I282=0,0,IF(K282="",B282*J282/100,K282))</f>
        <v/>
      </c>
      <c r="AG282" s="6">
        <f>IF(L282=0,0,IF(N282="",B282*M282/100,N282))</f>
        <v/>
      </c>
      <c r="AH282" s="6">
        <f>IF(O282=0,0,IF(Q282="",B282*P282/100,Q282))</f>
        <v/>
      </c>
      <c r="AI282" s="6">
        <f>IF(R282=0,0,IF(T282="",B282*S282/100,T282))</f>
        <v/>
      </c>
      <c r="AJ282" s="6">
        <f>B282*0.035</f>
        <v/>
      </c>
      <c r="AK282" s="6">
        <f>B282*0.065</f>
        <v/>
      </c>
      <c r="AL282" s="6">
        <f>SUM(B282,AD282,AE282,AF282,AG282,AH282,AI282,U282,V282,AJ282,AK282)</f>
        <v/>
      </c>
      <c r="AM282" s="6">
        <f>B282*0.055</f>
        <v/>
      </c>
      <c r="AN282" s="6">
        <f>B282*0.035</f>
        <v/>
      </c>
      <c r="AO282" s="6">
        <f>B282*0.165</f>
        <v/>
      </c>
      <c r="AP282" s="6">
        <f>MAX(0,AL282-AM282-AO282)</f>
        <v/>
      </c>
      <c r="AQ282" s="6">
        <f>IF(AP282&lt;=490,0,IF(AP282&lt;=600,(AP282-490)*0.05,IF(AP282&lt;=730,5.5+(AP282-600)*0.10,IF(AP282&lt;=3896.67,18.5+(AP282-730)*0.175,IF(AP282&lt;=19896.67,572.67+(AP282-3896.67)*0.25,IF(AP282&lt;=50416.67,4572.67+(AP282-19896.67)*0.30,13728.67+(AP282-50416.67)*0.35))))))</f>
        <v/>
      </c>
      <c r="AR282" s="6">
        <f>SUM(AM282,AQ282,W282,X282,Y282,Z282,AA282,AN282,AO282)</f>
        <v/>
      </c>
      <c r="AS282" s="6">
        <f>AL282-AR282</f>
        <v/>
      </c>
      <c r="AT282" s="6">
        <f>AB282-AC282</f>
        <v/>
      </c>
    </row>
    <row r="283">
      <c r="A283" s="2" t="n"/>
      <c r="B283" s="3" t="n"/>
      <c r="C283" s="4" t="n"/>
      <c r="D283" s="5" t="n"/>
      <c r="E283" s="3" t="n"/>
      <c r="F283" s="4" t="n"/>
      <c r="G283" s="5" t="n"/>
      <c r="H283" s="3" t="n"/>
      <c r="I283" s="4" t="n"/>
      <c r="J283" s="5" t="n"/>
      <c r="K283" s="3" t="n"/>
      <c r="L283" s="4" t="n"/>
      <c r="M283" s="5" t="n"/>
      <c r="N283" s="3" t="n"/>
      <c r="O283" s="4" t="n"/>
      <c r="P283" s="5" t="n"/>
      <c r="Q283" s="3" t="n"/>
      <c r="R283" s="4" t="n"/>
      <c r="S283" s="5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6">
        <f>IF(C283=0,0,IF(E283="",B283*D283/100,E283))</f>
        <v/>
      </c>
      <c r="AE283" s="6">
        <f>IF(F283=0,0,IF(H283="",B283*G283/100,H283))</f>
        <v/>
      </c>
      <c r="AF283" s="6">
        <f>IF(I283=0,0,IF(K283="",B283*J283/100,K283))</f>
        <v/>
      </c>
      <c r="AG283" s="6">
        <f>IF(L283=0,0,IF(N283="",B283*M283/100,N283))</f>
        <v/>
      </c>
      <c r="AH283" s="6">
        <f>IF(O283=0,0,IF(Q283="",B283*P283/100,Q283))</f>
        <v/>
      </c>
      <c r="AI283" s="6">
        <f>IF(R283=0,0,IF(T283="",B283*S283/100,T283))</f>
        <v/>
      </c>
      <c r="AJ283" s="6">
        <f>B283*0.035</f>
        <v/>
      </c>
      <c r="AK283" s="6">
        <f>B283*0.065</f>
        <v/>
      </c>
      <c r="AL283" s="6">
        <f>SUM(B283,AD283,AE283,AF283,AG283,AH283,AI283,U283,V283,AJ283,AK283)</f>
        <v/>
      </c>
      <c r="AM283" s="6">
        <f>B283*0.055</f>
        <v/>
      </c>
      <c r="AN283" s="6">
        <f>B283*0.035</f>
        <v/>
      </c>
      <c r="AO283" s="6">
        <f>B283*0.165</f>
        <v/>
      </c>
      <c r="AP283" s="6">
        <f>MAX(0,AL283-AM283-AO283)</f>
        <v/>
      </c>
      <c r="AQ283" s="6">
        <f>IF(AP283&lt;=490,0,IF(AP283&lt;=600,(AP283-490)*0.05,IF(AP283&lt;=730,5.5+(AP283-600)*0.10,IF(AP283&lt;=3896.67,18.5+(AP283-730)*0.175,IF(AP283&lt;=19896.67,572.67+(AP283-3896.67)*0.25,IF(AP283&lt;=50416.67,4572.67+(AP283-19896.67)*0.30,13728.67+(AP283-50416.67)*0.35))))))</f>
        <v/>
      </c>
      <c r="AR283" s="6">
        <f>SUM(AM283,AQ283,W283,X283,Y283,Z283,AA283,AN283,AO283)</f>
        <v/>
      </c>
      <c r="AS283" s="6">
        <f>AL283-AR283</f>
        <v/>
      </c>
      <c r="AT283" s="6">
        <f>AB283-AC283</f>
        <v/>
      </c>
    </row>
    <row r="284">
      <c r="A284" s="2" t="n"/>
      <c r="B284" s="3" t="n"/>
      <c r="C284" s="4" t="n"/>
      <c r="D284" s="5" t="n"/>
      <c r="E284" s="3" t="n"/>
      <c r="F284" s="4" t="n"/>
      <c r="G284" s="5" t="n"/>
      <c r="H284" s="3" t="n"/>
      <c r="I284" s="4" t="n"/>
      <c r="J284" s="5" t="n"/>
      <c r="K284" s="3" t="n"/>
      <c r="L284" s="4" t="n"/>
      <c r="M284" s="5" t="n"/>
      <c r="N284" s="3" t="n"/>
      <c r="O284" s="4" t="n"/>
      <c r="P284" s="5" t="n"/>
      <c r="Q284" s="3" t="n"/>
      <c r="R284" s="4" t="n"/>
      <c r="S284" s="5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6">
        <f>IF(C284=0,0,IF(E284="",B284*D284/100,E284))</f>
        <v/>
      </c>
      <c r="AE284" s="6">
        <f>IF(F284=0,0,IF(H284="",B284*G284/100,H284))</f>
        <v/>
      </c>
      <c r="AF284" s="6">
        <f>IF(I284=0,0,IF(K284="",B284*J284/100,K284))</f>
        <v/>
      </c>
      <c r="AG284" s="6">
        <f>IF(L284=0,0,IF(N284="",B284*M284/100,N284))</f>
        <v/>
      </c>
      <c r="AH284" s="6">
        <f>IF(O284=0,0,IF(Q284="",B284*P284/100,Q284))</f>
        <v/>
      </c>
      <c r="AI284" s="6">
        <f>IF(R284=0,0,IF(T284="",B284*S284/100,T284))</f>
        <v/>
      </c>
      <c r="AJ284" s="6">
        <f>B284*0.035</f>
        <v/>
      </c>
      <c r="AK284" s="6">
        <f>B284*0.065</f>
        <v/>
      </c>
      <c r="AL284" s="6">
        <f>SUM(B284,AD284,AE284,AF284,AG284,AH284,AI284,U284,V284,AJ284,AK284)</f>
        <v/>
      </c>
      <c r="AM284" s="6">
        <f>B284*0.055</f>
        <v/>
      </c>
      <c r="AN284" s="6">
        <f>B284*0.035</f>
        <v/>
      </c>
      <c r="AO284" s="6">
        <f>B284*0.165</f>
        <v/>
      </c>
      <c r="AP284" s="6">
        <f>MAX(0,AL284-AM284-AO284)</f>
        <v/>
      </c>
      <c r="AQ284" s="6">
        <f>IF(AP284&lt;=490,0,IF(AP284&lt;=600,(AP284-490)*0.05,IF(AP284&lt;=730,5.5+(AP284-600)*0.10,IF(AP284&lt;=3896.67,18.5+(AP284-730)*0.175,IF(AP284&lt;=19896.67,572.67+(AP284-3896.67)*0.25,IF(AP284&lt;=50416.67,4572.67+(AP284-19896.67)*0.30,13728.67+(AP284-50416.67)*0.35))))))</f>
        <v/>
      </c>
      <c r="AR284" s="6">
        <f>SUM(AM284,AQ284,W284,X284,Y284,Z284,AA284,AN284,AO284)</f>
        <v/>
      </c>
      <c r="AS284" s="6">
        <f>AL284-AR284</f>
        <v/>
      </c>
      <c r="AT284" s="6">
        <f>AB284-AC284</f>
        <v/>
      </c>
    </row>
    <row r="285">
      <c r="A285" s="2" t="n"/>
      <c r="B285" s="3" t="n"/>
      <c r="C285" s="4" t="n"/>
      <c r="D285" s="5" t="n"/>
      <c r="E285" s="3" t="n"/>
      <c r="F285" s="4" t="n"/>
      <c r="G285" s="5" t="n"/>
      <c r="H285" s="3" t="n"/>
      <c r="I285" s="4" t="n"/>
      <c r="J285" s="5" t="n"/>
      <c r="K285" s="3" t="n"/>
      <c r="L285" s="4" t="n"/>
      <c r="M285" s="5" t="n"/>
      <c r="N285" s="3" t="n"/>
      <c r="O285" s="4" t="n"/>
      <c r="P285" s="5" t="n"/>
      <c r="Q285" s="3" t="n"/>
      <c r="R285" s="4" t="n"/>
      <c r="S285" s="5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6">
        <f>IF(C285=0,0,IF(E285="",B285*D285/100,E285))</f>
        <v/>
      </c>
      <c r="AE285" s="6">
        <f>IF(F285=0,0,IF(H285="",B285*G285/100,H285))</f>
        <v/>
      </c>
      <c r="AF285" s="6">
        <f>IF(I285=0,0,IF(K285="",B285*J285/100,K285))</f>
        <v/>
      </c>
      <c r="AG285" s="6">
        <f>IF(L285=0,0,IF(N285="",B285*M285/100,N285))</f>
        <v/>
      </c>
      <c r="AH285" s="6">
        <f>IF(O285=0,0,IF(Q285="",B285*P285/100,Q285))</f>
        <v/>
      </c>
      <c r="AI285" s="6">
        <f>IF(R285=0,0,IF(T285="",B285*S285/100,T285))</f>
        <v/>
      </c>
      <c r="AJ285" s="6">
        <f>B285*0.035</f>
        <v/>
      </c>
      <c r="AK285" s="6">
        <f>B285*0.065</f>
        <v/>
      </c>
      <c r="AL285" s="6">
        <f>SUM(B285,AD285,AE285,AF285,AG285,AH285,AI285,U285,V285,AJ285,AK285)</f>
        <v/>
      </c>
      <c r="AM285" s="6">
        <f>B285*0.055</f>
        <v/>
      </c>
      <c r="AN285" s="6">
        <f>B285*0.035</f>
        <v/>
      </c>
      <c r="AO285" s="6">
        <f>B285*0.165</f>
        <v/>
      </c>
      <c r="AP285" s="6">
        <f>MAX(0,AL285-AM285-AO285)</f>
        <v/>
      </c>
      <c r="AQ285" s="6">
        <f>IF(AP285&lt;=490,0,IF(AP285&lt;=600,(AP285-490)*0.05,IF(AP285&lt;=730,5.5+(AP285-600)*0.10,IF(AP285&lt;=3896.67,18.5+(AP285-730)*0.175,IF(AP285&lt;=19896.67,572.67+(AP285-3896.67)*0.25,IF(AP285&lt;=50416.67,4572.67+(AP285-19896.67)*0.30,13728.67+(AP285-50416.67)*0.35))))))</f>
        <v/>
      </c>
      <c r="AR285" s="6">
        <f>SUM(AM285,AQ285,W285,X285,Y285,Z285,AA285,AN285,AO285)</f>
        <v/>
      </c>
      <c r="AS285" s="6">
        <f>AL285-AR285</f>
        <v/>
      </c>
      <c r="AT285" s="6">
        <f>AB285-AC285</f>
        <v/>
      </c>
    </row>
    <row r="286">
      <c r="A286" s="2" t="n"/>
      <c r="B286" s="3" t="n"/>
      <c r="C286" s="4" t="n"/>
      <c r="D286" s="5" t="n"/>
      <c r="E286" s="3" t="n"/>
      <c r="F286" s="4" t="n"/>
      <c r="G286" s="5" t="n"/>
      <c r="H286" s="3" t="n"/>
      <c r="I286" s="4" t="n"/>
      <c r="J286" s="5" t="n"/>
      <c r="K286" s="3" t="n"/>
      <c r="L286" s="4" t="n"/>
      <c r="M286" s="5" t="n"/>
      <c r="N286" s="3" t="n"/>
      <c r="O286" s="4" t="n"/>
      <c r="P286" s="5" t="n"/>
      <c r="Q286" s="3" t="n"/>
      <c r="R286" s="4" t="n"/>
      <c r="S286" s="5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6">
        <f>IF(C286=0,0,IF(E286="",B286*D286/100,E286))</f>
        <v/>
      </c>
      <c r="AE286" s="6">
        <f>IF(F286=0,0,IF(H286="",B286*G286/100,H286))</f>
        <v/>
      </c>
      <c r="AF286" s="6">
        <f>IF(I286=0,0,IF(K286="",B286*J286/100,K286))</f>
        <v/>
      </c>
      <c r="AG286" s="6">
        <f>IF(L286=0,0,IF(N286="",B286*M286/100,N286))</f>
        <v/>
      </c>
      <c r="AH286" s="6">
        <f>IF(O286=0,0,IF(Q286="",B286*P286/100,Q286))</f>
        <v/>
      </c>
      <c r="AI286" s="6">
        <f>IF(R286=0,0,IF(T286="",B286*S286/100,T286))</f>
        <v/>
      </c>
      <c r="AJ286" s="6">
        <f>B286*0.035</f>
        <v/>
      </c>
      <c r="AK286" s="6">
        <f>B286*0.065</f>
        <v/>
      </c>
      <c r="AL286" s="6">
        <f>SUM(B286,AD286,AE286,AF286,AG286,AH286,AI286,U286,V286,AJ286,AK286)</f>
        <v/>
      </c>
      <c r="AM286" s="6">
        <f>B286*0.055</f>
        <v/>
      </c>
      <c r="AN286" s="6">
        <f>B286*0.035</f>
        <v/>
      </c>
      <c r="AO286" s="6">
        <f>B286*0.165</f>
        <v/>
      </c>
      <c r="AP286" s="6">
        <f>MAX(0,AL286-AM286-AO286)</f>
        <v/>
      </c>
      <c r="AQ286" s="6">
        <f>IF(AP286&lt;=490,0,IF(AP286&lt;=600,(AP286-490)*0.05,IF(AP286&lt;=730,5.5+(AP286-600)*0.10,IF(AP286&lt;=3896.67,18.5+(AP286-730)*0.175,IF(AP286&lt;=19896.67,572.67+(AP286-3896.67)*0.25,IF(AP286&lt;=50416.67,4572.67+(AP286-19896.67)*0.30,13728.67+(AP286-50416.67)*0.35))))))</f>
        <v/>
      </c>
      <c r="AR286" s="6">
        <f>SUM(AM286,AQ286,W286,X286,Y286,Z286,AA286,AN286,AO286)</f>
        <v/>
      </c>
      <c r="AS286" s="6">
        <f>AL286-AR286</f>
        <v/>
      </c>
      <c r="AT286" s="6">
        <f>AB286-AC286</f>
        <v/>
      </c>
    </row>
    <row r="287">
      <c r="A287" s="2" t="n"/>
      <c r="B287" s="3" t="n"/>
      <c r="C287" s="4" t="n"/>
      <c r="D287" s="5" t="n"/>
      <c r="E287" s="3" t="n"/>
      <c r="F287" s="4" t="n"/>
      <c r="G287" s="5" t="n"/>
      <c r="H287" s="3" t="n"/>
      <c r="I287" s="4" t="n"/>
      <c r="J287" s="5" t="n"/>
      <c r="K287" s="3" t="n"/>
      <c r="L287" s="4" t="n"/>
      <c r="M287" s="5" t="n"/>
      <c r="N287" s="3" t="n"/>
      <c r="O287" s="4" t="n"/>
      <c r="P287" s="5" t="n"/>
      <c r="Q287" s="3" t="n"/>
      <c r="R287" s="4" t="n"/>
      <c r="S287" s="5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6">
        <f>IF(C287=0,0,IF(E287="",B287*D287/100,E287))</f>
        <v/>
      </c>
      <c r="AE287" s="6">
        <f>IF(F287=0,0,IF(H287="",B287*G287/100,H287))</f>
        <v/>
      </c>
      <c r="AF287" s="6">
        <f>IF(I287=0,0,IF(K287="",B287*J287/100,K287))</f>
        <v/>
      </c>
      <c r="AG287" s="6">
        <f>IF(L287=0,0,IF(N287="",B287*M287/100,N287))</f>
        <v/>
      </c>
      <c r="AH287" s="6">
        <f>IF(O287=0,0,IF(Q287="",B287*P287/100,Q287))</f>
        <v/>
      </c>
      <c r="AI287" s="6">
        <f>IF(R287=0,0,IF(T287="",B287*S287/100,T287))</f>
        <v/>
      </c>
      <c r="AJ287" s="6">
        <f>B287*0.035</f>
        <v/>
      </c>
      <c r="AK287" s="6">
        <f>B287*0.065</f>
        <v/>
      </c>
      <c r="AL287" s="6">
        <f>SUM(B287,AD287,AE287,AF287,AG287,AH287,AI287,U287,V287,AJ287,AK287)</f>
        <v/>
      </c>
      <c r="AM287" s="6">
        <f>B287*0.055</f>
        <v/>
      </c>
      <c r="AN287" s="6">
        <f>B287*0.035</f>
        <v/>
      </c>
      <c r="AO287" s="6">
        <f>B287*0.165</f>
        <v/>
      </c>
      <c r="AP287" s="6">
        <f>MAX(0,AL287-AM287-AO287)</f>
        <v/>
      </c>
      <c r="AQ287" s="6">
        <f>IF(AP287&lt;=490,0,IF(AP287&lt;=600,(AP287-490)*0.05,IF(AP287&lt;=730,5.5+(AP287-600)*0.10,IF(AP287&lt;=3896.67,18.5+(AP287-730)*0.175,IF(AP287&lt;=19896.67,572.67+(AP287-3896.67)*0.25,IF(AP287&lt;=50416.67,4572.67+(AP287-19896.67)*0.30,13728.67+(AP287-50416.67)*0.35))))))</f>
        <v/>
      </c>
      <c r="AR287" s="6">
        <f>SUM(AM287,AQ287,W287,X287,Y287,Z287,AA287,AN287,AO287)</f>
        <v/>
      </c>
      <c r="AS287" s="6">
        <f>AL287-AR287</f>
        <v/>
      </c>
      <c r="AT287" s="6">
        <f>AB287-AC287</f>
        <v/>
      </c>
    </row>
    <row r="288">
      <c r="A288" s="2" t="n"/>
      <c r="B288" s="3" t="n"/>
      <c r="C288" s="4" t="n"/>
      <c r="D288" s="5" t="n"/>
      <c r="E288" s="3" t="n"/>
      <c r="F288" s="4" t="n"/>
      <c r="G288" s="5" t="n"/>
      <c r="H288" s="3" t="n"/>
      <c r="I288" s="4" t="n"/>
      <c r="J288" s="5" t="n"/>
      <c r="K288" s="3" t="n"/>
      <c r="L288" s="4" t="n"/>
      <c r="M288" s="5" t="n"/>
      <c r="N288" s="3" t="n"/>
      <c r="O288" s="4" t="n"/>
      <c r="P288" s="5" t="n"/>
      <c r="Q288" s="3" t="n"/>
      <c r="R288" s="4" t="n"/>
      <c r="S288" s="5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6">
        <f>IF(C288=0,0,IF(E288="",B288*D288/100,E288))</f>
        <v/>
      </c>
      <c r="AE288" s="6">
        <f>IF(F288=0,0,IF(H288="",B288*G288/100,H288))</f>
        <v/>
      </c>
      <c r="AF288" s="6">
        <f>IF(I288=0,0,IF(K288="",B288*J288/100,K288))</f>
        <v/>
      </c>
      <c r="AG288" s="6">
        <f>IF(L288=0,0,IF(N288="",B288*M288/100,N288))</f>
        <v/>
      </c>
      <c r="AH288" s="6">
        <f>IF(O288=0,0,IF(Q288="",B288*P288/100,Q288))</f>
        <v/>
      </c>
      <c r="AI288" s="6">
        <f>IF(R288=0,0,IF(T288="",B288*S288/100,T288))</f>
        <v/>
      </c>
      <c r="AJ288" s="6">
        <f>B288*0.035</f>
        <v/>
      </c>
      <c r="AK288" s="6">
        <f>B288*0.065</f>
        <v/>
      </c>
      <c r="AL288" s="6">
        <f>SUM(B288,AD288,AE288,AF288,AG288,AH288,AI288,U288,V288,AJ288,AK288)</f>
        <v/>
      </c>
      <c r="AM288" s="6">
        <f>B288*0.055</f>
        <v/>
      </c>
      <c r="AN288" s="6">
        <f>B288*0.035</f>
        <v/>
      </c>
      <c r="AO288" s="6">
        <f>B288*0.165</f>
        <v/>
      </c>
      <c r="AP288" s="6">
        <f>MAX(0,AL288-AM288-AO288)</f>
        <v/>
      </c>
      <c r="AQ288" s="6">
        <f>IF(AP288&lt;=490,0,IF(AP288&lt;=600,(AP288-490)*0.05,IF(AP288&lt;=730,5.5+(AP288-600)*0.10,IF(AP288&lt;=3896.67,18.5+(AP288-730)*0.175,IF(AP288&lt;=19896.67,572.67+(AP288-3896.67)*0.25,IF(AP288&lt;=50416.67,4572.67+(AP288-19896.67)*0.30,13728.67+(AP288-50416.67)*0.35))))))</f>
        <v/>
      </c>
      <c r="AR288" s="6">
        <f>SUM(AM288,AQ288,W288,X288,Y288,Z288,AA288,AN288,AO288)</f>
        <v/>
      </c>
      <c r="AS288" s="6">
        <f>AL288-AR288</f>
        <v/>
      </c>
      <c r="AT288" s="6">
        <f>AB288-AC288</f>
        <v/>
      </c>
    </row>
    <row r="289">
      <c r="A289" s="2" t="n"/>
      <c r="B289" s="3" t="n"/>
      <c r="C289" s="4" t="n"/>
      <c r="D289" s="5" t="n"/>
      <c r="E289" s="3" t="n"/>
      <c r="F289" s="4" t="n"/>
      <c r="G289" s="5" t="n"/>
      <c r="H289" s="3" t="n"/>
      <c r="I289" s="4" t="n"/>
      <c r="J289" s="5" t="n"/>
      <c r="K289" s="3" t="n"/>
      <c r="L289" s="4" t="n"/>
      <c r="M289" s="5" t="n"/>
      <c r="N289" s="3" t="n"/>
      <c r="O289" s="4" t="n"/>
      <c r="P289" s="5" t="n"/>
      <c r="Q289" s="3" t="n"/>
      <c r="R289" s="4" t="n"/>
      <c r="S289" s="5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6">
        <f>IF(C289=0,0,IF(E289="",B289*D289/100,E289))</f>
        <v/>
      </c>
      <c r="AE289" s="6">
        <f>IF(F289=0,0,IF(H289="",B289*G289/100,H289))</f>
        <v/>
      </c>
      <c r="AF289" s="6">
        <f>IF(I289=0,0,IF(K289="",B289*J289/100,K289))</f>
        <v/>
      </c>
      <c r="AG289" s="6">
        <f>IF(L289=0,0,IF(N289="",B289*M289/100,N289))</f>
        <v/>
      </c>
      <c r="AH289" s="6">
        <f>IF(O289=0,0,IF(Q289="",B289*P289/100,Q289))</f>
        <v/>
      </c>
      <c r="AI289" s="6">
        <f>IF(R289=0,0,IF(T289="",B289*S289/100,T289))</f>
        <v/>
      </c>
      <c r="AJ289" s="6">
        <f>B289*0.035</f>
        <v/>
      </c>
      <c r="AK289" s="6">
        <f>B289*0.065</f>
        <v/>
      </c>
      <c r="AL289" s="6">
        <f>SUM(B289,AD289,AE289,AF289,AG289,AH289,AI289,U289,V289,AJ289,AK289)</f>
        <v/>
      </c>
      <c r="AM289" s="6">
        <f>B289*0.055</f>
        <v/>
      </c>
      <c r="AN289" s="6">
        <f>B289*0.035</f>
        <v/>
      </c>
      <c r="AO289" s="6">
        <f>B289*0.165</f>
        <v/>
      </c>
      <c r="AP289" s="6">
        <f>MAX(0,AL289-AM289-AO289)</f>
        <v/>
      </c>
      <c r="AQ289" s="6">
        <f>IF(AP289&lt;=490,0,IF(AP289&lt;=600,(AP289-490)*0.05,IF(AP289&lt;=730,5.5+(AP289-600)*0.10,IF(AP289&lt;=3896.67,18.5+(AP289-730)*0.175,IF(AP289&lt;=19896.67,572.67+(AP289-3896.67)*0.25,IF(AP289&lt;=50416.67,4572.67+(AP289-19896.67)*0.30,13728.67+(AP289-50416.67)*0.35))))))</f>
        <v/>
      </c>
      <c r="AR289" s="6">
        <f>SUM(AM289,AQ289,W289,X289,Y289,Z289,AA289,AN289,AO289)</f>
        <v/>
      </c>
      <c r="AS289" s="6">
        <f>AL289-AR289</f>
        <v/>
      </c>
      <c r="AT289" s="6">
        <f>AB289-AC289</f>
        <v/>
      </c>
    </row>
    <row r="290">
      <c r="A290" s="2" t="n"/>
      <c r="B290" s="3" t="n"/>
      <c r="C290" s="4" t="n"/>
      <c r="D290" s="5" t="n"/>
      <c r="E290" s="3" t="n"/>
      <c r="F290" s="4" t="n"/>
      <c r="G290" s="5" t="n"/>
      <c r="H290" s="3" t="n"/>
      <c r="I290" s="4" t="n"/>
      <c r="J290" s="5" t="n"/>
      <c r="K290" s="3" t="n"/>
      <c r="L290" s="4" t="n"/>
      <c r="M290" s="5" t="n"/>
      <c r="N290" s="3" t="n"/>
      <c r="O290" s="4" t="n"/>
      <c r="P290" s="5" t="n"/>
      <c r="Q290" s="3" t="n"/>
      <c r="R290" s="4" t="n"/>
      <c r="S290" s="5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6">
        <f>IF(C290=0,0,IF(E290="",B290*D290/100,E290))</f>
        <v/>
      </c>
      <c r="AE290" s="6">
        <f>IF(F290=0,0,IF(H290="",B290*G290/100,H290))</f>
        <v/>
      </c>
      <c r="AF290" s="6">
        <f>IF(I290=0,0,IF(K290="",B290*J290/100,K290))</f>
        <v/>
      </c>
      <c r="AG290" s="6">
        <f>IF(L290=0,0,IF(N290="",B290*M290/100,N290))</f>
        <v/>
      </c>
      <c r="AH290" s="6">
        <f>IF(O290=0,0,IF(Q290="",B290*P290/100,Q290))</f>
        <v/>
      </c>
      <c r="AI290" s="6">
        <f>IF(R290=0,0,IF(T290="",B290*S290/100,T290))</f>
        <v/>
      </c>
      <c r="AJ290" s="6">
        <f>B290*0.035</f>
        <v/>
      </c>
      <c r="AK290" s="6">
        <f>B290*0.065</f>
        <v/>
      </c>
      <c r="AL290" s="6">
        <f>SUM(B290,AD290,AE290,AF290,AG290,AH290,AI290,U290,V290,AJ290,AK290)</f>
        <v/>
      </c>
      <c r="AM290" s="6">
        <f>B290*0.055</f>
        <v/>
      </c>
      <c r="AN290" s="6">
        <f>B290*0.035</f>
        <v/>
      </c>
      <c r="AO290" s="6">
        <f>B290*0.165</f>
        <v/>
      </c>
      <c r="AP290" s="6">
        <f>MAX(0,AL290-AM290-AO290)</f>
        <v/>
      </c>
      <c r="AQ290" s="6">
        <f>IF(AP290&lt;=490,0,IF(AP290&lt;=600,(AP290-490)*0.05,IF(AP290&lt;=730,5.5+(AP290-600)*0.10,IF(AP290&lt;=3896.67,18.5+(AP290-730)*0.175,IF(AP290&lt;=19896.67,572.67+(AP290-3896.67)*0.25,IF(AP290&lt;=50416.67,4572.67+(AP290-19896.67)*0.30,13728.67+(AP290-50416.67)*0.35))))))</f>
        <v/>
      </c>
      <c r="AR290" s="6">
        <f>SUM(AM290,AQ290,W290,X290,Y290,Z290,AA290,AN290,AO290)</f>
        <v/>
      </c>
      <c r="AS290" s="6">
        <f>AL290-AR290</f>
        <v/>
      </c>
      <c r="AT290" s="6">
        <f>AB290-AC290</f>
        <v/>
      </c>
    </row>
    <row r="291">
      <c r="A291" s="2" t="n"/>
      <c r="B291" s="3" t="n"/>
      <c r="C291" s="4" t="n"/>
      <c r="D291" s="5" t="n"/>
      <c r="E291" s="3" t="n"/>
      <c r="F291" s="4" t="n"/>
      <c r="G291" s="5" t="n"/>
      <c r="H291" s="3" t="n"/>
      <c r="I291" s="4" t="n"/>
      <c r="J291" s="5" t="n"/>
      <c r="K291" s="3" t="n"/>
      <c r="L291" s="4" t="n"/>
      <c r="M291" s="5" t="n"/>
      <c r="N291" s="3" t="n"/>
      <c r="O291" s="4" t="n"/>
      <c r="P291" s="5" t="n"/>
      <c r="Q291" s="3" t="n"/>
      <c r="R291" s="4" t="n"/>
      <c r="S291" s="5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6">
        <f>IF(C291=0,0,IF(E291="",B291*D291/100,E291))</f>
        <v/>
      </c>
      <c r="AE291" s="6">
        <f>IF(F291=0,0,IF(H291="",B291*G291/100,H291))</f>
        <v/>
      </c>
      <c r="AF291" s="6">
        <f>IF(I291=0,0,IF(K291="",B291*J291/100,K291))</f>
        <v/>
      </c>
      <c r="AG291" s="6">
        <f>IF(L291=0,0,IF(N291="",B291*M291/100,N291))</f>
        <v/>
      </c>
      <c r="AH291" s="6">
        <f>IF(O291=0,0,IF(Q291="",B291*P291/100,Q291))</f>
        <v/>
      </c>
      <c r="AI291" s="6">
        <f>IF(R291=0,0,IF(T291="",B291*S291/100,T291))</f>
        <v/>
      </c>
      <c r="AJ291" s="6">
        <f>B291*0.035</f>
        <v/>
      </c>
      <c r="AK291" s="6">
        <f>B291*0.065</f>
        <v/>
      </c>
      <c r="AL291" s="6">
        <f>SUM(B291,AD291,AE291,AF291,AG291,AH291,AI291,U291,V291,AJ291,AK291)</f>
        <v/>
      </c>
      <c r="AM291" s="6">
        <f>B291*0.055</f>
        <v/>
      </c>
      <c r="AN291" s="6">
        <f>B291*0.035</f>
        <v/>
      </c>
      <c r="AO291" s="6">
        <f>B291*0.165</f>
        <v/>
      </c>
      <c r="AP291" s="6">
        <f>MAX(0,AL291-AM291-AO291)</f>
        <v/>
      </c>
      <c r="AQ291" s="6">
        <f>IF(AP291&lt;=490,0,IF(AP291&lt;=600,(AP291-490)*0.05,IF(AP291&lt;=730,5.5+(AP291-600)*0.10,IF(AP291&lt;=3896.67,18.5+(AP291-730)*0.175,IF(AP291&lt;=19896.67,572.67+(AP291-3896.67)*0.25,IF(AP291&lt;=50416.67,4572.67+(AP291-19896.67)*0.30,13728.67+(AP291-50416.67)*0.35))))))</f>
        <v/>
      </c>
      <c r="AR291" s="6">
        <f>SUM(AM291,AQ291,W291,X291,Y291,Z291,AA291,AN291,AO291)</f>
        <v/>
      </c>
      <c r="AS291" s="6">
        <f>AL291-AR291</f>
        <v/>
      </c>
      <c r="AT291" s="6">
        <f>AB291-AC291</f>
        <v/>
      </c>
    </row>
    <row r="292">
      <c r="A292" s="2" t="n"/>
      <c r="B292" s="3" t="n"/>
      <c r="C292" s="4" t="n"/>
      <c r="D292" s="5" t="n"/>
      <c r="E292" s="3" t="n"/>
      <c r="F292" s="4" t="n"/>
      <c r="G292" s="5" t="n"/>
      <c r="H292" s="3" t="n"/>
      <c r="I292" s="4" t="n"/>
      <c r="J292" s="5" t="n"/>
      <c r="K292" s="3" t="n"/>
      <c r="L292" s="4" t="n"/>
      <c r="M292" s="5" t="n"/>
      <c r="N292" s="3" t="n"/>
      <c r="O292" s="4" t="n"/>
      <c r="P292" s="5" t="n"/>
      <c r="Q292" s="3" t="n"/>
      <c r="R292" s="4" t="n"/>
      <c r="S292" s="5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6">
        <f>IF(C292=0,0,IF(E292="",B292*D292/100,E292))</f>
        <v/>
      </c>
      <c r="AE292" s="6">
        <f>IF(F292=0,0,IF(H292="",B292*G292/100,H292))</f>
        <v/>
      </c>
      <c r="AF292" s="6">
        <f>IF(I292=0,0,IF(K292="",B292*J292/100,K292))</f>
        <v/>
      </c>
      <c r="AG292" s="6">
        <f>IF(L292=0,0,IF(N292="",B292*M292/100,N292))</f>
        <v/>
      </c>
      <c r="AH292" s="6">
        <f>IF(O292=0,0,IF(Q292="",B292*P292/100,Q292))</f>
        <v/>
      </c>
      <c r="AI292" s="6">
        <f>IF(R292=0,0,IF(T292="",B292*S292/100,T292))</f>
        <v/>
      </c>
      <c r="AJ292" s="6">
        <f>B292*0.035</f>
        <v/>
      </c>
      <c r="AK292" s="6">
        <f>B292*0.065</f>
        <v/>
      </c>
      <c r="AL292" s="6">
        <f>SUM(B292,AD292,AE292,AF292,AG292,AH292,AI292,U292,V292,AJ292,AK292)</f>
        <v/>
      </c>
      <c r="AM292" s="6">
        <f>B292*0.055</f>
        <v/>
      </c>
      <c r="AN292" s="6">
        <f>B292*0.035</f>
        <v/>
      </c>
      <c r="AO292" s="6">
        <f>B292*0.165</f>
        <v/>
      </c>
      <c r="AP292" s="6">
        <f>MAX(0,AL292-AM292-AO292)</f>
        <v/>
      </c>
      <c r="AQ292" s="6">
        <f>IF(AP292&lt;=490,0,IF(AP292&lt;=600,(AP292-490)*0.05,IF(AP292&lt;=730,5.5+(AP292-600)*0.10,IF(AP292&lt;=3896.67,18.5+(AP292-730)*0.175,IF(AP292&lt;=19896.67,572.67+(AP292-3896.67)*0.25,IF(AP292&lt;=50416.67,4572.67+(AP292-19896.67)*0.30,13728.67+(AP292-50416.67)*0.35))))))</f>
        <v/>
      </c>
      <c r="AR292" s="6">
        <f>SUM(AM292,AQ292,W292,X292,Y292,Z292,AA292,AN292,AO292)</f>
        <v/>
      </c>
      <c r="AS292" s="6">
        <f>AL292-AR292</f>
        <v/>
      </c>
      <c r="AT292" s="6">
        <f>AB292-AC292</f>
        <v/>
      </c>
    </row>
    <row r="293">
      <c r="A293" s="2" t="n"/>
      <c r="B293" s="3" t="n"/>
      <c r="C293" s="4" t="n"/>
      <c r="D293" s="5" t="n"/>
      <c r="E293" s="3" t="n"/>
      <c r="F293" s="4" t="n"/>
      <c r="G293" s="5" t="n"/>
      <c r="H293" s="3" t="n"/>
      <c r="I293" s="4" t="n"/>
      <c r="J293" s="5" t="n"/>
      <c r="K293" s="3" t="n"/>
      <c r="L293" s="4" t="n"/>
      <c r="M293" s="5" t="n"/>
      <c r="N293" s="3" t="n"/>
      <c r="O293" s="4" t="n"/>
      <c r="P293" s="5" t="n"/>
      <c r="Q293" s="3" t="n"/>
      <c r="R293" s="4" t="n"/>
      <c r="S293" s="5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6">
        <f>IF(C293=0,0,IF(E293="",B293*D293/100,E293))</f>
        <v/>
      </c>
      <c r="AE293" s="6">
        <f>IF(F293=0,0,IF(H293="",B293*G293/100,H293))</f>
        <v/>
      </c>
      <c r="AF293" s="6">
        <f>IF(I293=0,0,IF(K293="",B293*J293/100,K293))</f>
        <v/>
      </c>
      <c r="AG293" s="6">
        <f>IF(L293=0,0,IF(N293="",B293*M293/100,N293))</f>
        <v/>
      </c>
      <c r="AH293" s="6">
        <f>IF(O293=0,0,IF(Q293="",B293*P293/100,Q293))</f>
        <v/>
      </c>
      <c r="AI293" s="6">
        <f>IF(R293=0,0,IF(T293="",B293*S293/100,T293))</f>
        <v/>
      </c>
      <c r="AJ293" s="6">
        <f>B293*0.035</f>
        <v/>
      </c>
      <c r="AK293" s="6">
        <f>B293*0.065</f>
        <v/>
      </c>
      <c r="AL293" s="6">
        <f>SUM(B293,AD293,AE293,AF293,AG293,AH293,AI293,U293,V293,AJ293,AK293)</f>
        <v/>
      </c>
      <c r="AM293" s="6">
        <f>B293*0.055</f>
        <v/>
      </c>
      <c r="AN293" s="6">
        <f>B293*0.035</f>
        <v/>
      </c>
      <c r="AO293" s="6">
        <f>B293*0.165</f>
        <v/>
      </c>
      <c r="AP293" s="6">
        <f>MAX(0,AL293-AM293-AO293)</f>
        <v/>
      </c>
      <c r="AQ293" s="6">
        <f>IF(AP293&lt;=490,0,IF(AP293&lt;=600,(AP293-490)*0.05,IF(AP293&lt;=730,5.5+(AP293-600)*0.10,IF(AP293&lt;=3896.67,18.5+(AP293-730)*0.175,IF(AP293&lt;=19896.67,572.67+(AP293-3896.67)*0.25,IF(AP293&lt;=50416.67,4572.67+(AP293-19896.67)*0.30,13728.67+(AP293-50416.67)*0.35))))))</f>
        <v/>
      </c>
      <c r="AR293" s="6">
        <f>SUM(AM293,AQ293,W293,X293,Y293,Z293,AA293,AN293,AO293)</f>
        <v/>
      </c>
      <c r="AS293" s="6">
        <f>AL293-AR293</f>
        <v/>
      </c>
      <c r="AT293" s="6">
        <f>AB293-AC293</f>
        <v/>
      </c>
    </row>
    <row r="294">
      <c r="A294" s="2" t="n"/>
      <c r="B294" s="3" t="n"/>
      <c r="C294" s="4" t="n"/>
      <c r="D294" s="5" t="n"/>
      <c r="E294" s="3" t="n"/>
      <c r="F294" s="4" t="n"/>
      <c r="G294" s="5" t="n"/>
      <c r="H294" s="3" t="n"/>
      <c r="I294" s="4" t="n"/>
      <c r="J294" s="5" t="n"/>
      <c r="K294" s="3" t="n"/>
      <c r="L294" s="4" t="n"/>
      <c r="M294" s="5" t="n"/>
      <c r="N294" s="3" t="n"/>
      <c r="O294" s="4" t="n"/>
      <c r="P294" s="5" t="n"/>
      <c r="Q294" s="3" t="n"/>
      <c r="R294" s="4" t="n"/>
      <c r="S294" s="5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6">
        <f>IF(C294=0,0,IF(E294="",B294*D294/100,E294))</f>
        <v/>
      </c>
      <c r="AE294" s="6">
        <f>IF(F294=0,0,IF(H294="",B294*G294/100,H294))</f>
        <v/>
      </c>
      <c r="AF294" s="6">
        <f>IF(I294=0,0,IF(K294="",B294*J294/100,K294))</f>
        <v/>
      </c>
      <c r="AG294" s="6">
        <f>IF(L294=0,0,IF(N294="",B294*M294/100,N294))</f>
        <v/>
      </c>
      <c r="AH294" s="6">
        <f>IF(O294=0,0,IF(Q294="",B294*P294/100,Q294))</f>
        <v/>
      </c>
      <c r="AI294" s="6">
        <f>IF(R294=0,0,IF(T294="",B294*S294/100,T294))</f>
        <v/>
      </c>
      <c r="AJ294" s="6">
        <f>B294*0.035</f>
        <v/>
      </c>
      <c r="AK294" s="6">
        <f>B294*0.065</f>
        <v/>
      </c>
      <c r="AL294" s="6">
        <f>SUM(B294,AD294,AE294,AF294,AG294,AH294,AI294,U294,V294,AJ294,AK294)</f>
        <v/>
      </c>
      <c r="AM294" s="6">
        <f>B294*0.055</f>
        <v/>
      </c>
      <c r="AN294" s="6">
        <f>B294*0.035</f>
        <v/>
      </c>
      <c r="AO294" s="6">
        <f>B294*0.165</f>
        <v/>
      </c>
      <c r="AP294" s="6">
        <f>MAX(0,AL294-AM294-AO294)</f>
        <v/>
      </c>
      <c r="AQ294" s="6">
        <f>IF(AP294&lt;=490,0,IF(AP294&lt;=600,(AP294-490)*0.05,IF(AP294&lt;=730,5.5+(AP294-600)*0.10,IF(AP294&lt;=3896.67,18.5+(AP294-730)*0.175,IF(AP294&lt;=19896.67,572.67+(AP294-3896.67)*0.25,IF(AP294&lt;=50416.67,4572.67+(AP294-19896.67)*0.30,13728.67+(AP294-50416.67)*0.35))))))</f>
        <v/>
      </c>
      <c r="AR294" s="6">
        <f>SUM(AM294,AQ294,W294,X294,Y294,Z294,AA294,AN294,AO294)</f>
        <v/>
      </c>
      <c r="AS294" s="6">
        <f>AL294-AR294</f>
        <v/>
      </c>
      <c r="AT294" s="6">
        <f>AB294-AC294</f>
        <v/>
      </c>
    </row>
    <row r="295">
      <c r="A295" s="2" t="n"/>
      <c r="B295" s="3" t="n"/>
      <c r="C295" s="4" t="n"/>
      <c r="D295" s="5" t="n"/>
      <c r="E295" s="3" t="n"/>
      <c r="F295" s="4" t="n"/>
      <c r="G295" s="5" t="n"/>
      <c r="H295" s="3" t="n"/>
      <c r="I295" s="4" t="n"/>
      <c r="J295" s="5" t="n"/>
      <c r="K295" s="3" t="n"/>
      <c r="L295" s="4" t="n"/>
      <c r="M295" s="5" t="n"/>
      <c r="N295" s="3" t="n"/>
      <c r="O295" s="4" t="n"/>
      <c r="P295" s="5" t="n"/>
      <c r="Q295" s="3" t="n"/>
      <c r="R295" s="4" t="n"/>
      <c r="S295" s="5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6">
        <f>IF(C295=0,0,IF(E295="",B295*D295/100,E295))</f>
        <v/>
      </c>
      <c r="AE295" s="6">
        <f>IF(F295=0,0,IF(H295="",B295*G295/100,H295))</f>
        <v/>
      </c>
      <c r="AF295" s="6">
        <f>IF(I295=0,0,IF(K295="",B295*J295/100,K295))</f>
        <v/>
      </c>
      <c r="AG295" s="6">
        <f>IF(L295=0,0,IF(N295="",B295*M295/100,N295))</f>
        <v/>
      </c>
      <c r="AH295" s="6">
        <f>IF(O295=0,0,IF(Q295="",B295*P295/100,Q295))</f>
        <v/>
      </c>
      <c r="AI295" s="6">
        <f>IF(R295=0,0,IF(T295="",B295*S295/100,T295))</f>
        <v/>
      </c>
      <c r="AJ295" s="6">
        <f>B295*0.035</f>
        <v/>
      </c>
      <c r="AK295" s="6">
        <f>B295*0.065</f>
        <v/>
      </c>
      <c r="AL295" s="6">
        <f>SUM(B295,AD295,AE295,AF295,AG295,AH295,AI295,U295,V295,AJ295,AK295)</f>
        <v/>
      </c>
      <c r="AM295" s="6">
        <f>B295*0.055</f>
        <v/>
      </c>
      <c r="AN295" s="6">
        <f>B295*0.035</f>
        <v/>
      </c>
      <c r="AO295" s="6">
        <f>B295*0.165</f>
        <v/>
      </c>
      <c r="AP295" s="6">
        <f>MAX(0,AL295-AM295-AO295)</f>
        <v/>
      </c>
      <c r="AQ295" s="6">
        <f>IF(AP295&lt;=490,0,IF(AP295&lt;=600,(AP295-490)*0.05,IF(AP295&lt;=730,5.5+(AP295-600)*0.10,IF(AP295&lt;=3896.67,18.5+(AP295-730)*0.175,IF(AP295&lt;=19896.67,572.67+(AP295-3896.67)*0.25,IF(AP295&lt;=50416.67,4572.67+(AP295-19896.67)*0.30,13728.67+(AP295-50416.67)*0.35))))))</f>
        <v/>
      </c>
      <c r="AR295" s="6">
        <f>SUM(AM295,AQ295,W295,X295,Y295,Z295,AA295,AN295,AO295)</f>
        <v/>
      </c>
      <c r="AS295" s="6">
        <f>AL295-AR295</f>
        <v/>
      </c>
      <c r="AT295" s="6">
        <f>AB295-AC295</f>
        <v/>
      </c>
    </row>
    <row r="296">
      <c r="A296" s="2" t="n"/>
      <c r="B296" s="3" t="n"/>
      <c r="C296" s="4" t="n"/>
      <c r="D296" s="5" t="n"/>
      <c r="E296" s="3" t="n"/>
      <c r="F296" s="4" t="n"/>
      <c r="G296" s="5" t="n"/>
      <c r="H296" s="3" t="n"/>
      <c r="I296" s="4" t="n"/>
      <c r="J296" s="5" t="n"/>
      <c r="K296" s="3" t="n"/>
      <c r="L296" s="4" t="n"/>
      <c r="M296" s="5" t="n"/>
      <c r="N296" s="3" t="n"/>
      <c r="O296" s="4" t="n"/>
      <c r="P296" s="5" t="n"/>
      <c r="Q296" s="3" t="n"/>
      <c r="R296" s="4" t="n"/>
      <c r="S296" s="5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6">
        <f>IF(C296=0,0,IF(E296="",B296*D296/100,E296))</f>
        <v/>
      </c>
      <c r="AE296" s="6">
        <f>IF(F296=0,0,IF(H296="",B296*G296/100,H296))</f>
        <v/>
      </c>
      <c r="AF296" s="6">
        <f>IF(I296=0,0,IF(K296="",B296*J296/100,K296))</f>
        <v/>
      </c>
      <c r="AG296" s="6">
        <f>IF(L296=0,0,IF(N296="",B296*M296/100,N296))</f>
        <v/>
      </c>
      <c r="AH296" s="6">
        <f>IF(O296=0,0,IF(Q296="",B296*P296/100,Q296))</f>
        <v/>
      </c>
      <c r="AI296" s="6">
        <f>IF(R296=0,0,IF(T296="",B296*S296/100,T296))</f>
        <v/>
      </c>
      <c r="AJ296" s="6">
        <f>B296*0.035</f>
        <v/>
      </c>
      <c r="AK296" s="6">
        <f>B296*0.065</f>
        <v/>
      </c>
      <c r="AL296" s="6">
        <f>SUM(B296,AD296,AE296,AF296,AG296,AH296,AI296,U296,V296,AJ296,AK296)</f>
        <v/>
      </c>
      <c r="AM296" s="6">
        <f>B296*0.055</f>
        <v/>
      </c>
      <c r="AN296" s="6">
        <f>B296*0.035</f>
        <v/>
      </c>
      <c r="AO296" s="6">
        <f>B296*0.165</f>
        <v/>
      </c>
      <c r="AP296" s="6">
        <f>MAX(0,AL296-AM296-AO296)</f>
        <v/>
      </c>
      <c r="AQ296" s="6">
        <f>IF(AP296&lt;=490,0,IF(AP296&lt;=600,(AP296-490)*0.05,IF(AP296&lt;=730,5.5+(AP296-600)*0.10,IF(AP296&lt;=3896.67,18.5+(AP296-730)*0.175,IF(AP296&lt;=19896.67,572.67+(AP296-3896.67)*0.25,IF(AP296&lt;=50416.67,4572.67+(AP296-19896.67)*0.30,13728.67+(AP296-50416.67)*0.35))))))</f>
        <v/>
      </c>
      <c r="AR296" s="6">
        <f>SUM(AM296,AQ296,W296,X296,Y296,Z296,AA296,AN296,AO296)</f>
        <v/>
      </c>
      <c r="AS296" s="6">
        <f>AL296-AR296</f>
        <v/>
      </c>
      <c r="AT296" s="6">
        <f>AB296-AC296</f>
        <v/>
      </c>
    </row>
    <row r="297">
      <c r="A297" s="2" t="n"/>
      <c r="B297" s="3" t="n"/>
      <c r="C297" s="4" t="n"/>
      <c r="D297" s="5" t="n"/>
      <c r="E297" s="3" t="n"/>
      <c r="F297" s="4" t="n"/>
      <c r="G297" s="5" t="n"/>
      <c r="H297" s="3" t="n"/>
      <c r="I297" s="4" t="n"/>
      <c r="J297" s="5" t="n"/>
      <c r="K297" s="3" t="n"/>
      <c r="L297" s="4" t="n"/>
      <c r="M297" s="5" t="n"/>
      <c r="N297" s="3" t="n"/>
      <c r="O297" s="4" t="n"/>
      <c r="P297" s="5" t="n"/>
      <c r="Q297" s="3" t="n"/>
      <c r="R297" s="4" t="n"/>
      <c r="S297" s="5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6">
        <f>IF(C297=0,0,IF(E297="",B297*D297/100,E297))</f>
        <v/>
      </c>
      <c r="AE297" s="6">
        <f>IF(F297=0,0,IF(H297="",B297*G297/100,H297))</f>
        <v/>
      </c>
      <c r="AF297" s="6">
        <f>IF(I297=0,0,IF(K297="",B297*J297/100,K297))</f>
        <v/>
      </c>
      <c r="AG297" s="6">
        <f>IF(L297=0,0,IF(N297="",B297*M297/100,N297))</f>
        <v/>
      </c>
      <c r="AH297" s="6">
        <f>IF(O297=0,0,IF(Q297="",B297*P297/100,Q297))</f>
        <v/>
      </c>
      <c r="AI297" s="6">
        <f>IF(R297=0,0,IF(T297="",B297*S297/100,T297))</f>
        <v/>
      </c>
      <c r="AJ297" s="6">
        <f>B297*0.035</f>
        <v/>
      </c>
      <c r="AK297" s="6">
        <f>B297*0.065</f>
        <v/>
      </c>
      <c r="AL297" s="6">
        <f>SUM(B297,AD297,AE297,AF297,AG297,AH297,AI297,U297,V297,AJ297,AK297)</f>
        <v/>
      </c>
      <c r="AM297" s="6">
        <f>B297*0.055</f>
        <v/>
      </c>
      <c r="AN297" s="6">
        <f>B297*0.035</f>
        <v/>
      </c>
      <c r="AO297" s="6">
        <f>B297*0.165</f>
        <v/>
      </c>
      <c r="AP297" s="6">
        <f>MAX(0,AL297-AM297-AO297)</f>
        <v/>
      </c>
      <c r="AQ297" s="6">
        <f>IF(AP297&lt;=490,0,IF(AP297&lt;=600,(AP297-490)*0.05,IF(AP297&lt;=730,5.5+(AP297-600)*0.10,IF(AP297&lt;=3896.67,18.5+(AP297-730)*0.175,IF(AP297&lt;=19896.67,572.67+(AP297-3896.67)*0.25,IF(AP297&lt;=50416.67,4572.67+(AP297-19896.67)*0.30,13728.67+(AP297-50416.67)*0.35))))))</f>
        <v/>
      </c>
      <c r="AR297" s="6">
        <f>SUM(AM297,AQ297,W297,X297,Y297,Z297,AA297,AN297,AO297)</f>
        <v/>
      </c>
      <c r="AS297" s="6">
        <f>AL297-AR297</f>
        <v/>
      </c>
      <c r="AT297" s="6">
        <f>AB297-AC297</f>
        <v/>
      </c>
    </row>
    <row r="298">
      <c r="A298" s="2" t="n"/>
      <c r="B298" s="3" t="n"/>
      <c r="C298" s="4" t="n"/>
      <c r="D298" s="5" t="n"/>
      <c r="E298" s="3" t="n"/>
      <c r="F298" s="4" t="n"/>
      <c r="G298" s="5" t="n"/>
      <c r="H298" s="3" t="n"/>
      <c r="I298" s="4" t="n"/>
      <c r="J298" s="5" t="n"/>
      <c r="K298" s="3" t="n"/>
      <c r="L298" s="4" t="n"/>
      <c r="M298" s="5" t="n"/>
      <c r="N298" s="3" t="n"/>
      <c r="O298" s="4" t="n"/>
      <c r="P298" s="5" t="n"/>
      <c r="Q298" s="3" t="n"/>
      <c r="R298" s="4" t="n"/>
      <c r="S298" s="5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6">
        <f>IF(C298=0,0,IF(E298="",B298*D298/100,E298))</f>
        <v/>
      </c>
      <c r="AE298" s="6">
        <f>IF(F298=0,0,IF(H298="",B298*G298/100,H298))</f>
        <v/>
      </c>
      <c r="AF298" s="6">
        <f>IF(I298=0,0,IF(K298="",B298*J298/100,K298))</f>
        <v/>
      </c>
      <c r="AG298" s="6">
        <f>IF(L298=0,0,IF(N298="",B298*M298/100,N298))</f>
        <v/>
      </c>
      <c r="AH298" s="6">
        <f>IF(O298=0,0,IF(Q298="",B298*P298/100,Q298))</f>
        <v/>
      </c>
      <c r="AI298" s="6">
        <f>IF(R298=0,0,IF(T298="",B298*S298/100,T298))</f>
        <v/>
      </c>
      <c r="AJ298" s="6">
        <f>B298*0.035</f>
        <v/>
      </c>
      <c r="AK298" s="6">
        <f>B298*0.065</f>
        <v/>
      </c>
      <c r="AL298" s="6">
        <f>SUM(B298,AD298,AE298,AF298,AG298,AH298,AI298,U298,V298,AJ298,AK298)</f>
        <v/>
      </c>
      <c r="AM298" s="6">
        <f>B298*0.055</f>
        <v/>
      </c>
      <c r="AN298" s="6">
        <f>B298*0.035</f>
        <v/>
      </c>
      <c r="AO298" s="6">
        <f>B298*0.165</f>
        <v/>
      </c>
      <c r="AP298" s="6">
        <f>MAX(0,AL298-AM298-AO298)</f>
        <v/>
      </c>
      <c r="AQ298" s="6">
        <f>IF(AP298&lt;=490,0,IF(AP298&lt;=600,(AP298-490)*0.05,IF(AP298&lt;=730,5.5+(AP298-600)*0.10,IF(AP298&lt;=3896.67,18.5+(AP298-730)*0.175,IF(AP298&lt;=19896.67,572.67+(AP298-3896.67)*0.25,IF(AP298&lt;=50416.67,4572.67+(AP298-19896.67)*0.30,13728.67+(AP298-50416.67)*0.35))))))</f>
        <v/>
      </c>
      <c r="AR298" s="6">
        <f>SUM(AM298,AQ298,W298,X298,Y298,Z298,AA298,AN298,AO298)</f>
        <v/>
      </c>
      <c r="AS298" s="6">
        <f>AL298-AR298</f>
        <v/>
      </c>
      <c r="AT298" s="6">
        <f>AB298-AC298</f>
        <v/>
      </c>
    </row>
    <row r="299">
      <c r="A299" s="2" t="n"/>
      <c r="B299" s="3" t="n"/>
      <c r="C299" s="4" t="n"/>
      <c r="D299" s="5" t="n"/>
      <c r="E299" s="3" t="n"/>
      <c r="F299" s="4" t="n"/>
      <c r="G299" s="5" t="n"/>
      <c r="H299" s="3" t="n"/>
      <c r="I299" s="4" t="n"/>
      <c r="J299" s="5" t="n"/>
      <c r="K299" s="3" t="n"/>
      <c r="L299" s="4" t="n"/>
      <c r="M299" s="5" t="n"/>
      <c r="N299" s="3" t="n"/>
      <c r="O299" s="4" t="n"/>
      <c r="P299" s="5" t="n"/>
      <c r="Q299" s="3" t="n"/>
      <c r="R299" s="4" t="n"/>
      <c r="S299" s="5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6">
        <f>IF(C299=0,0,IF(E299="",B299*D299/100,E299))</f>
        <v/>
      </c>
      <c r="AE299" s="6">
        <f>IF(F299=0,0,IF(H299="",B299*G299/100,H299))</f>
        <v/>
      </c>
      <c r="AF299" s="6">
        <f>IF(I299=0,0,IF(K299="",B299*J299/100,K299))</f>
        <v/>
      </c>
      <c r="AG299" s="6">
        <f>IF(L299=0,0,IF(N299="",B299*M299/100,N299))</f>
        <v/>
      </c>
      <c r="AH299" s="6">
        <f>IF(O299=0,0,IF(Q299="",B299*P299/100,Q299))</f>
        <v/>
      </c>
      <c r="AI299" s="6">
        <f>IF(R299=0,0,IF(T299="",B299*S299/100,T299))</f>
        <v/>
      </c>
      <c r="AJ299" s="6">
        <f>B299*0.035</f>
        <v/>
      </c>
      <c r="AK299" s="6">
        <f>B299*0.065</f>
        <v/>
      </c>
      <c r="AL299" s="6">
        <f>SUM(B299,AD299,AE299,AF299,AG299,AH299,AI299,U299,V299,AJ299,AK299)</f>
        <v/>
      </c>
      <c r="AM299" s="6">
        <f>B299*0.055</f>
        <v/>
      </c>
      <c r="AN299" s="6">
        <f>B299*0.035</f>
        <v/>
      </c>
      <c r="AO299" s="6">
        <f>B299*0.165</f>
        <v/>
      </c>
      <c r="AP299" s="6">
        <f>MAX(0,AL299-AM299-AO299)</f>
        <v/>
      </c>
      <c r="AQ299" s="6">
        <f>IF(AP299&lt;=490,0,IF(AP299&lt;=600,(AP299-490)*0.05,IF(AP299&lt;=730,5.5+(AP299-600)*0.10,IF(AP299&lt;=3896.67,18.5+(AP299-730)*0.175,IF(AP299&lt;=19896.67,572.67+(AP299-3896.67)*0.25,IF(AP299&lt;=50416.67,4572.67+(AP299-19896.67)*0.30,13728.67+(AP299-50416.67)*0.35))))))</f>
        <v/>
      </c>
      <c r="AR299" s="6">
        <f>SUM(AM299,AQ299,W299,X299,Y299,Z299,AA299,AN299,AO299)</f>
        <v/>
      </c>
      <c r="AS299" s="6">
        <f>AL299-AR299</f>
        <v/>
      </c>
      <c r="AT299" s="6">
        <f>AB299-AC299</f>
        <v/>
      </c>
    </row>
    <row r="300">
      <c r="A300" s="2" t="n"/>
      <c r="B300" s="3" t="n"/>
      <c r="C300" s="4" t="n"/>
      <c r="D300" s="5" t="n"/>
      <c r="E300" s="3" t="n"/>
      <c r="F300" s="4" t="n"/>
      <c r="G300" s="5" t="n"/>
      <c r="H300" s="3" t="n"/>
      <c r="I300" s="4" t="n"/>
      <c r="J300" s="5" t="n"/>
      <c r="K300" s="3" t="n"/>
      <c r="L300" s="4" t="n"/>
      <c r="M300" s="5" t="n"/>
      <c r="N300" s="3" t="n"/>
      <c r="O300" s="4" t="n"/>
      <c r="P300" s="5" t="n"/>
      <c r="Q300" s="3" t="n"/>
      <c r="R300" s="4" t="n"/>
      <c r="S300" s="5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6">
        <f>IF(C300=0,0,IF(E300="",B300*D300/100,E300))</f>
        <v/>
      </c>
      <c r="AE300" s="6">
        <f>IF(F300=0,0,IF(H300="",B300*G300/100,H300))</f>
        <v/>
      </c>
      <c r="AF300" s="6">
        <f>IF(I300=0,0,IF(K300="",B300*J300/100,K300))</f>
        <v/>
      </c>
      <c r="AG300" s="6">
        <f>IF(L300=0,0,IF(N300="",B300*M300/100,N300))</f>
        <v/>
      </c>
      <c r="AH300" s="6">
        <f>IF(O300=0,0,IF(Q300="",B300*P300/100,Q300))</f>
        <v/>
      </c>
      <c r="AI300" s="6">
        <f>IF(R300=0,0,IF(T300="",B300*S300/100,T300))</f>
        <v/>
      </c>
      <c r="AJ300" s="6">
        <f>B300*0.035</f>
        <v/>
      </c>
      <c r="AK300" s="6">
        <f>B300*0.065</f>
        <v/>
      </c>
      <c r="AL300" s="6">
        <f>SUM(B300,AD300,AE300,AF300,AG300,AH300,AI300,U300,V300,AJ300,AK300)</f>
        <v/>
      </c>
      <c r="AM300" s="6">
        <f>B300*0.055</f>
        <v/>
      </c>
      <c r="AN300" s="6">
        <f>B300*0.035</f>
        <v/>
      </c>
      <c r="AO300" s="6">
        <f>B300*0.165</f>
        <v/>
      </c>
      <c r="AP300" s="6">
        <f>MAX(0,AL300-AM300-AO300)</f>
        <v/>
      </c>
      <c r="AQ300" s="6">
        <f>IF(AP300&lt;=490,0,IF(AP300&lt;=600,(AP300-490)*0.05,IF(AP300&lt;=730,5.5+(AP300-600)*0.10,IF(AP300&lt;=3896.67,18.5+(AP300-730)*0.175,IF(AP300&lt;=19896.67,572.67+(AP300-3896.67)*0.25,IF(AP300&lt;=50416.67,4572.67+(AP300-19896.67)*0.30,13728.67+(AP300-50416.67)*0.35))))))</f>
        <v/>
      </c>
      <c r="AR300" s="6">
        <f>SUM(AM300,AQ300,W300,X300,Y300,Z300,AA300,AN300,AO300)</f>
        <v/>
      </c>
      <c r="AS300" s="6">
        <f>AL300-AR300</f>
        <v/>
      </c>
      <c r="AT300" s="6">
        <f>AB300-AC300</f>
        <v/>
      </c>
    </row>
    <row r="301">
      <c r="A301" s="2" t="n"/>
      <c r="B301" s="3" t="n"/>
      <c r="C301" s="4" t="n"/>
      <c r="D301" s="5" t="n"/>
      <c r="E301" s="3" t="n"/>
      <c r="F301" s="4" t="n"/>
      <c r="G301" s="5" t="n"/>
      <c r="H301" s="3" t="n"/>
      <c r="I301" s="4" t="n"/>
      <c r="J301" s="5" t="n"/>
      <c r="K301" s="3" t="n"/>
      <c r="L301" s="4" t="n"/>
      <c r="M301" s="5" t="n"/>
      <c r="N301" s="3" t="n"/>
      <c r="O301" s="4" t="n"/>
      <c r="P301" s="5" t="n"/>
      <c r="Q301" s="3" t="n"/>
      <c r="R301" s="4" t="n"/>
      <c r="S301" s="5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6">
        <f>IF(C301=0,0,IF(E301="",B301*D301/100,E301))</f>
        <v/>
      </c>
      <c r="AE301" s="6">
        <f>IF(F301=0,0,IF(H301="",B301*G301/100,H301))</f>
        <v/>
      </c>
      <c r="AF301" s="6">
        <f>IF(I301=0,0,IF(K301="",B301*J301/100,K301))</f>
        <v/>
      </c>
      <c r="AG301" s="6">
        <f>IF(L301=0,0,IF(N301="",B301*M301/100,N301))</f>
        <v/>
      </c>
      <c r="AH301" s="6">
        <f>IF(O301=0,0,IF(Q301="",B301*P301/100,Q301))</f>
        <v/>
      </c>
      <c r="AI301" s="6">
        <f>IF(R301=0,0,IF(T301="",B301*S301/100,T301))</f>
        <v/>
      </c>
      <c r="AJ301" s="6">
        <f>B301*0.035</f>
        <v/>
      </c>
      <c r="AK301" s="6">
        <f>B301*0.065</f>
        <v/>
      </c>
      <c r="AL301" s="6">
        <f>SUM(B301,AD301,AE301,AF301,AG301,AH301,AI301,U301,V301,AJ301,AK301)</f>
        <v/>
      </c>
      <c r="AM301" s="6">
        <f>B301*0.055</f>
        <v/>
      </c>
      <c r="AN301" s="6">
        <f>B301*0.035</f>
        <v/>
      </c>
      <c r="AO301" s="6">
        <f>B301*0.165</f>
        <v/>
      </c>
      <c r="AP301" s="6">
        <f>MAX(0,AL301-AM301-AO301)</f>
        <v/>
      </c>
      <c r="AQ301" s="6">
        <f>IF(AP301&lt;=490,0,IF(AP301&lt;=600,(AP301-490)*0.05,IF(AP301&lt;=730,5.5+(AP301-600)*0.10,IF(AP301&lt;=3896.67,18.5+(AP301-730)*0.175,IF(AP301&lt;=19896.67,572.67+(AP301-3896.67)*0.25,IF(AP301&lt;=50416.67,4572.67+(AP301-19896.67)*0.30,13728.67+(AP301-50416.67)*0.35))))))</f>
        <v/>
      </c>
      <c r="AR301" s="6">
        <f>SUM(AM301,AQ301,W301,X301,Y301,Z301,AA301,AN301,AO301)</f>
        <v/>
      </c>
      <c r="AS301" s="6">
        <f>AL301-AR301</f>
        <v/>
      </c>
      <c r="AT301" s="6">
        <f>AB301-AC301</f>
        <v/>
      </c>
    </row>
    <row r="302">
      <c r="A302" s="2" t="n"/>
      <c r="B302" s="3" t="n"/>
      <c r="C302" s="4" t="n"/>
      <c r="D302" s="5" t="n"/>
      <c r="E302" s="3" t="n"/>
      <c r="F302" s="4" t="n"/>
      <c r="G302" s="5" t="n"/>
      <c r="H302" s="3" t="n"/>
      <c r="I302" s="4" t="n"/>
      <c r="J302" s="5" t="n"/>
      <c r="K302" s="3" t="n"/>
      <c r="L302" s="4" t="n"/>
      <c r="M302" s="5" t="n"/>
      <c r="N302" s="3" t="n"/>
      <c r="O302" s="4" t="n"/>
      <c r="P302" s="5" t="n"/>
      <c r="Q302" s="3" t="n"/>
      <c r="R302" s="4" t="n"/>
      <c r="S302" s="5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6">
        <f>IF(C302=0,0,IF(E302="",B302*D302/100,E302))</f>
        <v/>
      </c>
      <c r="AE302" s="6">
        <f>IF(F302=0,0,IF(H302="",B302*G302/100,H302))</f>
        <v/>
      </c>
      <c r="AF302" s="6">
        <f>IF(I302=0,0,IF(K302="",B302*J302/100,K302))</f>
        <v/>
      </c>
      <c r="AG302" s="6">
        <f>IF(L302=0,0,IF(N302="",B302*M302/100,N302))</f>
        <v/>
      </c>
      <c r="AH302" s="6">
        <f>IF(O302=0,0,IF(Q302="",B302*P302/100,Q302))</f>
        <v/>
      </c>
      <c r="AI302" s="6">
        <f>IF(R302=0,0,IF(T302="",B302*S302/100,T302))</f>
        <v/>
      </c>
      <c r="AJ302" s="6">
        <f>B302*0.035</f>
        <v/>
      </c>
      <c r="AK302" s="6">
        <f>B302*0.065</f>
        <v/>
      </c>
      <c r="AL302" s="6">
        <f>SUM(B302,AD302,AE302,AF302,AG302,AH302,AI302,U302,V302,AJ302,AK302)</f>
        <v/>
      </c>
      <c r="AM302" s="6">
        <f>B302*0.055</f>
        <v/>
      </c>
      <c r="AN302" s="6">
        <f>B302*0.035</f>
        <v/>
      </c>
      <c r="AO302" s="6">
        <f>B302*0.165</f>
        <v/>
      </c>
      <c r="AP302" s="6">
        <f>MAX(0,AL302-AM302-AO302)</f>
        <v/>
      </c>
      <c r="AQ302" s="6">
        <f>IF(AP302&lt;=490,0,IF(AP302&lt;=600,(AP302-490)*0.05,IF(AP302&lt;=730,5.5+(AP302-600)*0.10,IF(AP302&lt;=3896.67,18.5+(AP302-730)*0.175,IF(AP302&lt;=19896.67,572.67+(AP302-3896.67)*0.25,IF(AP302&lt;=50416.67,4572.67+(AP302-19896.67)*0.30,13728.67+(AP302-50416.67)*0.35))))))</f>
        <v/>
      </c>
      <c r="AR302" s="6">
        <f>SUM(AM302,AQ302,W302,X302,Y302,Z302,AA302,AN302,AO302)</f>
        <v/>
      </c>
      <c r="AS302" s="6">
        <f>AL302-AR302</f>
        <v/>
      </c>
      <c r="AT302" s="6">
        <f>AB302-AC302</f>
        <v/>
      </c>
    </row>
    <row r="303">
      <c r="A303" s="2" t="n"/>
      <c r="B303" s="3" t="n"/>
      <c r="C303" s="4" t="n"/>
      <c r="D303" s="5" t="n"/>
      <c r="E303" s="3" t="n"/>
      <c r="F303" s="4" t="n"/>
      <c r="G303" s="5" t="n"/>
      <c r="H303" s="3" t="n"/>
      <c r="I303" s="4" t="n"/>
      <c r="J303" s="5" t="n"/>
      <c r="K303" s="3" t="n"/>
      <c r="L303" s="4" t="n"/>
      <c r="M303" s="5" t="n"/>
      <c r="N303" s="3" t="n"/>
      <c r="O303" s="4" t="n"/>
      <c r="P303" s="5" t="n"/>
      <c r="Q303" s="3" t="n"/>
      <c r="R303" s="4" t="n"/>
      <c r="S303" s="5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6">
        <f>IF(C303=0,0,IF(E303="",B303*D303/100,E303))</f>
        <v/>
      </c>
      <c r="AE303" s="6">
        <f>IF(F303=0,0,IF(H303="",B303*G303/100,H303))</f>
        <v/>
      </c>
      <c r="AF303" s="6">
        <f>IF(I303=0,0,IF(K303="",B303*J303/100,K303))</f>
        <v/>
      </c>
      <c r="AG303" s="6">
        <f>IF(L303=0,0,IF(N303="",B303*M303/100,N303))</f>
        <v/>
      </c>
      <c r="AH303" s="6">
        <f>IF(O303=0,0,IF(Q303="",B303*P303/100,Q303))</f>
        <v/>
      </c>
      <c r="AI303" s="6">
        <f>IF(R303=0,0,IF(T303="",B303*S303/100,T303))</f>
        <v/>
      </c>
      <c r="AJ303" s="6">
        <f>B303*0.035</f>
        <v/>
      </c>
      <c r="AK303" s="6">
        <f>B303*0.065</f>
        <v/>
      </c>
      <c r="AL303" s="6">
        <f>SUM(B303,AD303,AE303,AF303,AG303,AH303,AI303,U303,V303,AJ303,AK303)</f>
        <v/>
      </c>
      <c r="AM303" s="6">
        <f>B303*0.055</f>
        <v/>
      </c>
      <c r="AN303" s="6">
        <f>B303*0.035</f>
        <v/>
      </c>
      <c r="AO303" s="6">
        <f>B303*0.165</f>
        <v/>
      </c>
      <c r="AP303" s="6">
        <f>MAX(0,AL303-AM303-AO303)</f>
        <v/>
      </c>
      <c r="AQ303" s="6">
        <f>IF(AP303&lt;=490,0,IF(AP303&lt;=600,(AP303-490)*0.05,IF(AP303&lt;=730,5.5+(AP303-600)*0.10,IF(AP303&lt;=3896.67,18.5+(AP303-730)*0.175,IF(AP303&lt;=19896.67,572.67+(AP303-3896.67)*0.25,IF(AP303&lt;=50416.67,4572.67+(AP303-19896.67)*0.30,13728.67+(AP303-50416.67)*0.35))))))</f>
        <v/>
      </c>
      <c r="AR303" s="6">
        <f>SUM(AM303,AQ303,W303,X303,Y303,Z303,AA303,AN303,AO303)</f>
        <v/>
      </c>
      <c r="AS303" s="6">
        <f>AL303-AR303</f>
        <v/>
      </c>
      <c r="AT303" s="6">
        <f>AB303-AC303</f>
        <v/>
      </c>
    </row>
    <row r="304">
      <c r="A304" s="2" t="n"/>
      <c r="B304" s="3" t="n"/>
      <c r="C304" s="4" t="n"/>
      <c r="D304" s="5" t="n"/>
      <c r="E304" s="3" t="n"/>
      <c r="F304" s="4" t="n"/>
      <c r="G304" s="5" t="n"/>
      <c r="H304" s="3" t="n"/>
      <c r="I304" s="4" t="n"/>
      <c r="J304" s="5" t="n"/>
      <c r="K304" s="3" t="n"/>
      <c r="L304" s="4" t="n"/>
      <c r="M304" s="5" t="n"/>
      <c r="N304" s="3" t="n"/>
      <c r="O304" s="4" t="n"/>
      <c r="P304" s="5" t="n"/>
      <c r="Q304" s="3" t="n"/>
      <c r="R304" s="4" t="n"/>
      <c r="S304" s="5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6">
        <f>IF(C304=0,0,IF(E304="",B304*D304/100,E304))</f>
        <v/>
      </c>
      <c r="AE304" s="6">
        <f>IF(F304=0,0,IF(H304="",B304*G304/100,H304))</f>
        <v/>
      </c>
      <c r="AF304" s="6">
        <f>IF(I304=0,0,IF(K304="",B304*J304/100,K304))</f>
        <v/>
      </c>
      <c r="AG304" s="6">
        <f>IF(L304=0,0,IF(N304="",B304*M304/100,N304))</f>
        <v/>
      </c>
      <c r="AH304" s="6">
        <f>IF(O304=0,0,IF(Q304="",B304*P304/100,Q304))</f>
        <v/>
      </c>
      <c r="AI304" s="6">
        <f>IF(R304=0,0,IF(T304="",B304*S304/100,T304))</f>
        <v/>
      </c>
      <c r="AJ304" s="6">
        <f>B304*0.035</f>
        <v/>
      </c>
      <c r="AK304" s="6">
        <f>B304*0.065</f>
        <v/>
      </c>
      <c r="AL304" s="6">
        <f>SUM(B304,AD304,AE304,AF304,AG304,AH304,AI304,U304,V304,AJ304,AK304)</f>
        <v/>
      </c>
      <c r="AM304" s="6">
        <f>B304*0.055</f>
        <v/>
      </c>
      <c r="AN304" s="6">
        <f>B304*0.035</f>
        <v/>
      </c>
      <c r="AO304" s="6">
        <f>B304*0.165</f>
        <v/>
      </c>
      <c r="AP304" s="6">
        <f>MAX(0,AL304-AM304-AO304)</f>
        <v/>
      </c>
      <c r="AQ304" s="6">
        <f>IF(AP304&lt;=490,0,IF(AP304&lt;=600,(AP304-490)*0.05,IF(AP304&lt;=730,5.5+(AP304-600)*0.10,IF(AP304&lt;=3896.67,18.5+(AP304-730)*0.175,IF(AP304&lt;=19896.67,572.67+(AP304-3896.67)*0.25,IF(AP304&lt;=50416.67,4572.67+(AP304-19896.67)*0.30,13728.67+(AP304-50416.67)*0.35))))))</f>
        <v/>
      </c>
      <c r="AR304" s="6">
        <f>SUM(AM304,AQ304,W304,X304,Y304,Z304,AA304,AN304,AO304)</f>
        <v/>
      </c>
      <c r="AS304" s="6">
        <f>AL304-AR304</f>
        <v/>
      </c>
      <c r="AT304" s="6">
        <f>AB304-AC304</f>
        <v/>
      </c>
    </row>
    <row r="305">
      <c r="A305" s="2" t="n"/>
      <c r="B305" s="3" t="n"/>
      <c r="C305" s="4" t="n"/>
      <c r="D305" s="5" t="n"/>
      <c r="E305" s="3" t="n"/>
      <c r="F305" s="4" t="n"/>
      <c r="G305" s="5" t="n"/>
      <c r="H305" s="3" t="n"/>
      <c r="I305" s="4" t="n"/>
      <c r="J305" s="5" t="n"/>
      <c r="K305" s="3" t="n"/>
      <c r="L305" s="4" t="n"/>
      <c r="M305" s="5" t="n"/>
      <c r="N305" s="3" t="n"/>
      <c r="O305" s="4" t="n"/>
      <c r="P305" s="5" t="n"/>
      <c r="Q305" s="3" t="n"/>
      <c r="R305" s="4" t="n"/>
      <c r="S305" s="5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6">
        <f>IF(C305=0,0,IF(E305="",B305*D305/100,E305))</f>
        <v/>
      </c>
      <c r="AE305" s="6">
        <f>IF(F305=0,0,IF(H305="",B305*G305/100,H305))</f>
        <v/>
      </c>
      <c r="AF305" s="6">
        <f>IF(I305=0,0,IF(K305="",B305*J305/100,K305))</f>
        <v/>
      </c>
      <c r="AG305" s="6">
        <f>IF(L305=0,0,IF(N305="",B305*M305/100,N305))</f>
        <v/>
      </c>
      <c r="AH305" s="6">
        <f>IF(O305=0,0,IF(Q305="",B305*P305/100,Q305))</f>
        <v/>
      </c>
      <c r="AI305" s="6">
        <f>IF(R305=0,0,IF(T305="",B305*S305/100,T305))</f>
        <v/>
      </c>
      <c r="AJ305" s="6">
        <f>B305*0.035</f>
        <v/>
      </c>
      <c r="AK305" s="6">
        <f>B305*0.065</f>
        <v/>
      </c>
      <c r="AL305" s="6">
        <f>SUM(B305,AD305,AE305,AF305,AG305,AH305,AI305,U305,V305,AJ305,AK305)</f>
        <v/>
      </c>
      <c r="AM305" s="6">
        <f>B305*0.055</f>
        <v/>
      </c>
      <c r="AN305" s="6">
        <f>B305*0.035</f>
        <v/>
      </c>
      <c r="AO305" s="6">
        <f>B305*0.165</f>
        <v/>
      </c>
      <c r="AP305" s="6">
        <f>MAX(0,AL305-AM305-AO305)</f>
        <v/>
      </c>
      <c r="AQ305" s="6">
        <f>IF(AP305&lt;=490,0,IF(AP305&lt;=600,(AP305-490)*0.05,IF(AP305&lt;=730,5.5+(AP305-600)*0.10,IF(AP305&lt;=3896.67,18.5+(AP305-730)*0.175,IF(AP305&lt;=19896.67,572.67+(AP305-3896.67)*0.25,IF(AP305&lt;=50416.67,4572.67+(AP305-19896.67)*0.30,13728.67+(AP305-50416.67)*0.35))))))</f>
        <v/>
      </c>
      <c r="AR305" s="6">
        <f>SUM(AM305,AQ305,W305,X305,Y305,Z305,AA305,AN305,AO305)</f>
        <v/>
      </c>
      <c r="AS305" s="6">
        <f>AL305-AR305</f>
        <v/>
      </c>
      <c r="AT305" s="6">
        <f>AB305-AC305</f>
        <v/>
      </c>
    </row>
    <row r="306">
      <c r="A306" s="2" t="n"/>
      <c r="B306" s="3" t="n"/>
      <c r="C306" s="4" t="n"/>
      <c r="D306" s="5" t="n"/>
      <c r="E306" s="3" t="n"/>
      <c r="F306" s="4" t="n"/>
      <c r="G306" s="5" t="n"/>
      <c r="H306" s="3" t="n"/>
      <c r="I306" s="4" t="n"/>
      <c r="J306" s="5" t="n"/>
      <c r="K306" s="3" t="n"/>
      <c r="L306" s="4" t="n"/>
      <c r="M306" s="5" t="n"/>
      <c r="N306" s="3" t="n"/>
      <c r="O306" s="4" t="n"/>
      <c r="P306" s="5" t="n"/>
      <c r="Q306" s="3" t="n"/>
      <c r="R306" s="4" t="n"/>
      <c r="S306" s="5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6">
        <f>IF(C306=0,0,IF(E306="",B306*D306/100,E306))</f>
        <v/>
      </c>
      <c r="AE306" s="6">
        <f>IF(F306=0,0,IF(H306="",B306*G306/100,H306))</f>
        <v/>
      </c>
      <c r="AF306" s="6">
        <f>IF(I306=0,0,IF(K306="",B306*J306/100,K306))</f>
        <v/>
      </c>
      <c r="AG306" s="6">
        <f>IF(L306=0,0,IF(N306="",B306*M306/100,N306))</f>
        <v/>
      </c>
      <c r="AH306" s="6">
        <f>IF(O306=0,0,IF(Q306="",B306*P306/100,Q306))</f>
        <v/>
      </c>
      <c r="AI306" s="6">
        <f>IF(R306=0,0,IF(T306="",B306*S306/100,T306))</f>
        <v/>
      </c>
      <c r="AJ306" s="6">
        <f>B306*0.035</f>
        <v/>
      </c>
      <c r="AK306" s="6">
        <f>B306*0.065</f>
        <v/>
      </c>
      <c r="AL306" s="6">
        <f>SUM(B306,AD306,AE306,AF306,AG306,AH306,AI306,U306,V306,AJ306,AK306)</f>
        <v/>
      </c>
      <c r="AM306" s="6">
        <f>B306*0.055</f>
        <v/>
      </c>
      <c r="AN306" s="6">
        <f>B306*0.035</f>
        <v/>
      </c>
      <c r="AO306" s="6">
        <f>B306*0.165</f>
        <v/>
      </c>
      <c r="AP306" s="6">
        <f>MAX(0,AL306-AM306-AO306)</f>
        <v/>
      </c>
      <c r="AQ306" s="6">
        <f>IF(AP306&lt;=490,0,IF(AP306&lt;=600,(AP306-490)*0.05,IF(AP306&lt;=730,5.5+(AP306-600)*0.10,IF(AP306&lt;=3896.67,18.5+(AP306-730)*0.175,IF(AP306&lt;=19896.67,572.67+(AP306-3896.67)*0.25,IF(AP306&lt;=50416.67,4572.67+(AP306-19896.67)*0.30,13728.67+(AP306-50416.67)*0.35))))))</f>
        <v/>
      </c>
      <c r="AR306" s="6">
        <f>SUM(AM306,AQ306,W306,X306,Y306,Z306,AA306,AN306,AO306)</f>
        <v/>
      </c>
      <c r="AS306" s="6">
        <f>AL306-AR306</f>
        <v/>
      </c>
      <c r="AT306" s="6">
        <f>AB306-AC306</f>
        <v/>
      </c>
    </row>
    <row r="307">
      <c r="A307" s="2" t="n"/>
      <c r="B307" s="3" t="n"/>
      <c r="C307" s="4" t="n"/>
      <c r="D307" s="5" t="n"/>
      <c r="E307" s="3" t="n"/>
      <c r="F307" s="4" t="n"/>
      <c r="G307" s="5" t="n"/>
      <c r="H307" s="3" t="n"/>
      <c r="I307" s="4" t="n"/>
      <c r="J307" s="5" t="n"/>
      <c r="K307" s="3" t="n"/>
      <c r="L307" s="4" t="n"/>
      <c r="M307" s="5" t="n"/>
      <c r="N307" s="3" t="n"/>
      <c r="O307" s="4" t="n"/>
      <c r="P307" s="5" t="n"/>
      <c r="Q307" s="3" t="n"/>
      <c r="R307" s="4" t="n"/>
      <c r="S307" s="5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6">
        <f>IF(C307=0,0,IF(E307="",B307*D307/100,E307))</f>
        <v/>
      </c>
      <c r="AE307" s="6">
        <f>IF(F307=0,0,IF(H307="",B307*G307/100,H307))</f>
        <v/>
      </c>
      <c r="AF307" s="6">
        <f>IF(I307=0,0,IF(K307="",B307*J307/100,K307))</f>
        <v/>
      </c>
      <c r="AG307" s="6">
        <f>IF(L307=0,0,IF(N307="",B307*M307/100,N307))</f>
        <v/>
      </c>
      <c r="AH307" s="6">
        <f>IF(O307=0,0,IF(Q307="",B307*P307/100,Q307))</f>
        <v/>
      </c>
      <c r="AI307" s="6">
        <f>IF(R307=0,0,IF(T307="",B307*S307/100,T307))</f>
        <v/>
      </c>
      <c r="AJ307" s="6">
        <f>B307*0.035</f>
        <v/>
      </c>
      <c r="AK307" s="6">
        <f>B307*0.065</f>
        <v/>
      </c>
      <c r="AL307" s="6">
        <f>SUM(B307,AD307,AE307,AF307,AG307,AH307,AI307,U307,V307,AJ307,AK307)</f>
        <v/>
      </c>
      <c r="AM307" s="6">
        <f>B307*0.055</f>
        <v/>
      </c>
      <c r="AN307" s="6">
        <f>B307*0.035</f>
        <v/>
      </c>
      <c r="AO307" s="6">
        <f>B307*0.165</f>
        <v/>
      </c>
      <c r="AP307" s="6">
        <f>MAX(0,AL307-AM307-AO307)</f>
        <v/>
      </c>
      <c r="AQ307" s="6">
        <f>IF(AP307&lt;=490,0,IF(AP307&lt;=600,(AP307-490)*0.05,IF(AP307&lt;=730,5.5+(AP307-600)*0.10,IF(AP307&lt;=3896.67,18.5+(AP307-730)*0.175,IF(AP307&lt;=19896.67,572.67+(AP307-3896.67)*0.25,IF(AP307&lt;=50416.67,4572.67+(AP307-19896.67)*0.30,13728.67+(AP307-50416.67)*0.35))))))</f>
        <v/>
      </c>
      <c r="AR307" s="6">
        <f>SUM(AM307,AQ307,W307,X307,Y307,Z307,AA307,AN307,AO307)</f>
        <v/>
      </c>
      <c r="AS307" s="6">
        <f>AL307-AR307</f>
        <v/>
      </c>
      <c r="AT307" s="6">
        <f>AB307-AC307</f>
        <v/>
      </c>
    </row>
    <row r="308">
      <c r="A308" s="2" t="n"/>
      <c r="B308" s="3" t="n"/>
      <c r="C308" s="4" t="n"/>
      <c r="D308" s="5" t="n"/>
      <c r="E308" s="3" t="n"/>
      <c r="F308" s="4" t="n"/>
      <c r="G308" s="5" t="n"/>
      <c r="H308" s="3" t="n"/>
      <c r="I308" s="4" t="n"/>
      <c r="J308" s="5" t="n"/>
      <c r="K308" s="3" t="n"/>
      <c r="L308" s="4" t="n"/>
      <c r="M308" s="5" t="n"/>
      <c r="N308" s="3" t="n"/>
      <c r="O308" s="4" t="n"/>
      <c r="P308" s="5" t="n"/>
      <c r="Q308" s="3" t="n"/>
      <c r="R308" s="4" t="n"/>
      <c r="S308" s="5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6">
        <f>IF(C308=0,0,IF(E308="",B308*D308/100,E308))</f>
        <v/>
      </c>
      <c r="AE308" s="6">
        <f>IF(F308=0,0,IF(H308="",B308*G308/100,H308))</f>
        <v/>
      </c>
      <c r="AF308" s="6">
        <f>IF(I308=0,0,IF(K308="",B308*J308/100,K308))</f>
        <v/>
      </c>
      <c r="AG308" s="6">
        <f>IF(L308=0,0,IF(N308="",B308*M308/100,N308))</f>
        <v/>
      </c>
      <c r="AH308" s="6">
        <f>IF(O308=0,0,IF(Q308="",B308*P308/100,Q308))</f>
        <v/>
      </c>
      <c r="AI308" s="6">
        <f>IF(R308=0,0,IF(T308="",B308*S308/100,T308))</f>
        <v/>
      </c>
      <c r="AJ308" s="6">
        <f>B308*0.035</f>
        <v/>
      </c>
      <c r="AK308" s="6">
        <f>B308*0.065</f>
        <v/>
      </c>
      <c r="AL308" s="6">
        <f>SUM(B308,AD308,AE308,AF308,AG308,AH308,AI308,U308,V308,AJ308,AK308)</f>
        <v/>
      </c>
      <c r="AM308" s="6">
        <f>B308*0.055</f>
        <v/>
      </c>
      <c r="AN308" s="6">
        <f>B308*0.035</f>
        <v/>
      </c>
      <c r="AO308" s="6">
        <f>B308*0.165</f>
        <v/>
      </c>
      <c r="AP308" s="6">
        <f>MAX(0,AL308-AM308-AO308)</f>
        <v/>
      </c>
      <c r="AQ308" s="6">
        <f>IF(AP308&lt;=490,0,IF(AP308&lt;=600,(AP308-490)*0.05,IF(AP308&lt;=730,5.5+(AP308-600)*0.10,IF(AP308&lt;=3896.67,18.5+(AP308-730)*0.175,IF(AP308&lt;=19896.67,572.67+(AP308-3896.67)*0.25,IF(AP308&lt;=50416.67,4572.67+(AP308-19896.67)*0.30,13728.67+(AP308-50416.67)*0.35))))))</f>
        <v/>
      </c>
      <c r="AR308" s="6">
        <f>SUM(AM308,AQ308,W308,X308,Y308,Z308,AA308,AN308,AO308)</f>
        <v/>
      </c>
      <c r="AS308" s="6">
        <f>AL308-AR308</f>
        <v/>
      </c>
      <c r="AT308" s="6">
        <f>AB308-AC308</f>
        <v/>
      </c>
    </row>
    <row r="309">
      <c r="A309" s="2" t="n"/>
      <c r="B309" s="3" t="n"/>
      <c r="C309" s="4" t="n"/>
      <c r="D309" s="5" t="n"/>
      <c r="E309" s="3" t="n"/>
      <c r="F309" s="4" t="n"/>
      <c r="G309" s="5" t="n"/>
      <c r="H309" s="3" t="n"/>
      <c r="I309" s="4" t="n"/>
      <c r="J309" s="5" t="n"/>
      <c r="K309" s="3" t="n"/>
      <c r="L309" s="4" t="n"/>
      <c r="M309" s="5" t="n"/>
      <c r="N309" s="3" t="n"/>
      <c r="O309" s="4" t="n"/>
      <c r="P309" s="5" t="n"/>
      <c r="Q309" s="3" t="n"/>
      <c r="R309" s="4" t="n"/>
      <c r="S309" s="5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6">
        <f>IF(C309=0,0,IF(E309="",B309*D309/100,E309))</f>
        <v/>
      </c>
      <c r="AE309" s="6">
        <f>IF(F309=0,0,IF(H309="",B309*G309/100,H309))</f>
        <v/>
      </c>
      <c r="AF309" s="6">
        <f>IF(I309=0,0,IF(K309="",B309*J309/100,K309))</f>
        <v/>
      </c>
      <c r="AG309" s="6">
        <f>IF(L309=0,0,IF(N309="",B309*M309/100,N309))</f>
        <v/>
      </c>
      <c r="AH309" s="6">
        <f>IF(O309=0,0,IF(Q309="",B309*P309/100,Q309))</f>
        <v/>
      </c>
      <c r="AI309" s="6">
        <f>IF(R309=0,0,IF(T309="",B309*S309/100,T309))</f>
        <v/>
      </c>
      <c r="AJ309" s="6">
        <f>B309*0.035</f>
        <v/>
      </c>
      <c r="AK309" s="6">
        <f>B309*0.065</f>
        <v/>
      </c>
      <c r="AL309" s="6">
        <f>SUM(B309,AD309,AE309,AF309,AG309,AH309,AI309,U309,V309,AJ309,AK309)</f>
        <v/>
      </c>
      <c r="AM309" s="6">
        <f>B309*0.055</f>
        <v/>
      </c>
      <c r="AN309" s="6">
        <f>B309*0.035</f>
        <v/>
      </c>
      <c r="AO309" s="6">
        <f>B309*0.165</f>
        <v/>
      </c>
      <c r="AP309" s="6">
        <f>MAX(0,AL309-AM309-AO309)</f>
        <v/>
      </c>
      <c r="AQ309" s="6">
        <f>IF(AP309&lt;=490,0,IF(AP309&lt;=600,(AP309-490)*0.05,IF(AP309&lt;=730,5.5+(AP309-600)*0.10,IF(AP309&lt;=3896.67,18.5+(AP309-730)*0.175,IF(AP309&lt;=19896.67,572.67+(AP309-3896.67)*0.25,IF(AP309&lt;=50416.67,4572.67+(AP309-19896.67)*0.30,13728.67+(AP309-50416.67)*0.35))))))</f>
        <v/>
      </c>
      <c r="AR309" s="6">
        <f>SUM(AM309,AQ309,W309,X309,Y309,Z309,AA309,AN309,AO309)</f>
        <v/>
      </c>
      <c r="AS309" s="6">
        <f>AL309-AR309</f>
        <v/>
      </c>
      <c r="AT309" s="6">
        <f>AB309-AC309</f>
        <v/>
      </c>
    </row>
    <row r="310">
      <c r="A310" s="2" t="n"/>
      <c r="B310" s="3" t="n"/>
      <c r="C310" s="4" t="n"/>
      <c r="D310" s="5" t="n"/>
      <c r="E310" s="3" t="n"/>
      <c r="F310" s="4" t="n"/>
      <c r="G310" s="5" t="n"/>
      <c r="H310" s="3" t="n"/>
      <c r="I310" s="4" t="n"/>
      <c r="J310" s="5" t="n"/>
      <c r="K310" s="3" t="n"/>
      <c r="L310" s="4" t="n"/>
      <c r="M310" s="5" t="n"/>
      <c r="N310" s="3" t="n"/>
      <c r="O310" s="4" t="n"/>
      <c r="P310" s="5" t="n"/>
      <c r="Q310" s="3" t="n"/>
      <c r="R310" s="4" t="n"/>
      <c r="S310" s="5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6">
        <f>IF(C310=0,0,IF(E310="",B310*D310/100,E310))</f>
        <v/>
      </c>
      <c r="AE310" s="6">
        <f>IF(F310=0,0,IF(H310="",B310*G310/100,H310))</f>
        <v/>
      </c>
      <c r="AF310" s="6">
        <f>IF(I310=0,0,IF(K310="",B310*J310/100,K310))</f>
        <v/>
      </c>
      <c r="AG310" s="6">
        <f>IF(L310=0,0,IF(N310="",B310*M310/100,N310))</f>
        <v/>
      </c>
      <c r="AH310" s="6">
        <f>IF(O310=0,0,IF(Q310="",B310*P310/100,Q310))</f>
        <v/>
      </c>
      <c r="AI310" s="6">
        <f>IF(R310=0,0,IF(T310="",B310*S310/100,T310))</f>
        <v/>
      </c>
      <c r="AJ310" s="6">
        <f>B310*0.035</f>
        <v/>
      </c>
      <c r="AK310" s="6">
        <f>B310*0.065</f>
        <v/>
      </c>
      <c r="AL310" s="6">
        <f>SUM(B310,AD310,AE310,AF310,AG310,AH310,AI310,U310,V310,AJ310,AK310)</f>
        <v/>
      </c>
      <c r="AM310" s="6">
        <f>B310*0.055</f>
        <v/>
      </c>
      <c r="AN310" s="6">
        <f>B310*0.035</f>
        <v/>
      </c>
      <c r="AO310" s="6">
        <f>B310*0.165</f>
        <v/>
      </c>
      <c r="AP310" s="6">
        <f>MAX(0,AL310-AM310-AO310)</f>
        <v/>
      </c>
      <c r="AQ310" s="6">
        <f>IF(AP310&lt;=490,0,IF(AP310&lt;=600,(AP310-490)*0.05,IF(AP310&lt;=730,5.5+(AP310-600)*0.10,IF(AP310&lt;=3896.67,18.5+(AP310-730)*0.175,IF(AP310&lt;=19896.67,572.67+(AP310-3896.67)*0.25,IF(AP310&lt;=50416.67,4572.67+(AP310-19896.67)*0.30,13728.67+(AP310-50416.67)*0.35))))))</f>
        <v/>
      </c>
      <c r="AR310" s="6">
        <f>SUM(AM310,AQ310,W310,X310,Y310,Z310,AA310,AN310,AO310)</f>
        <v/>
      </c>
      <c r="AS310" s="6">
        <f>AL310-AR310</f>
        <v/>
      </c>
      <c r="AT310" s="6">
        <f>AB310-AC310</f>
        <v/>
      </c>
    </row>
    <row r="311">
      <c r="A311" s="2" t="n"/>
      <c r="B311" s="3" t="n"/>
      <c r="C311" s="4" t="n"/>
      <c r="D311" s="5" t="n"/>
      <c r="E311" s="3" t="n"/>
      <c r="F311" s="4" t="n"/>
      <c r="G311" s="5" t="n"/>
      <c r="H311" s="3" t="n"/>
      <c r="I311" s="4" t="n"/>
      <c r="J311" s="5" t="n"/>
      <c r="K311" s="3" t="n"/>
      <c r="L311" s="4" t="n"/>
      <c r="M311" s="5" t="n"/>
      <c r="N311" s="3" t="n"/>
      <c r="O311" s="4" t="n"/>
      <c r="P311" s="5" t="n"/>
      <c r="Q311" s="3" t="n"/>
      <c r="R311" s="4" t="n"/>
      <c r="S311" s="5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6">
        <f>IF(C311=0,0,IF(E311="",B311*D311/100,E311))</f>
        <v/>
      </c>
      <c r="AE311" s="6">
        <f>IF(F311=0,0,IF(H311="",B311*G311/100,H311))</f>
        <v/>
      </c>
      <c r="AF311" s="6">
        <f>IF(I311=0,0,IF(K311="",B311*J311/100,K311))</f>
        <v/>
      </c>
      <c r="AG311" s="6">
        <f>IF(L311=0,0,IF(N311="",B311*M311/100,N311))</f>
        <v/>
      </c>
      <c r="AH311" s="6">
        <f>IF(O311=0,0,IF(Q311="",B311*P311/100,Q311))</f>
        <v/>
      </c>
      <c r="AI311" s="6">
        <f>IF(R311=0,0,IF(T311="",B311*S311/100,T311))</f>
        <v/>
      </c>
      <c r="AJ311" s="6">
        <f>B311*0.035</f>
        <v/>
      </c>
      <c r="AK311" s="6">
        <f>B311*0.065</f>
        <v/>
      </c>
      <c r="AL311" s="6">
        <f>SUM(B311,AD311,AE311,AF311,AG311,AH311,AI311,U311,V311,AJ311,AK311)</f>
        <v/>
      </c>
      <c r="AM311" s="6">
        <f>B311*0.055</f>
        <v/>
      </c>
      <c r="AN311" s="6">
        <f>B311*0.035</f>
        <v/>
      </c>
      <c r="AO311" s="6">
        <f>B311*0.165</f>
        <v/>
      </c>
      <c r="AP311" s="6">
        <f>MAX(0,AL311-AM311-AO311)</f>
        <v/>
      </c>
      <c r="AQ311" s="6">
        <f>IF(AP311&lt;=490,0,IF(AP311&lt;=600,(AP311-490)*0.05,IF(AP311&lt;=730,5.5+(AP311-600)*0.10,IF(AP311&lt;=3896.67,18.5+(AP311-730)*0.175,IF(AP311&lt;=19896.67,572.67+(AP311-3896.67)*0.25,IF(AP311&lt;=50416.67,4572.67+(AP311-19896.67)*0.30,13728.67+(AP311-50416.67)*0.35))))))</f>
        <v/>
      </c>
      <c r="AR311" s="6">
        <f>SUM(AM311,AQ311,W311,X311,Y311,Z311,AA311,AN311,AO311)</f>
        <v/>
      </c>
      <c r="AS311" s="6">
        <f>AL311-AR311</f>
        <v/>
      </c>
      <c r="AT311" s="6">
        <f>AB311-AC311</f>
        <v/>
      </c>
    </row>
    <row r="312">
      <c r="A312" s="2" t="n"/>
      <c r="B312" s="3" t="n"/>
      <c r="C312" s="4" t="n"/>
      <c r="D312" s="5" t="n"/>
      <c r="E312" s="3" t="n"/>
      <c r="F312" s="4" t="n"/>
      <c r="G312" s="5" t="n"/>
      <c r="H312" s="3" t="n"/>
      <c r="I312" s="4" t="n"/>
      <c r="J312" s="5" t="n"/>
      <c r="K312" s="3" t="n"/>
      <c r="L312" s="4" t="n"/>
      <c r="M312" s="5" t="n"/>
      <c r="N312" s="3" t="n"/>
      <c r="O312" s="4" t="n"/>
      <c r="P312" s="5" t="n"/>
      <c r="Q312" s="3" t="n"/>
      <c r="R312" s="4" t="n"/>
      <c r="S312" s="5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6">
        <f>IF(C312=0,0,IF(E312="",B312*D312/100,E312))</f>
        <v/>
      </c>
      <c r="AE312" s="6">
        <f>IF(F312=0,0,IF(H312="",B312*G312/100,H312))</f>
        <v/>
      </c>
      <c r="AF312" s="6">
        <f>IF(I312=0,0,IF(K312="",B312*J312/100,K312))</f>
        <v/>
      </c>
      <c r="AG312" s="6">
        <f>IF(L312=0,0,IF(N312="",B312*M312/100,N312))</f>
        <v/>
      </c>
      <c r="AH312" s="6">
        <f>IF(O312=0,0,IF(Q312="",B312*P312/100,Q312))</f>
        <v/>
      </c>
      <c r="AI312" s="6">
        <f>IF(R312=0,0,IF(T312="",B312*S312/100,T312))</f>
        <v/>
      </c>
      <c r="AJ312" s="6">
        <f>B312*0.035</f>
        <v/>
      </c>
      <c r="AK312" s="6">
        <f>B312*0.065</f>
        <v/>
      </c>
      <c r="AL312" s="6">
        <f>SUM(B312,AD312,AE312,AF312,AG312,AH312,AI312,U312,V312,AJ312,AK312)</f>
        <v/>
      </c>
      <c r="AM312" s="6">
        <f>B312*0.055</f>
        <v/>
      </c>
      <c r="AN312" s="6">
        <f>B312*0.035</f>
        <v/>
      </c>
      <c r="AO312" s="6">
        <f>B312*0.165</f>
        <v/>
      </c>
      <c r="AP312" s="6">
        <f>MAX(0,AL312-AM312-AO312)</f>
        <v/>
      </c>
      <c r="AQ312" s="6">
        <f>IF(AP312&lt;=490,0,IF(AP312&lt;=600,(AP312-490)*0.05,IF(AP312&lt;=730,5.5+(AP312-600)*0.10,IF(AP312&lt;=3896.67,18.5+(AP312-730)*0.175,IF(AP312&lt;=19896.67,572.67+(AP312-3896.67)*0.25,IF(AP312&lt;=50416.67,4572.67+(AP312-19896.67)*0.30,13728.67+(AP312-50416.67)*0.35))))))</f>
        <v/>
      </c>
      <c r="AR312" s="6">
        <f>SUM(AM312,AQ312,W312,X312,Y312,Z312,AA312,AN312,AO312)</f>
        <v/>
      </c>
      <c r="AS312" s="6">
        <f>AL312-AR312</f>
        <v/>
      </c>
      <c r="AT312" s="6">
        <f>AB312-AC312</f>
        <v/>
      </c>
    </row>
    <row r="313">
      <c r="A313" s="2" t="n"/>
      <c r="B313" s="3" t="n"/>
      <c r="C313" s="4" t="n"/>
      <c r="D313" s="5" t="n"/>
      <c r="E313" s="3" t="n"/>
      <c r="F313" s="4" t="n"/>
      <c r="G313" s="5" t="n"/>
      <c r="H313" s="3" t="n"/>
      <c r="I313" s="4" t="n"/>
      <c r="J313" s="5" t="n"/>
      <c r="K313" s="3" t="n"/>
      <c r="L313" s="4" t="n"/>
      <c r="M313" s="5" t="n"/>
      <c r="N313" s="3" t="n"/>
      <c r="O313" s="4" t="n"/>
      <c r="P313" s="5" t="n"/>
      <c r="Q313" s="3" t="n"/>
      <c r="R313" s="4" t="n"/>
      <c r="S313" s="5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6">
        <f>IF(C313=0,0,IF(E313="",B313*D313/100,E313))</f>
        <v/>
      </c>
      <c r="AE313" s="6">
        <f>IF(F313=0,0,IF(H313="",B313*G313/100,H313))</f>
        <v/>
      </c>
      <c r="AF313" s="6">
        <f>IF(I313=0,0,IF(K313="",B313*J313/100,K313))</f>
        <v/>
      </c>
      <c r="AG313" s="6">
        <f>IF(L313=0,0,IF(N313="",B313*M313/100,N313))</f>
        <v/>
      </c>
      <c r="AH313" s="6">
        <f>IF(O313=0,0,IF(Q313="",B313*P313/100,Q313))</f>
        <v/>
      </c>
      <c r="AI313" s="6">
        <f>IF(R313=0,0,IF(T313="",B313*S313/100,T313))</f>
        <v/>
      </c>
      <c r="AJ313" s="6">
        <f>B313*0.035</f>
        <v/>
      </c>
      <c r="AK313" s="6">
        <f>B313*0.065</f>
        <v/>
      </c>
      <c r="AL313" s="6">
        <f>SUM(B313,AD313,AE313,AF313,AG313,AH313,AI313,U313,V313,AJ313,AK313)</f>
        <v/>
      </c>
      <c r="AM313" s="6">
        <f>B313*0.055</f>
        <v/>
      </c>
      <c r="AN313" s="6">
        <f>B313*0.035</f>
        <v/>
      </c>
      <c r="AO313" s="6">
        <f>B313*0.165</f>
        <v/>
      </c>
      <c r="AP313" s="6">
        <f>MAX(0,AL313-AM313-AO313)</f>
        <v/>
      </c>
      <c r="AQ313" s="6">
        <f>IF(AP313&lt;=490,0,IF(AP313&lt;=600,(AP313-490)*0.05,IF(AP313&lt;=730,5.5+(AP313-600)*0.10,IF(AP313&lt;=3896.67,18.5+(AP313-730)*0.175,IF(AP313&lt;=19896.67,572.67+(AP313-3896.67)*0.25,IF(AP313&lt;=50416.67,4572.67+(AP313-19896.67)*0.30,13728.67+(AP313-50416.67)*0.35))))))</f>
        <v/>
      </c>
      <c r="AR313" s="6">
        <f>SUM(AM313,AQ313,W313,X313,Y313,Z313,AA313,AN313,AO313)</f>
        <v/>
      </c>
      <c r="AS313" s="6">
        <f>AL313-AR313</f>
        <v/>
      </c>
      <c r="AT313" s="6">
        <f>AB313-AC313</f>
        <v/>
      </c>
    </row>
    <row r="314">
      <c r="A314" s="2" t="n"/>
      <c r="B314" s="3" t="n"/>
      <c r="C314" s="4" t="n"/>
      <c r="D314" s="5" t="n"/>
      <c r="E314" s="3" t="n"/>
      <c r="F314" s="4" t="n"/>
      <c r="G314" s="5" t="n"/>
      <c r="H314" s="3" t="n"/>
      <c r="I314" s="4" t="n"/>
      <c r="J314" s="5" t="n"/>
      <c r="K314" s="3" t="n"/>
      <c r="L314" s="4" t="n"/>
      <c r="M314" s="5" t="n"/>
      <c r="N314" s="3" t="n"/>
      <c r="O314" s="4" t="n"/>
      <c r="P314" s="5" t="n"/>
      <c r="Q314" s="3" t="n"/>
      <c r="R314" s="4" t="n"/>
      <c r="S314" s="5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6">
        <f>IF(C314=0,0,IF(E314="",B314*D314/100,E314))</f>
        <v/>
      </c>
      <c r="AE314" s="6">
        <f>IF(F314=0,0,IF(H314="",B314*G314/100,H314))</f>
        <v/>
      </c>
      <c r="AF314" s="6">
        <f>IF(I314=0,0,IF(K314="",B314*J314/100,K314))</f>
        <v/>
      </c>
      <c r="AG314" s="6">
        <f>IF(L314=0,0,IF(N314="",B314*M314/100,N314))</f>
        <v/>
      </c>
      <c r="AH314" s="6">
        <f>IF(O314=0,0,IF(Q314="",B314*P314/100,Q314))</f>
        <v/>
      </c>
      <c r="AI314" s="6">
        <f>IF(R314=0,0,IF(T314="",B314*S314/100,T314))</f>
        <v/>
      </c>
      <c r="AJ314" s="6">
        <f>B314*0.035</f>
        <v/>
      </c>
      <c r="AK314" s="6">
        <f>B314*0.065</f>
        <v/>
      </c>
      <c r="AL314" s="6">
        <f>SUM(B314,AD314,AE314,AF314,AG314,AH314,AI314,U314,V314,AJ314,AK314)</f>
        <v/>
      </c>
      <c r="AM314" s="6">
        <f>B314*0.055</f>
        <v/>
      </c>
      <c r="AN314" s="6">
        <f>B314*0.035</f>
        <v/>
      </c>
      <c r="AO314" s="6">
        <f>B314*0.165</f>
        <v/>
      </c>
      <c r="AP314" s="6">
        <f>MAX(0,AL314-AM314-AO314)</f>
        <v/>
      </c>
      <c r="AQ314" s="6">
        <f>IF(AP314&lt;=490,0,IF(AP314&lt;=600,(AP314-490)*0.05,IF(AP314&lt;=730,5.5+(AP314-600)*0.10,IF(AP314&lt;=3896.67,18.5+(AP314-730)*0.175,IF(AP314&lt;=19896.67,572.67+(AP314-3896.67)*0.25,IF(AP314&lt;=50416.67,4572.67+(AP314-19896.67)*0.30,13728.67+(AP314-50416.67)*0.35))))))</f>
        <v/>
      </c>
      <c r="AR314" s="6">
        <f>SUM(AM314,AQ314,W314,X314,Y314,Z314,AA314,AN314,AO314)</f>
        <v/>
      </c>
      <c r="AS314" s="6">
        <f>AL314-AR314</f>
        <v/>
      </c>
      <c r="AT314" s="6">
        <f>AB314-AC314</f>
        <v/>
      </c>
    </row>
    <row r="315">
      <c r="A315" s="2" t="n"/>
      <c r="B315" s="3" t="n"/>
      <c r="C315" s="4" t="n"/>
      <c r="D315" s="5" t="n"/>
      <c r="E315" s="3" t="n"/>
      <c r="F315" s="4" t="n"/>
      <c r="G315" s="5" t="n"/>
      <c r="H315" s="3" t="n"/>
      <c r="I315" s="4" t="n"/>
      <c r="J315" s="5" t="n"/>
      <c r="K315" s="3" t="n"/>
      <c r="L315" s="4" t="n"/>
      <c r="M315" s="5" t="n"/>
      <c r="N315" s="3" t="n"/>
      <c r="O315" s="4" t="n"/>
      <c r="P315" s="5" t="n"/>
      <c r="Q315" s="3" t="n"/>
      <c r="R315" s="4" t="n"/>
      <c r="S315" s="5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6">
        <f>IF(C315=0,0,IF(E315="",B315*D315/100,E315))</f>
        <v/>
      </c>
      <c r="AE315" s="6">
        <f>IF(F315=0,0,IF(H315="",B315*G315/100,H315))</f>
        <v/>
      </c>
      <c r="AF315" s="6">
        <f>IF(I315=0,0,IF(K315="",B315*J315/100,K315))</f>
        <v/>
      </c>
      <c r="AG315" s="6">
        <f>IF(L315=0,0,IF(N315="",B315*M315/100,N315))</f>
        <v/>
      </c>
      <c r="AH315" s="6">
        <f>IF(O315=0,0,IF(Q315="",B315*P315/100,Q315))</f>
        <v/>
      </c>
      <c r="AI315" s="6">
        <f>IF(R315=0,0,IF(T315="",B315*S315/100,T315))</f>
        <v/>
      </c>
      <c r="AJ315" s="6">
        <f>B315*0.035</f>
        <v/>
      </c>
      <c r="AK315" s="6">
        <f>B315*0.065</f>
        <v/>
      </c>
      <c r="AL315" s="6">
        <f>SUM(B315,AD315,AE315,AF315,AG315,AH315,AI315,U315,V315,AJ315,AK315)</f>
        <v/>
      </c>
      <c r="AM315" s="6">
        <f>B315*0.055</f>
        <v/>
      </c>
      <c r="AN315" s="6">
        <f>B315*0.035</f>
        <v/>
      </c>
      <c r="AO315" s="6">
        <f>B315*0.165</f>
        <v/>
      </c>
      <c r="AP315" s="6">
        <f>MAX(0,AL315-AM315-AO315)</f>
        <v/>
      </c>
      <c r="AQ315" s="6">
        <f>IF(AP315&lt;=490,0,IF(AP315&lt;=600,(AP315-490)*0.05,IF(AP315&lt;=730,5.5+(AP315-600)*0.10,IF(AP315&lt;=3896.67,18.5+(AP315-730)*0.175,IF(AP315&lt;=19896.67,572.67+(AP315-3896.67)*0.25,IF(AP315&lt;=50416.67,4572.67+(AP315-19896.67)*0.30,13728.67+(AP315-50416.67)*0.35))))))</f>
        <v/>
      </c>
      <c r="AR315" s="6">
        <f>SUM(AM315,AQ315,W315,X315,Y315,Z315,AA315,AN315,AO315)</f>
        <v/>
      </c>
      <c r="AS315" s="6">
        <f>AL315-AR315</f>
        <v/>
      </c>
      <c r="AT315" s="6">
        <f>AB315-AC315</f>
        <v/>
      </c>
    </row>
    <row r="316">
      <c r="A316" s="2" t="n"/>
      <c r="B316" s="3" t="n"/>
      <c r="C316" s="4" t="n"/>
      <c r="D316" s="5" t="n"/>
      <c r="E316" s="3" t="n"/>
      <c r="F316" s="4" t="n"/>
      <c r="G316" s="5" t="n"/>
      <c r="H316" s="3" t="n"/>
      <c r="I316" s="4" t="n"/>
      <c r="J316" s="5" t="n"/>
      <c r="K316" s="3" t="n"/>
      <c r="L316" s="4" t="n"/>
      <c r="M316" s="5" t="n"/>
      <c r="N316" s="3" t="n"/>
      <c r="O316" s="4" t="n"/>
      <c r="P316" s="5" t="n"/>
      <c r="Q316" s="3" t="n"/>
      <c r="R316" s="4" t="n"/>
      <c r="S316" s="5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6">
        <f>IF(C316=0,0,IF(E316="",B316*D316/100,E316))</f>
        <v/>
      </c>
      <c r="AE316" s="6">
        <f>IF(F316=0,0,IF(H316="",B316*G316/100,H316))</f>
        <v/>
      </c>
      <c r="AF316" s="6">
        <f>IF(I316=0,0,IF(K316="",B316*J316/100,K316))</f>
        <v/>
      </c>
      <c r="AG316" s="6">
        <f>IF(L316=0,0,IF(N316="",B316*M316/100,N316))</f>
        <v/>
      </c>
      <c r="AH316" s="6">
        <f>IF(O316=0,0,IF(Q316="",B316*P316/100,Q316))</f>
        <v/>
      </c>
      <c r="AI316" s="6">
        <f>IF(R316=0,0,IF(T316="",B316*S316/100,T316))</f>
        <v/>
      </c>
      <c r="AJ316" s="6">
        <f>B316*0.035</f>
        <v/>
      </c>
      <c r="AK316" s="6">
        <f>B316*0.065</f>
        <v/>
      </c>
      <c r="AL316" s="6">
        <f>SUM(B316,AD316,AE316,AF316,AG316,AH316,AI316,U316,V316,AJ316,AK316)</f>
        <v/>
      </c>
      <c r="AM316" s="6">
        <f>B316*0.055</f>
        <v/>
      </c>
      <c r="AN316" s="6">
        <f>B316*0.035</f>
        <v/>
      </c>
      <c r="AO316" s="6">
        <f>B316*0.165</f>
        <v/>
      </c>
      <c r="AP316" s="6">
        <f>MAX(0,AL316-AM316-AO316)</f>
        <v/>
      </c>
      <c r="AQ316" s="6">
        <f>IF(AP316&lt;=490,0,IF(AP316&lt;=600,(AP316-490)*0.05,IF(AP316&lt;=730,5.5+(AP316-600)*0.10,IF(AP316&lt;=3896.67,18.5+(AP316-730)*0.175,IF(AP316&lt;=19896.67,572.67+(AP316-3896.67)*0.25,IF(AP316&lt;=50416.67,4572.67+(AP316-19896.67)*0.30,13728.67+(AP316-50416.67)*0.35))))))</f>
        <v/>
      </c>
      <c r="AR316" s="6">
        <f>SUM(AM316,AQ316,W316,X316,Y316,Z316,AA316,AN316,AO316)</f>
        <v/>
      </c>
      <c r="AS316" s="6">
        <f>AL316-AR316</f>
        <v/>
      </c>
      <c r="AT316" s="6">
        <f>AB316-AC316</f>
        <v/>
      </c>
    </row>
    <row r="317">
      <c r="A317" s="2" t="n"/>
      <c r="B317" s="3" t="n"/>
      <c r="C317" s="4" t="n"/>
      <c r="D317" s="5" t="n"/>
      <c r="E317" s="3" t="n"/>
      <c r="F317" s="4" t="n"/>
      <c r="G317" s="5" t="n"/>
      <c r="H317" s="3" t="n"/>
      <c r="I317" s="4" t="n"/>
      <c r="J317" s="5" t="n"/>
      <c r="K317" s="3" t="n"/>
      <c r="L317" s="4" t="n"/>
      <c r="M317" s="5" t="n"/>
      <c r="N317" s="3" t="n"/>
      <c r="O317" s="4" t="n"/>
      <c r="P317" s="5" t="n"/>
      <c r="Q317" s="3" t="n"/>
      <c r="R317" s="4" t="n"/>
      <c r="S317" s="5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6">
        <f>IF(C317=0,0,IF(E317="",B317*D317/100,E317))</f>
        <v/>
      </c>
      <c r="AE317" s="6">
        <f>IF(F317=0,0,IF(H317="",B317*G317/100,H317))</f>
        <v/>
      </c>
      <c r="AF317" s="6">
        <f>IF(I317=0,0,IF(K317="",B317*J317/100,K317))</f>
        <v/>
      </c>
      <c r="AG317" s="6">
        <f>IF(L317=0,0,IF(N317="",B317*M317/100,N317))</f>
        <v/>
      </c>
      <c r="AH317" s="6">
        <f>IF(O317=0,0,IF(Q317="",B317*P317/100,Q317))</f>
        <v/>
      </c>
      <c r="AI317" s="6">
        <f>IF(R317=0,0,IF(T317="",B317*S317/100,T317))</f>
        <v/>
      </c>
      <c r="AJ317" s="6">
        <f>B317*0.035</f>
        <v/>
      </c>
      <c r="AK317" s="6">
        <f>B317*0.065</f>
        <v/>
      </c>
      <c r="AL317" s="6">
        <f>SUM(B317,AD317,AE317,AF317,AG317,AH317,AI317,U317,V317,AJ317,AK317)</f>
        <v/>
      </c>
      <c r="AM317" s="6">
        <f>B317*0.055</f>
        <v/>
      </c>
      <c r="AN317" s="6">
        <f>B317*0.035</f>
        <v/>
      </c>
      <c r="AO317" s="6">
        <f>B317*0.165</f>
        <v/>
      </c>
      <c r="AP317" s="6">
        <f>MAX(0,AL317-AM317-AO317)</f>
        <v/>
      </c>
      <c r="AQ317" s="6">
        <f>IF(AP317&lt;=490,0,IF(AP317&lt;=600,(AP317-490)*0.05,IF(AP317&lt;=730,5.5+(AP317-600)*0.10,IF(AP317&lt;=3896.67,18.5+(AP317-730)*0.175,IF(AP317&lt;=19896.67,572.67+(AP317-3896.67)*0.25,IF(AP317&lt;=50416.67,4572.67+(AP317-19896.67)*0.30,13728.67+(AP317-50416.67)*0.35))))))</f>
        <v/>
      </c>
      <c r="AR317" s="6">
        <f>SUM(AM317,AQ317,W317,X317,Y317,Z317,AA317,AN317,AO317)</f>
        <v/>
      </c>
      <c r="AS317" s="6">
        <f>AL317-AR317</f>
        <v/>
      </c>
      <c r="AT317" s="6">
        <f>AB317-AC317</f>
        <v/>
      </c>
    </row>
    <row r="318">
      <c r="A318" s="2" t="n"/>
      <c r="B318" s="3" t="n"/>
      <c r="C318" s="4" t="n"/>
      <c r="D318" s="5" t="n"/>
      <c r="E318" s="3" t="n"/>
      <c r="F318" s="4" t="n"/>
      <c r="G318" s="5" t="n"/>
      <c r="H318" s="3" t="n"/>
      <c r="I318" s="4" t="n"/>
      <c r="J318" s="5" t="n"/>
      <c r="K318" s="3" t="n"/>
      <c r="L318" s="4" t="n"/>
      <c r="M318" s="5" t="n"/>
      <c r="N318" s="3" t="n"/>
      <c r="O318" s="4" t="n"/>
      <c r="P318" s="5" t="n"/>
      <c r="Q318" s="3" t="n"/>
      <c r="R318" s="4" t="n"/>
      <c r="S318" s="5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6">
        <f>IF(C318=0,0,IF(E318="",B318*D318/100,E318))</f>
        <v/>
      </c>
      <c r="AE318" s="6">
        <f>IF(F318=0,0,IF(H318="",B318*G318/100,H318))</f>
        <v/>
      </c>
      <c r="AF318" s="6">
        <f>IF(I318=0,0,IF(K318="",B318*J318/100,K318))</f>
        <v/>
      </c>
      <c r="AG318" s="6">
        <f>IF(L318=0,0,IF(N318="",B318*M318/100,N318))</f>
        <v/>
      </c>
      <c r="AH318" s="6">
        <f>IF(O318=0,0,IF(Q318="",B318*P318/100,Q318))</f>
        <v/>
      </c>
      <c r="AI318" s="6">
        <f>IF(R318=0,0,IF(T318="",B318*S318/100,T318))</f>
        <v/>
      </c>
      <c r="AJ318" s="6">
        <f>B318*0.035</f>
        <v/>
      </c>
      <c r="AK318" s="6">
        <f>B318*0.065</f>
        <v/>
      </c>
      <c r="AL318" s="6">
        <f>SUM(B318,AD318,AE318,AF318,AG318,AH318,AI318,U318,V318,AJ318,AK318)</f>
        <v/>
      </c>
      <c r="AM318" s="6">
        <f>B318*0.055</f>
        <v/>
      </c>
      <c r="AN318" s="6">
        <f>B318*0.035</f>
        <v/>
      </c>
      <c r="AO318" s="6">
        <f>B318*0.165</f>
        <v/>
      </c>
      <c r="AP318" s="6">
        <f>MAX(0,AL318-AM318-AO318)</f>
        <v/>
      </c>
      <c r="AQ318" s="6">
        <f>IF(AP318&lt;=490,0,IF(AP318&lt;=600,(AP318-490)*0.05,IF(AP318&lt;=730,5.5+(AP318-600)*0.10,IF(AP318&lt;=3896.67,18.5+(AP318-730)*0.175,IF(AP318&lt;=19896.67,572.67+(AP318-3896.67)*0.25,IF(AP318&lt;=50416.67,4572.67+(AP318-19896.67)*0.30,13728.67+(AP318-50416.67)*0.35))))))</f>
        <v/>
      </c>
      <c r="AR318" s="6">
        <f>SUM(AM318,AQ318,W318,X318,Y318,Z318,AA318,AN318,AO318)</f>
        <v/>
      </c>
      <c r="AS318" s="6">
        <f>AL318-AR318</f>
        <v/>
      </c>
      <c r="AT318" s="6">
        <f>AB318-AC318</f>
        <v/>
      </c>
    </row>
    <row r="319">
      <c r="A319" s="2" t="n"/>
      <c r="B319" s="3" t="n"/>
      <c r="C319" s="4" t="n"/>
      <c r="D319" s="5" t="n"/>
      <c r="E319" s="3" t="n"/>
      <c r="F319" s="4" t="n"/>
      <c r="G319" s="5" t="n"/>
      <c r="H319" s="3" t="n"/>
      <c r="I319" s="4" t="n"/>
      <c r="J319" s="5" t="n"/>
      <c r="K319" s="3" t="n"/>
      <c r="L319" s="4" t="n"/>
      <c r="M319" s="5" t="n"/>
      <c r="N319" s="3" t="n"/>
      <c r="O319" s="4" t="n"/>
      <c r="P319" s="5" t="n"/>
      <c r="Q319" s="3" t="n"/>
      <c r="R319" s="4" t="n"/>
      <c r="S319" s="5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6">
        <f>IF(C319=0,0,IF(E319="",B319*D319/100,E319))</f>
        <v/>
      </c>
      <c r="AE319" s="6">
        <f>IF(F319=0,0,IF(H319="",B319*G319/100,H319))</f>
        <v/>
      </c>
      <c r="AF319" s="6">
        <f>IF(I319=0,0,IF(K319="",B319*J319/100,K319))</f>
        <v/>
      </c>
      <c r="AG319" s="6">
        <f>IF(L319=0,0,IF(N319="",B319*M319/100,N319))</f>
        <v/>
      </c>
      <c r="AH319" s="6">
        <f>IF(O319=0,0,IF(Q319="",B319*P319/100,Q319))</f>
        <v/>
      </c>
      <c r="AI319" s="6">
        <f>IF(R319=0,0,IF(T319="",B319*S319/100,T319))</f>
        <v/>
      </c>
      <c r="AJ319" s="6">
        <f>B319*0.035</f>
        <v/>
      </c>
      <c r="AK319" s="6">
        <f>B319*0.065</f>
        <v/>
      </c>
      <c r="AL319" s="6">
        <f>SUM(B319,AD319,AE319,AF319,AG319,AH319,AI319,U319,V319,AJ319,AK319)</f>
        <v/>
      </c>
      <c r="AM319" s="6">
        <f>B319*0.055</f>
        <v/>
      </c>
      <c r="AN319" s="6">
        <f>B319*0.035</f>
        <v/>
      </c>
      <c r="AO319" s="6">
        <f>B319*0.165</f>
        <v/>
      </c>
      <c r="AP319" s="6">
        <f>MAX(0,AL319-AM319-AO319)</f>
        <v/>
      </c>
      <c r="AQ319" s="6">
        <f>IF(AP319&lt;=490,0,IF(AP319&lt;=600,(AP319-490)*0.05,IF(AP319&lt;=730,5.5+(AP319-600)*0.10,IF(AP319&lt;=3896.67,18.5+(AP319-730)*0.175,IF(AP319&lt;=19896.67,572.67+(AP319-3896.67)*0.25,IF(AP319&lt;=50416.67,4572.67+(AP319-19896.67)*0.30,13728.67+(AP319-50416.67)*0.35))))))</f>
        <v/>
      </c>
      <c r="AR319" s="6">
        <f>SUM(AM319,AQ319,W319,X319,Y319,Z319,AA319,AN319,AO319)</f>
        <v/>
      </c>
      <c r="AS319" s="6">
        <f>AL319-AR319</f>
        <v/>
      </c>
      <c r="AT319" s="6">
        <f>AB319-AC319</f>
        <v/>
      </c>
    </row>
    <row r="320">
      <c r="A320" s="2" t="n"/>
      <c r="B320" s="3" t="n"/>
      <c r="C320" s="4" t="n"/>
      <c r="D320" s="5" t="n"/>
      <c r="E320" s="3" t="n"/>
      <c r="F320" s="4" t="n"/>
      <c r="G320" s="5" t="n"/>
      <c r="H320" s="3" t="n"/>
      <c r="I320" s="4" t="n"/>
      <c r="J320" s="5" t="n"/>
      <c r="K320" s="3" t="n"/>
      <c r="L320" s="4" t="n"/>
      <c r="M320" s="5" t="n"/>
      <c r="N320" s="3" t="n"/>
      <c r="O320" s="4" t="n"/>
      <c r="P320" s="5" t="n"/>
      <c r="Q320" s="3" t="n"/>
      <c r="R320" s="4" t="n"/>
      <c r="S320" s="5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6">
        <f>IF(C320=0,0,IF(E320="",B320*D320/100,E320))</f>
        <v/>
      </c>
      <c r="AE320" s="6">
        <f>IF(F320=0,0,IF(H320="",B320*G320/100,H320))</f>
        <v/>
      </c>
      <c r="AF320" s="6">
        <f>IF(I320=0,0,IF(K320="",B320*J320/100,K320))</f>
        <v/>
      </c>
      <c r="AG320" s="6">
        <f>IF(L320=0,0,IF(N320="",B320*M320/100,N320))</f>
        <v/>
      </c>
      <c r="AH320" s="6">
        <f>IF(O320=0,0,IF(Q320="",B320*P320/100,Q320))</f>
        <v/>
      </c>
      <c r="AI320" s="6">
        <f>IF(R320=0,0,IF(T320="",B320*S320/100,T320))</f>
        <v/>
      </c>
      <c r="AJ320" s="6">
        <f>B320*0.035</f>
        <v/>
      </c>
      <c r="AK320" s="6">
        <f>B320*0.065</f>
        <v/>
      </c>
      <c r="AL320" s="6">
        <f>SUM(B320,AD320,AE320,AF320,AG320,AH320,AI320,U320,V320,AJ320,AK320)</f>
        <v/>
      </c>
      <c r="AM320" s="6">
        <f>B320*0.055</f>
        <v/>
      </c>
      <c r="AN320" s="6">
        <f>B320*0.035</f>
        <v/>
      </c>
      <c r="AO320" s="6">
        <f>B320*0.165</f>
        <v/>
      </c>
      <c r="AP320" s="6">
        <f>MAX(0,AL320-AM320-AO320)</f>
        <v/>
      </c>
      <c r="AQ320" s="6">
        <f>IF(AP320&lt;=490,0,IF(AP320&lt;=600,(AP320-490)*0.05,IF(AP320&lt;=730,5.5+(AP320-600)*0.10,IF(AP320&lt;=3896.67,18.5+(AP320-730)*0.175,IF(AP320&lt;=19896.67,572.67+(AP320-3896.67)*0.25,IF(AP320&lt;=50416.67,4572.67+(AP320-19896.67)*0.30,13728.67+(AP320-50416.67)*0.35))))))</f>
        <v/>
      </c>
      <c r="AR320" s="6">
        <f>SUM(AM320,AQ320,W320,X320,Y320,Z320,AA320,AN320,AO320)</f>
        <v/>
      </c>
      <c r="AS320" s="6">
        <f>AL320-AR320</f>
        <v/>
      </c>
      <c r="AT320" s="6">
        <f>AB320-AC320</f>
        <v/>
      </c>
    </row>
    <row r="321">
      <c r="A321" s="2" t="n"/>
      <c r="B321" s="3" t="n"/>
      <c r="C321" s="4" t="n"/>
      <c r="D321" s="5" t="n"/>
      <c r="E321" s="3" t="n"/>
      <c r="F321" s="4" t="n"/>
      <c r="G321" s="5" t="n"/>
      <c r="H321" s="3" t="n"/>
      <c r="I321" s="4" t="n"/>
      <c r="J321" s="5" t="n"/>
      <c r="K321" s="3" t="n"/>
      <c r="L321" s="4" t="n"/>
      <c r="M321" s="5" t="n"/>
      <c r="N321" s="3" t="n"/>
      <c r="O321" s="4" t="n"/>
      <c r="P321" s="5" t="n"/>
      <c r="Q321" s="3" t="n"/>
      <c r="R321" s="4" t="n"/>
      <c r="S321" s="5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6">
        <f>IF(C321=0,0,IF(E321="",B321*D321/100,E321))</f>
        <v/>
      </c>
      <c r="AE321" s="6">
        <f>IF(F321=0,0,IF(H321="",B321*G321/100,H321))</f>
        <v/>
      </c>
      <c r="AF321" s="6">
        <f>IF(I321=0,0,IF(K321="",B321*J321/100,K321))</f>
        <v/>
      </c>
      <c r="AG321" s="6">
        <f>IF(L321=0,0,IF(N321="",B321*M321/100,N321))</f>
        <v/>
      </c>
      <c r="AH321" s="6">
        <f>IF(O321=0,0,IF(Q321="",B321*P321/100,Q321))</f>
        <v/>
      </c>
      <c r="AI321" s="6">
        <f>IF(R321=0,0,IF(T321="",B321*S321/100,T321))</f>
        <v/>
      </c>
      <c r="AJ321" s="6">
        <f>B321*0.035</f>
        <v/>
      </c>
      <c r="AK321" s="6">
        <f>B321*0.065</f>
        <v/>
      </c>
      <c r="AL321" s="6">
        <f>SUM(B321,AD321,AE321,AF321,AG321,AH321,AI321,U321,V321,AJ321,AK321)</f>
        <v/>
      </c>
      <c r="AM321" s="6">
        <f>B321*0.055</f>
        <v/>
      </c>
      <c r="AN321" s="6">
        <f>B321*0.035</f>
        <v/>
      </c>
      <c r="AO321" s="6">
        <f>B321*0.165</f>
        <v/>
      </c>
      <c r="AP321" s="6">
        <f>MAX(0,AL321-AM321-AO321)</f>
        <v/>
      </c>
      <c r="AQ321" s="6">
        <f>IF(AP321&lt;=490,0,IF(AP321&lt;=600,(AP321-490)*0.05,IF(AP321&lt;=730,5.5+(AP321-600)*0.10,IF(AP321&lt;=3896.67,18.5+(AP321-730)*0.175,IF(AP321&lt;=19896.67,572.67+(AP321-3896.67)*0.25,IF(AP321&lt;=50416.67,4572.67+(AP321-19896.67)*0.30,13728.67+(AP321-50416.67)*0.35))))))</f>
        <v/>
      </c>
      <c r="AR321" s="6">
        <f>SUM(AM321,AQ321,W321,X321,Y321,Z321,AA321,AN321,AO321)</f>
        <v/>
      </c>
      <c r="AS321" s="6">
        <f>AL321-AR321</f>
        <v/>
      </c>
      <c r="AT321" s="6">
        <f>AB321-AC321</f>
        <v/>
      </c>
    </row>
    <row r="322">
      <c r="A322" s="2" t="n"/>
      <c r="B322" s="3" t="n"/>
      <c r="C322" s="4" t="n"/>
      <c r="D322" s="5" t="n"/>
      <c r="E322" s="3" t="n"/>
      <c r="F322" s="4" t="n"/>
      <c r="G322" s="5" t="n"/>
      <c r="H322" s="3" t="n"/>
      <c r="I322" s="4" t="n"/>
      <c r="J322" s="5" t="n"/>
      <c r="K322" s="3" t="n"/>
      <c r="L322" s="4" t="n"/>
      <c r="M322" s="5" t="n"/>
      <c r="N322" s="3" t="n"/>
      <c r="O322" s="4" t="n"/>
      <c r="P322" s="5" t="n"/>
      <c r="Q322" s="3" t="n"/>
      <c r="R322" s="4" t="n"/>
      <c r="S322" s="5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6">
        <f>IF(C322=0,0,IF(E322="",B322*D322/100,E322))</f>
        <v/>
      </c>
      <c r="AE322" s="6">
        <f>IF(F322=0,0,IF(H322="",B322*G322/100,H322))</f>
        <v/>
      </c>
      <c r="AF322" s="6">
        <f>IF(I322=0,0,IF(K322="",B322*J322/100,K322))</f>
        <v/>
      </c>
      <c r="AG322" s="6">
        <f>IF(L322=0,0,IF(N322="",B322*M322/100,N322))</f>
        <v/>
      </c>
      <c r="AH322" s="6">
        <f>IF(O322=0,0,IF(Q322="",B322*P322/100,Q322))</f>
        <v/>
      </c>
      <c r="AI322" s="6">
        <f>IF(R322=0,0,IF(T322="",B322*S322/100,T322))</f>
        <v/>
      </c>
      <c r="AJ322" s="6">
        <f>B322*0.035</f>
        <v/>
      </c>
      <c r="AK322" s="6">
        <f>B322*0.065</f>
        <v/>
      </c>
      <c r="AL322" s="6">
        <f>SUM(B322,AD322,AE322,AF322,AG322,AH322,AI322,U322,V322,AJ322,AK322)</f>
        <v/>
      </c>
      <c r="AM322" s="6">
        <f>B322*0.055</f>
        <v/>
      </c>
      <c r="AN322" s="6">
        <f>B322*0.035</f>
        <v/>
      </c>
      <c r="AO322" s="6">
        <f>B322*0.165</f>
        <v/>
      </c>
      <c r="AP322" s="6">
        <f>MAX(0,AL322-AM322-AO322)</f>
        <v/>
      </c>
      <c r="AQ322" s="6">
        <f>IF(AP322&lt;=490,0,IF(AP322&lt;=600,(AP322-490)*0.05,IF(AP322&lt;=730,5.5+(AP322-600)*0.10,IF(AP322&lt;=3896.67,18.5+(AP322-730)*0.175,IF(AP322&lt;=19896.67,572.67+(AP322-3896.67)*0.25,IF(AP322&lt;=50416.67,4572.67+(AP322-19896.67)*0.30,13728.67+(AP322-50416.67)*0.35))))))</f>
        <v/>
      </c>
      <c r="AR322" s="6">
        <f>SUM(AM322,AQ322,W322,X322,Y322,Z322,AA322,AN322,AO322)</f>
        <v/>
      </c>
      <c r="AS322" s="6">
        <f>AL322-AR322</f>
        <v/>
      </c>
      <c r="AT322" s="6">
        <f>AB322-AC322</f>
        <v/>
      </c>
    </row>
    <row r="323">
      <c r="A323" s="2" t="n"/>
      <c r="B323" s="3" t="n"/>
      <c r="C323" s="4" t="n"/>
      <c r="D323" s="5" t="n"/>
      <c r="E323" s="3" t="n"/>
      <c r="F323" s="4" t="n"/>
      <c r="G323" s="5" t="n"/>
      <c r="H323" s="3" t="n"/>
      <c r="I323" s="4" t="n"/>
      <c r="J323" s="5" t="n"/>
      <c r="K323" s="3" t="n"/>
      <c r="L323" s="4" t="n"/>
      <c r="M323" s="5" t="n"/>
      <c r="N323" s="3" t="n"/>
      <c r="O323" s="4" t="n"/>
      <c r="P323" s="5" t="n"/>
      <c r="Q323" s="3" t="n"/>
      <c r="R323" s="4" t="n"/>
      <c r="S323" s="5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6">
        <f>IF(C323=0,0,IF(E323="",B323*D323/100,E323))</f>
        <v/>
      </c>
      <c r="AE323" s="6">
        <f>IF(F323=0,0,IF(H323="",B323*G323/100,H323))</f>
        <v/>
      </c>
      <c r="AF323" s="6">
        <f>IF(I323=0,0,IF(K323="",B323*J323/100,K323))</f>
        <v/>
      </c>
      <c r="AG323" s="6">
        <f>IF(L323=0,0,IF(N323="",B323*M323/100,N323))</f>
        <v/>
      </c>
      <c r="AH323" s="6">
        <f>IF(O323=0,0,IF(Q323="",B323*P323/100,Q323))</f>
        <v/>
      </c>
      <c r="AI323" s="6">
        <f>IF(R323=0,0,IF(T323="",B323*S323/100,T323))</f>
        <v/>
      </c>
      <c r="AJ323" s="6">
        <f>B323*0.035</f>
        <v/>
      </c>
      <c r="AK323" s="6">
        <f>B323*0.065</f>
        <v/>
      </c>
      <c r="AL323" s="6">
        <f>SUM(B323,AD323,AE323,AF323,AG323,AH323,AI323,U323,V323,AJ323,AK323)</f>
        <v/>
      </c>
      <c r="AM323" s="6">
        <f>B323*0.055</f>
        <v/>
      </c>
      <c r="AN323" s="6">
        <f>B323*0.035</f>
        <v/>
      </c>
      <c r="AO323" s="6">
        <f>B323*0.165</f>
        <v/>
      </c>
      <c r="AP323" s="6">
        <f>MAX(0,AL323-AM323-AO323)</f>
        <v/>
      </c>
      <c r="AQ323" s="6">
        <f>IF(AP323&lt;=490,0,IF(AP323&lt;=600,(AP323-490)*0.05,IF(AP323&lt;=730,5.5+(AP323-600)*0.10,IF(AP323&lt;=3896.67,18.5+(AP323-730)*0.175,IF(AP323&lt;=19896.67,572.67+(AP323-3896.67)*0.25,IF(AP323&lt;=50416.67,4572.67+(AP323-19896.67)*0.30,13728.67+(AP323-50416.67)*0.35))))))</f>
        <v/>
      </c>
      <c r="AR323" s="6">
        <f>SUM(AM323,AQ323,W323,X323,Y323,Z323,AA323,AN323,AO323)</f>
        <v/>
      </c>
      <c r="AS323" s="6">
        <f>AL323-AR323</f>
        <v/>
      </c>
      <c r="AT323" s="6">
        <f>AB323-AC323</f>
        <v/>
      </c>
    </row>
    <row r="324">
      <c r="A324" s="2" t="n"/>
      <c r="B324" s="3" t="n"/>
      <c r="C324" s="4" t="n"/>
      <c r="D324" s="5" t="n"/>
      <c r="E324" s="3" t="n"/>
      <c r="F324" s="4" t="n"/>
      <c r="G324" s="5" t="n"/>
      <c r="H324" s="3" t="n"/>
      <c r="I324" s="4" t="n"/>
      <c r="J324" s="5" t="n"/>
      <c r="K324" s="3" t="n"/>
      <c r="L324" s="4" t="n"/>
      <c r="M324" s="5" t="n"/>
      <c r="N324" s="3" t="n"/>
      <c r="O324" s="4" t="n"/>
      <c r="P324" s="5" t="n"/>
      <c r="Q324" s="3" t="n"/>
      <c r="R324" s="4" t="n"/>
      <c r="S324" s="5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6">
        <f>IF(C324=0,0,IF(E324="",B324*D324/100,E324))</f>
        <v/>
      </c>
      <c r="AE324" s="6">
        <f>IF(F324=0,0,IF(H324="",B324*G324/100,H324))</f>
        <v/>
      </c>
      <c r="AF324" s="6">
        <f>IF(I324=0,0,IF(K324="",B324*J324/100,K324))</f>
        <v/>
      </c>
      <c r="AG324" s="6">
        <f>IF(L324=0,0,IF(N324="",B324*M324/100,N324))</f>
        <v/>
      </c>
      <c r="AH324" s="6">
        <f>IF(O324=0,0,IF(Q324="",B324*P324/100,Q324))</f>
        <v/>
      </c>
      <c r="AI324" s="6">
        <f>IF(R324=0,0,IF(T324="",B324*S324/100,T324))</f>
        <v/>
      </c>
      <c r="AJ324" s="6">
        <f>B324*0.035</f>
        <v/>
      </c>
      <c r="AK324" s="6">
        <f>B324*0.065</f>
        <v/>
      </c>
      <c r="AL324" s="6">
        <f>SUM(B324,AD324,AE324,AF324,AG324,AH324,AI324,U324,V324,AJ324,AK324)</f>
        <v/>
      </c>
      <c r="AM324" s="6">
        <f>B324*0.055</f>
        <v/>
      </c>
      <c r="AN324" s="6">
        <f>B324*0.035</f>
        <v/>
      </c>
      <c r="AO324" s="6">
        <f>B324*0.165</f>
        <v/>
      </c>
      <c r="AP324" s="6">
        <f>MAX(0,AL324-AM324-AO324)</f>
        <v/>
      </c>
      <c r="AQ324" s="6">
        <f>IF(AP324&lt;=490,0,IF(AP324&lt;=600,(AP324-490)*0.05,IF(AP324&lt;=730,5.5+(AP324-600)*0.10,IF(AP324&lt;=3896.67,18.5+(AP324-730)*0.175,IF(AP324&lt;=19896.67,572.67+(AP324-3896.67)*0.25,IF(AP324&lt;=50416.67,4572.67+(AP324-19896.67)*0.30,13728.67+(AP324-50416.67)*0.35))))))</f>
        <v/>
      </c>
      <c r="AR324" s="6">
        <f>SUM(AM324,AQ324,W324,X324,Y324,Z324,AA324,AN324,AO324)</f>
        <v/>
      </c>
      <c r="AS324" s="6">
        <f>AL324-AR324</f>
        <v/>
      </c>
      <c r="AT324" s="6">
        <f>AB324-AC324</f>
        <v/>
      </c>
    </row>
    <row r="325">
      <c r="A325" s="2" t="n"/>
      <c r="B325" s="3" t="n"/>
      <c r="C325" s="4" t="n"/>
      <c r="D325" s="5" t="n"/>
      <c r="E325" s="3" t="n"/>
      <c r="F325" s="4" t="n"/>
      <c r="G325" s="5" t="n"/>
      <c r="H325" s="3" t="n"/>
      <c r="I325" s="4" t="n"/>
      <c r="J325" s="5" t="n"/>
      <c r="K325" s="3" t="n"/>
      <c r="L325" s="4" t="n"/>
      <c r="M325" s="5" t="n"/>
      <c r="N325" s="3" t="n"/>
      <c r="O325" s="4" t="n"/>
      <c r="P325" s="5" t="n"/>
      <c r="Q325" s="3" t="n"/>
      <c r="R325" s="4" t="n"/>
      <c r="S325" s="5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6">
        <f>IF(C325=0,0,IF(E325="",B325*D325/100,E325))</f>
        <v/>
      </c>
      <c r="AE325" s="6">
        <f>IF(F325=0,0,IF(H325="",B325*G325/100,H325))</f>
        <v/>
      </c>
      <c r="AF325" s="6">
        <f>IF(I325=0,0,IF(K325="",B325*J325/100,K325))</f>
        <v/>
      </c>
      <c r="AG325" s="6">
        <f>IF(L325=0,0,IF(N325="",B325*M325/100,N325))</f>
        <v/>
      </c>
      <c r="AH325" s="6">
        <f>IF(O325=0,0,IF(Q325="",B325*P325/100,Q325))</f>
        <v/>
      </c>
      <c r="AI325" s="6">
        <f>IF(R325=0,0,IF(T325="",B325*S325/100,T325))</f>
        <v/>
      </c>
      <c r="AJ325" s="6">
        <f>B325*0.035</f>
        <v/>
      </c>
      <c r="AK325" s="6">
        <f>B325*0.065</f>
        <v/>
      </c>
      <c r="AL325" s="6">
        <f>SUM(B325,AD325,AE325,AF325,AG325,AH325,AI325,U325,V325,AJ325,AK325)</f>
        <v/>
      </c>
      <c r="AM325" s="6">
        <f>B325*0.055</f>
        <v/>
      </c>
      <c r="AN325" s="6">
        <f>B325*0.035</f>
        <v/>
      </c>
      <c r="AO325" s="6">
        <f>B325*0.165</f>
        <v/>
      </c>
      <c r="AP325" s="6">
        <f>MAX(0,AL325-AM325-AO325)</f>
        <v/>
      </c>
      <c r="AQ325" s="6">
        <f>IF(AP325&lt;=490,0,IF(AP325&lt;=600,(AP325-490)*0.05,IF(AP325&lt;=730,5.5+(AP325-600)*0.10,IF(AP325&lt;=3896.67,18.5+(AP325-730)*0.175,IF(AP325&lt;=19896.67,572.67+(AP325-3896.67)*0.25,IF(AP325&lt;=50416.67,4572.67+(AP325-19896.67)*0.30,13728.67+(AP325-50416.67)*0.35))))))</f>
        <v/>
      </c>
      <c r="AR325" s="6">
        <f>SUM(AM325,AQ325,W325,X325,Y325,Z325,AA325,AN325,AO325)</f>
        <v/>
      </c>
      <c r="AS325" s="6">
        <f>AL325-AR325</f>
        <v/>
      </c>
      <c r="AT325" s="6">
        <f>AB325-AC325</f>
        <v/>
      </c>
    </row>
    <row r="326">
      <c r="A326" s="2" t="n"/>
      <c r="B326" s="3" t="n"/>
      <c r="C326" s="4" t="n"/>
      <c r="D326" s="5" t="n"/>
      <c r="E326" s="3" t="n"/>
      <c r="F326" s="4" t="n"/>
      <c r="G326" s="5" t="n"/>
      <c r="H326" s="3" t="n"/>
      <c r="I326" s="4" t="n"/>
      <c r="J326" s="5" t="n"/>
      <c r="K326" s="3" t="n"/>
      <c r="L326" s="4" t="n"/>
      <c r="M326" s="5" t="n"/>
      <c r="N326" s="3" t="n"/>
      <c r="O326" s="4" t="n"/>
      <c r="P326" s="5" t="n"/>
      <c r="Q326" s="3" t="n"/>
      <c r="R326" s="4" t="n"/>
      <c r="S326" s="5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6">
        <f>IF(C326=0,0,IF(E326="",B326*D326/100,E326))</f>
        <v/>
      </c>
      <c r="AE326" s="6">
        <f>IF(F326=0,0,IF(H326="",B326*G326/100,H326))</f>
        <v/>
      </c>
      <c r="AF326" s="6">
        <f>IF(I326=0,0,IF(K326="",B326*J326/100,K326))</f>
        <v/>
      </c>
      <c r="AG326" s="6">
        <f>IF(L326=0,0,IF(N326="",B326*M326/100,N326))</f>
        <v/>
      </c>
      <c r="AH326" s="6">
        <f>IF(O326=0,0,IF(Q326="",B326*P326/100,Q326))</f>
        <v/>
      </c>
      <c r="AI326" s="6">
        <f>IF(R326=0,0,IF(T326="",B326*S326/100,T326))</f>
        <v/>
      </c>
      <c r="AJ326" s="6">
        <f>B326*0.035</f>
        <v/>
      </c>
      <c r="AK326" s="6">
        <f>B326*0.065</f>
        <v/>
      </c>
      <c r="AL326" s="6">
        <f>SUM(B326,AD326,AE326,AF326,AG326,AH326,AI326,U326,V326,AJ326,AK326)</f>
        <v/>
      </c>
      <c r="AM326" s="6">
        <f>B326*0.055</f>
        <v/>
      </c>
      <c r="AN326" s="6">
        <f>B326*0.035</f>
        <v/>
      </c>
      <c r="AO326" s="6">
        <f>B326*0.165</f>
        <v/>
      </c>
      <c r="AP326" s="6">
        <f>MAX(0,AL326-AM326-AO326)</f>
        <v/>
      </c>
      <c r="AQ326" s="6">
        <f>IF(AP326&lt;=490,0,IF(AP326&lt;=600,(AP326-490)*0.05,IF(AP326&lt;=730,5.5+(AP326-600)*0.10,IF(AP326&lt;=3896.67,18.5+(AP326-730)*0.175,IF(AP326&lt;=19896.67,572.67+(AP326-3896.67)*0.25,IF(AP326&lt;=50416.67,4572.67+(AP326-19896.67)*0.30,13728.67+(AP326-50416.67)*0.35))))))</f>
        <v/>
      </c>
      <c r="AR326" s="6">
        <f>SUM(AM326,AQ326,W326,X326,Y326,Z326,AA326,AN326,AO326)</f>
        <v/>
      </c>
      <c r="AS326" s="6">
        <f>AL326-AR326</f>
        <v/>
      </c>
      <c r="AT326" s="6">
        <f>AB326-AC326</f>
        <v/>
      </c>
    </row>
    <row r="327">
      <c r="A327" s="2" t="n"/>
      <c r="B327" s="3" t="n"/>
      <c r="C327" s="4" t="n"/>
      <c r="D327" s="5" t="n"/>
      <c r="E327" s="3" t="n"/>
      <c r="F327" s="4" t="n"/>
      <c r="G327" s="5" t="n"/>
      <c r="H327" s="3" t="n"/>
      <c r="I327" s="4" t="n"/>
      <c r="J327" s="5" t="n"/>
      <c r="K327" s="3" t="n"/>
      <c r="L327" s="4" t="n"/>
      <c r="M327" s="5" t="n"/>
      <c r="N327" s="3" t="n"/>
      <c r="O327" s="4" t="n"/>
      <c r="P327" s="5" t="n"/>
      <c r="Q327" s="3" t="n"/>
      <c r="R327" s="4" t="n"/>
      <c r="S327" s="5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6">
        <f>IF(C327=0,0,IF(E327="",B327*D327/100,E327))</f>
        <v/>
      </c>
      <c r="AE327" s="6">
        <f>IF(F327=0,0,IF(H327="",B327*G327/100,H327))</f>
        <v/>
      </c>
      <c r="AF327" s="6">
        <f>IF(I327=0,0,IF(K327="",B327*J327/100,K327))</f>
        <v/>
      </c>
      <c r="AG327" s="6">
        <f>IF(L327=0,0,IF(N327="",B327*M327/100,N327))</f>
        <v/>
      </c>
      <c r="AH327" s="6">
        <f>IF(O327=0,0,IF(Q327="",B327*P327/100,Q327))</f>
        <v/>
      </c>
      <c r="AI327" s="6">
        <f>IF(R327=0,0,IF(T327="",B327*S327/100,T327))</f>
        <v/>
      </c>
      <c r="AJ327" s="6">
        <f>B327*0.035</f>
        <v/>
      </c>
      <c r="AK327" s="6">
        <f>B327*0.065</f>
        <v/>
      </c>
      <c r="AL327" s="6">
        <f>SUM(B327,AD327,AE327,AF327,AG327,AH327,AI327,U327,V327,AJ327,AK327)</f>
        <v/>
      </c>
      <c r="AM327" s="6">
        <f>B327*0.055</f>
        <v/>
      </c>
      <c r="AN327" s="6">
        <f>B327*0.035</f>
        <v/>
      </c>
      <c r="AO327" s="6">
        <f>B327*0.165</f>
        <v/>
      </c>
      <c r="AP327" s="6">
        <f>MAX(0,AL327-AM327-AO327)</f>
        <v/>
      </c>
      <c r="AQ327" s="6">
        <f>IF(AP327&lt;=490,0,IF(AP327&lt;=600,(AP327-490)*0.05,IF(AP327&lt;=730,5.5+(AP327-600)*0.10,IF(AP327&lt;=3896.67,18.5+(AP327-730)*0.175,IF(AP327&lt;=19896.67,572.67+(AP327-3896.67)*0.25,IF(AP327&lt;=50416.67,4572.67+(AP327-19896.67)*0.30,13728.67+(AP327-50416.67)*0.35))))))</f>
        <v/>
      </c>
      <c r="AR327" s="6">
        <f>SUM(AM327,AQ327,W327,X327,Y327,Z327,AA327,AN327,AO327)</f>
        <v/>
      </c>
      <c r="AS327" s="6">
        <f>AL327-AR327</f>
        <v/>
      </c>
      <c r="AT327" s="6">
        <f>AB327-AC327</f>
        <v/>
      </c>
    </row>
    <row r="328">
      <c r="A328" s="2" t="n"/>
      <c r="B328" s="3" t="n"/>
      <c r="C328" s="4" t="n"/>
      <c r="D328" s="5" t="n"/>
      <c r="E328" s="3" t="n"/>
      <c r="F328" s="4" t="n"/>
      <c r="G328" s="5" t="n"/>
      <c r="H328" s="3" t="n"/>
      <c r="I328" s="4" t="n"/>
      <c r="J328" s="5" t="n"/>
      <c r="K328" s="3" t="n"/>
      <c r="L328" s="4" t="n"/>
      <c r="M328" s="5" t="n"/>
      <c r="N328" s="3" t="n"/>
      <c r="O328" s="4" t="n"/>
      <c r="P328" s="5" t="n"/>
      <c r="Q328" s="3" t="n"/>
      <c r="R328" s="4" t="n"/>
      <c r="S328" s="5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6">
        <f>IF(C328=0,0,IF(E328="",B328*D328/100,E328))</f>
        <v/>
      </c>
      <c r="AE328" s="6">
        <f>IF(F328=0,0,IF(H328="",B328*G328/100,H328))</f>
        <v/>
      </c>
      <c r="AF328" s="6">
        <f>IF(I328=0,0,IF(K328="",B328*J328/100,K328))</f>
        <v/>
      </c>
      <c r="AG328" s="6">
        <f>IF(L328=0,0,IF(N328="",B328*M328/100,N328))</f>
        <v/>
      </c>
      <c r="AH328" s="6">
        <f>IF(O328=0,0,IF(Q328="",B328*P328/100,Q328))</f>
        <v/>
      </c>
      <c r="AI328" s="6">
        <f>IF(R328=0,0,IF(T328="",B328*S328/100,T328))</f>
        <v/>
      </c>
      <c r="AJ328" s="6">
        <f>B328*0.035</f>
        <v/>
      </c>
      <c r="AK328" s="6">
        <f>B328*0.065</f>
        <v/>
      </c>
      <c r="AL328" s="6">
        <f>SUM(B328,AD328,AE328,AF328,AG328,AH328,AI328,U328,V328,AJ328,AK328)</f>
        <v/>
      </c>
      <c r="AM328" s="6">
        <f>B328*0.055</f>
        <v/>
      </c>
      <c r="AN328" s="6">
        <f>B328*0.035</f>
        <v/>
      </c>
      <c r="AO328" s="6">
        <f>B328*0.165</f>
        <v/>
      </c>
      <c r="AP328" s="6">
        <f>MAX(0,AL328-AM328-AO328)</f>
        <v/>
      </c>
      <c r="AQ328" s="6">
        <f>IF(AP328&lt;=490,0,IF(AP328&lt;=600,(AP328-490)*0.05,IF(AP328&lt;=730,5.5+(AP328-600)*0.10,IF(AP328&lt;=3896.67,18.5+(AP328-730)*0.175,IF(AP328&lt;=19896.67,572.67+(AP328-3896.67)*0.25,IF(AP328&lt;=50416.67,4572.67+(AP328-19896.67)*0.30,13728.67+(AP328-50416.67)*0.35))))))</f>
        <v/>
      </c>
      <c r="AR328" s="6">
        <f>SUM(AM328,AQ328,W328,X328,Y328,Z328,AA328,AN328,AO328)</f>
        <v/>
      </c>
      <c r="AS328" s="6">
        <f>AL328-AR328</f>
        <v/>
      </c>
      <c r="AT328" s="6">
        <f>AB328-AC328</f>
        <v/>
      </c>
    </row>
    <row r="329">
      <c r="A329" s="2" t="n"/>
      <c r="B329" s="3" t="n"/>
      <c r="C329" s="4" t="n"/>
      <c r="D329" s="5" t="n"/>
      <c r="E329" s="3" t="n"/>
      <c r="F329" s="4" t="n"/>
      <c r="G329" s="5" t="n"/>
      <c r="H329" s="3" t="n"/>
      <c r="I329" s="4" t="n"/>
      <c r="J329" s="5" t="n"/>
      <c r="K329" s="3" t="n"/>
      <c r="L329" s="4" t="n"/>
      <c r="M329" s="5" t="n"/>
      <c r="N329" s="3" t="n"/>
      <c r="O329" s="4" t="n"/>
      <c r="P329" s="5" t="n"/>
      <c r="Q329" s="3" t="n"/>
      <c r="R329" s="4" t="n"/>
      <c r="S329" s="5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6">
        <f>IF(C329=0,0,IF(E329="",B329*D329/100,E329))</f>
        <v/>
      </c>
      <c r="AE329" s="6">
        <f>IF(F329=0,0,IF(H329="",B329*G329/100,H329))</f>
        <v/>
      </c>
      <c r="AF329" s="6">
        <f>IF(I329=0,0,IF(K329="",B329*J329/100,K329))</f>
        <v/>
      </c>
      <c r="AG329" s="6">
        <f>IF(L329=0,0,IF(N329="",B329*M329/100,N329))</f>
        <v/>
      </c>
      <c r="AH329" s="6">
        <f>IF(O329=0,0,IF(Q329="",B329*P329/100,Q329))</f>
        <v/>
      </c>
      <c r="AI329" s="6">
        <f>IF(R329=0,0,IF(T329="",B329*S329/100,T329))</f>
        <v/>
      </c>
      <c r="AJ329" s="6">
        <f>B329*0.035</f>
        <v/>
      </c>
      <c r="AK329" s="6">
        <f>B329*0.065</f>
        <v/>
      </c>
      <c r="AL329" s="6">
        <f>SUM(B329,AD329,AE329,AF329,AG329,AH329,AI329,U329,V329,AJ329,AK329)</f>
        <v/>
      </c>
      <c r="AM329" s="6">
        <f>B329*0.055</f>
        <v/>
      </c>
      <c r="AN329" s="6">
        <f>B329*0.035</f>
        <v/>
      </c>
      <c r="AO329" s="6">
        <f>B329*0.165</f>
        <v/>
      </c>
      <c r="AP329" s="6">
        <f>MAX(0,AL329-AM329-AO329)</f>
        <v/>
      </c>
      <c r="AQ329" s="6">
        <f>IF(AP329&lt;=490,0,IF(AP329&lt;=600,(AP329-490)*0.05,IF(AP329&lt;=730,5.5+(AP329-600)*0.10,IF(AP329&lt;=3896.67,18.5+(AP329-730)*0.175,IF(AP329&lt;=19896.67,572.67+(AP329-3896.67)*0.25,IF(AP329&lt;=50416.67,4572.67+(AP329-19896.67)*0.30,13728.67+(AP329-50416.67)*0.35))))))</f>
        <v/>
      </c>
      <c r="AR329" s="6">
        <f>SUM(AM329,AQ329,W329,X329,Y329,Z329,AA329,AN329,AO329)</f>
        <v/>
      </c>
      <c r="AS329" s="6">
        <f>AL329-AR329</f>
        <v/>
      </c>
      <c r="AT329" s="6">
        <f>AB329-AC329</f>
        <v/>
      </c>
    </row>
    <row r="330">
      <c r="A330" s="2" t="n"/>
      <c r="B330" s="3" t="n"/>
      <c r="C330" s="4" t="n"/>
      <c r="D330" s="5" t="n"/>
      <c r="E330" s="3" t="n"/>
      <c r="F330" s="4" t="n"/>
      <c r="G330" s="5" t="n"/>
      <c r="H330" s="3" t="n"/>
      <c r="I330" s="4" t="n"/>
      <c r="J330" s="5" t="n"/>
      <c r="K330" s="3" t="n"/>
      <c r="L330" s="4" t="n"/>
      <c r="M330" s="5" t="n"/>
      <c r="N330" s="3" t="n"/>
      <c r="O330" s="4" t="n"/>
      <c r="P330" s="5" t="n"/>
      <c r="Q330" s="3" t="n"/>
      <c r="R330" s="4" t="n"/>
      <c r="S330" s="5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6">
        <f>IF(C330=0,0,IF(E330="",B330*D330/100,E330))</f>
        <v/>
      </c>
      <c r="AE330" s="6">
        <f>IF(F330=0,0,IF(H330="",B330*G330/100,H330))</f>
        <v/>
      </c>
      <c r="AF330" s="6">
        <f>IF(I330=0,0,IF(K330="",B330*J330/100,K330))</f>
        <v/>
      </c>
      <c r="AG330" s="6">
        <f>IF(L330=0,0,IF(N330="",B330*M330/100,N330))</f>
        <v/>
      </c>
      <c r="AH330" s="6">
        <f>IF(O330=0,0,IF(Q330="",B330*P330/100,Q330))</f>
        <v/>
      </c>
      <c r="AI330" s="6">
        <f>IF(R330=0,0,IF(T330="",B330*S330/100,T330))</f>
        <v/>
      </c>
      <c r="AJ330" s="6">
        <f>B330*0.035</f>
        <v/>
      </c>
      <c r="AK330" s="6">
        <f>B330*0.065</f>
        <v/>
      </c>
      <c r="AL330" s="6">
        <f>SUM(B330,AD330,AE330,AF330,AG330,AH330,AI330,U330,V330,AJ330,AK330)</f>
        <v/>
      </c>
      <c r="AM330" s="6">
        <f>B330*0.055</f>
        <v/>
      </c>
      <c r="AN330" s="6">
        <f>B330*0.035</f>
        <v/>
      </c>
      <c r="AO330" s="6">
        <f>B330*0.165</f>
        <v/>
      </c>
      <c r="AP330" s="6">
        <f>MAX(0,AL330-AM330-AO330)</f>
        <v/>
      </c>
      <c r="AQ330" s="6">
        <f>IF(AP330&lt;=490,0,IF(AP330&lt;=600,(AP330-490)*0.05,IF(AP330&lt;=730,5.5+(AP330-600)*0.10,IF(AP330&lt;=3896.67,18.5+(AP330-730)*0.175,IF(AP330&lt;=19896.67,572.67+(AP330-3896.67)*0.25,IF(AP330&lt;=50416.67,4572.67+(AP330-19896.67)*0.30,13728.67+(AP330-50416.67)*0.35))))))</f>
        <v/>
      </c>
      <c r="AR330" s="6">
        <f>SUM(AM330,AQ330,W330,X330,Y330,Z330,AA330,AN330,AO330)</f>
        <v/>
      </c>
      <c r="AS330" s="6">
        <f>AL330-AR330</f>
        <v/>
      </c>
      <c r="AT330" s="6">
        <f>AB330-AC330</f>
        <v/>
      </c>
    </row>
    <row r="331">
      <c r="A331" s="2" t="n"/>
      <c r="B331" s="3" t="n"/>
      <c r="C331" s="4" t="n"/>
      <c r="D331" s="5" t="n"/>
      <c r="E331" s="3" t="n"/>
      <c r="F331" s="4" t="n"/>
      <c r="G331" s="5" t="n"/>
      <c r="H331" s="3" t="n"/>
      <c r="I331" s="4" t="n"/>
      <c r="J331" s="5" t="n"/>
      <c r="K331" s="3" t="n"/>
      <c r="L331" s="4" t="n"/>
      <c r="M331" s="5" t="n"/>
      <c r="N331" s="3" t="n"/>
      <c r="O331" s="4" t="n"/>
      <c r="P331" s="5" t="n"/>
      <c r="Q331" s="3" t="n"/>
      <c r="R331" s="4" t="n"/>
      <c r="S331" s="5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6">
        <f>IF(C331=0,0,IF(E331="",B331*D331/100,E331))</f>
        <v/>
      </c>
      <c r="AE331" s="6">
        <f>IF(F331=0,0,IF(H331="",B331*G331/100,H331))</f>
        <v/>
      </c>
      <c r="AF331" s="6">
        <f>IF(I331=0,0,IF(K331="",B331*J331/100,K331))</f>
        <v/>
      </c>
      <c r="AG331" s="6">
        <f>IF(L331=0,0,IF(N331="",B331*M331/100,N331))</f>
        <v/>
      </c>
      <c r="AH331" s="6">
        <f>IF(O331=0,0,IF(Q331="",B331*P331/100,Q331))</f>
        <v/>
      </c>
      <c r="AI331" s="6">
        <f>IF(R331=0,0,IF(T331="",B331*S331/100,T331))</f>
        <v/>
      </c>
      <c r="AJ331" s="6">
        <f>B331*0.035</f>
        <v/>
      </c>
      <c r="AK331" s="6">
        <f>B331*0.065</f>
        <v/>
      </c>
      <c r="AL331" s="6">
        <f>SUM(B331,AD331,AE331,AF331,AG331,AH331,AI331,U331,V331,AJ331,AK331)</f>
        <v/>
      </c>
      <c r="AM331" s="6">
        <f>B331*0.055</f>
        <v/>
      </c>
      <c r="AN331" s="6">
        <f>B331*0.035</f>
        <v/>
      </c>
      <c r="AO331" s="6">
        <f>B331*0.165</f>
        <v/>
      </c>
      <c r="AP331" s="6">
        <f>MAX(0,AL331-AM331-AO331)</f>
        <v/>
      </c>
      <c r="AQ331" s="6">
        <f>IF(AP331&lt;=490,0,IF(AP331&lt;=600,(AP331-490)*0.05,IF(AP331&lt;=730,5.5+(AP331-600)*0.10,IF(AP331&lt;=3896.67,18.5+(AP331-730)*0.175,IF(AP331&lt;=19896.67,572.67+(AP331-3896.67)*0.25,IF(AP331&lt;=50416.67,4572.67+(AP331-19896.67)*0.30,13728.67+(AP331-50416.67)*0.35))))))</f>
        <v/>
      </c>
      <c r="AR331" s="6">
        <f>SUM(AM331,AQ331,W331,X331,Y331,Z331,AA331,AN331,AO331)</f>
        <v/>
      </c>
      <c r="AS331" s="6">
        <f>AL331-AR331</f>
        <v/>
      </c>
      <c r="AT331" s="6">
        <f>AB331-AC331</f>
        <v/>
      </c>
    </row>
    <row r="332">
      <c r="A332" s="2" t="n"/>
      <c r="B332" s="3" t="n"/>
      <c r="C332" s="4" t="n"/>
      <c r="D332" s="5" t="n"/>
      <c r="E332" s="3" t="n"/>
      <c r="F332" s="4" t="n"/>
      <c r="G332" s="5" t="n"/>
      <c r="H332" s="3" t="n"/>
      <c r="I332" s="4" t="n"/>
      <c r="J332" s="5" t="n"/>
      <c r="K332" s="3" t="n"/>
      <c r="L332" s="4" t="n"/>
      <c r="M332" s="5" t="n"/>
      <c r="N332" s="3" t="n"/>
      <c r="O332" s="4" t="n"/>
      <c r="P332" s="5" t="n"/>
      <c r="Q332" s="3" t="n"/>
      <c r="R332" s="4" t="n"/>
      <c r="S332" s="5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6">
        <f>IF(C332=0,0,IF(E332="",B332*D332/100,E332))</f>
        <v/>
      </c>
      <c r="AE332" s="6">
        <f>IF(F332=0,0,IF(H332="",B332*G332/100,H332))</f>
        <v/>
      </c>
      <c r="AF332" s="6">
        <f>IF(I332=0,0,IF(K332="",B332*J332/100,K332))</f>
        <v/>
      </c>
      <c r="AG332" s="6">
        <f>IF(L332=0,0,IF(N332="",B332*M332/100,N332))</f>
        <v/>
      </c>
      <c r="AH332" s="6">
        <f>IF(O332=0,0,IF(Q332="",B332*P332/100,Q332))</f>
        <v/>
      </c>
      <c r="AI332" s="6">
        <f>IF(R332=0,0,IF(T332="",B332*S332/100,T332))</f>
        <v/>
      </c>
      <c r="AJ332" s="6">
        <f>B332*0.035</f>
        <v/>
      </c>
      <c r="AK332" s="6">
        <f>B332*0.065</f>
        <v/>
      </c>
      <c r="AL332" s="6">
        <f>SUM(B332,AD332,AE332,AF332,AG332,AH332,AI332,U332,V332,AJ332,AK332)</f>
        <v/>
      </c>
      <c r="AM332" s="6">
        <f>B332*0.055</f>
        <v/>
      </c>
      <c r="AN332" s="6">
        <f>B332*0.035</f>
        <v/>
      </c>
      <c r="AO332" s="6">
        <f>B332*0.165</f>
        <v/>
      </c>
      <c r="AP332" s="6">
        <f>MAX(0,AL332-AM332-AO332)</f>
        <v/>
      </c>
      <c r="AQ332" s="6">
        <f>IF(AP332&lt;=490,0,IF(AP332&lt;=600,(AP332-490)*0.05,IF(AP332&lt;=730,5.5+(AP332-600)*0.10,IF(AP332&lt;=3896.67,18.5+(AP332-730)*0.175,IF(AP332&lt;=19896.67,572.67+(AP332-3896.67)*0.25,IF(AP332&lt;=50416.67,4572.67+(AP332-19896.67)*0.30,13728.67+(AP332-50416.67)*0.35))))))</f>
        <v/>
      </c>
      <c r="AR332" s="6">
        <f>SUM(AM332,AQ332,W332,X332,Y332,Z332,AA332,AN332,AO332)</f>
        <v/>
      </c>
      <c r="AS332" s="6">
        <f>AL332-AR332</f>
        <v/>
      </c>
      <c r="AT332" s="6">
        <f>AB332-AC332</f>
        <v/>
      </c>
    </row>
    <row r="333">
      <c r="A333" s="2" t="n"/>
      <c r="B333" s="3" t="n"/>
      <c r="C333" s="4" t="n"/>
      <c r="D333" s="5" t="n"/>
      <c r="E333" s="3" t="n"/>
      <c r="F333" s="4" t="n"/>
      <c r="G333" s="5" t="n"/>
      <c r="H333" s="3" t="n"/>
      <c r="I333" s="4" t="n"/>
      <c r="J333" s="5" t="n"/>
      <c r="K333" s="3" t="n"/>
      <c r="L333" s="4" t="n"/>
      <c r="M333" s="5" t="n"/>
      <c r="N333" s="3" t="n"/>
      <c r="O333" s="4" t="n"/>
      <c r="P333" s="5" t="n"/>
      <c r="Q333" s="3" t="n"/>
      <c r="R333" s="4" t="n"/>
      <c r="S333" s="5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6">
        <f>IF(C333=0,0,IF(E333="",B333*D333/100,E333))</f>
        <v/>
      </c>
      <c r="AE333" s="6">
        <f>IF(F333=0,0,IF(H333="",B333*G333/100,H333))</f>
        <v/>
      </c>
      <c r="AF333" s="6">
        <f>IF(I333=0,0,IF(K333="",B333*J333/100,K333))</f>
        <v/>
      </c>
      <c r="AG333" s="6">
        <f>IF(L333=0,0,IF(N333="",B333*M333/100,N333))</f>
        <v/>
      </c>
      <c r="AH333" s="6">
        <f>IF(O333=0,0,IF(Q333="",B333*P333/100,Q333))</f>
        <v/>
      </c>
      <c r="AI333" s="6">
        <f>IF(R333=0,0,IF(T333="",B333*S333/100,T333))</f>
        <v/>
      </c>
      <c r="AJ333" s="6">
        <f>B333*0.035</f>
        <v/>
      </c>
      <c r="AK333" s="6">
        <f>B333*0.065</f>
        <v/>
      </c>
      <c r="AL333" s="6">
        <f>SUM(B333,AD333,AE333,AF333,AG333,AH333,AI333,U333,V333,AJ333,AK333)</f>
        <v/>
      </c>
      <c r="AM333" s="6">
        <f>B333*0.055</f>
        <v/>
      </c>
      <c r="AN333" s="6">
        <f>B333*0.035</f>
        <v/>
      </c>
      <c r="AO333" s="6">
        <f>B333*0.165</f>
        <v/>
      </c>
      <c r="AP333" s="6">
        <f>MAX(0,AL333-AM333-AO333)</f>
        <v/>
      </c>
      <c r="AQ333" s="6">
        <f>IF(AP333&lt;=490,0,IF(AP333&lt;=600,(AP333-490)*0.05,IF(AP333&lt;=730,5.5+(AP333-600)*0.10,IF(AP333&lt;=3896.67,18.5+(AP333-730)*0.175,IF(AP333&lt;=19896.67,572.67+(AP333-3896.67)*0.25,IF(AP333&lt;=50416.67,4572.67+(AP333-19896.67)*0.30,13728.67+(AP333-50416.67)*0.35))))))</f>
        <v/>
      </c>
      <c r="AR333" s="6">
        <f>SUM(AM333,AQ333,W333,X333,Y333,Z333,AA333,AN333,AO333)</f>
        <v/>
      </c>
      <c r="AS333" s="6">
        <f>AL333-AR333</f>
        <v/>
      </c>
      <c r="AT333" s="6">
        <f>AB333-AC333</f>
        <v/>
      </c>
    </row>
    <row r="334">
      <c r="A334" s="2" t="n"/>
      <c r="B334" s="3" t="n"/>
      <c r="C334" s="4" t="n"/>
      <c r="D334" s="5" t="n"/>
      <c r="E334" s="3" t="n"/>
      <c r="F334" s="4" t="n"/>
      <c r="G334" s="5" t="n"/>
      <c r="H334" s="3" t="n"/>
      <c r="I334" s="4" t="n"/>
      <c r="J334" s="5" t="n"/>
      <c r="K334" s="3" t="n"/>
      <c r="L334" s="4" t="n"/>
      <c r="M334" s="5" t="n"/>
      <c r="N334" s="3" t="n"/>
      <c r="O334" s="4" t="n"/>
      <c r="P334" s="5" t="n"/>
      <c r="Q334" s="3" t="n"/>
      <c r="R334" s="4" t="n"/>
      <c r="S334" s="5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6">
        <f>IF(C334=0,0,IF(E334="",B334*D334/100,E334))</f>
        <v/>
      </c>
      <c r="AE334" s="6">
        <f>IF(F334=0,0,IF(H334="",B334*G334/100,H334))</f>
        <v/>
      </c>
      <c r="AF334" s="6">
        <f>IF(I334=0,0,IF(K334="",B334*J334/100,K334))</f>
        <v/>
      </c>
      <c r="AG334" s="6">
        <f>IF(L334=0,0,IF(N334="",B334*M334/100,N334))</f>
        <v/>
      </c>
      <c r="AH334" s="6">
        <f>IF(O334=0,0,IF(Q334="",B334*P334/100,Q334))</f>
        <v/>
      </c>
      <c r="AI334" s="6">
        <f>IF(R334=0,0,IF(T334="",B334*S334/100,T334))</f>
        <v/>
      </c>
      <c r="AJ334" s="6">
        <f>B334*0.035</f>
        <v/>
      </c>
      <c r="AK334" s="6">
        <f>B334*0.065</f>
        <v/>
      </c>
      <c r="AL334" s="6">
        <f>SUM(B334,AD334,AE334,AF334,AG334,AH334,AI334,U334,V334,AJ334,AK334)</f>
        <v/>
      </c>
      <c r="AM334" s="6">
        <f>B334*0.055</f>
        <v/>
      </c>
      <c r="AN334" s="6">
        <f>B334*0.035</f>
        <v/>
      </c>
      <c r="AO334" s="6">
        <f>B334*0.165</f>
        <v/>
      </c>
      <c r="AP334" s="6">
        <f>MAX(0,AL334-AM334-AO334)</f>
        <v/>
      </c>
      <c r="AQ334" s="6">
        <f>IF(AP334&lt;=490,0,IF(AP334&lt;=600,(AP334-490)*0.05,IF(AP334&lt;=730,5.5+(AP334-600)*0.10,IF(AP334&lt;=3896.67,18.5+(AP334-730)*0.175,IF(AP334&lt;=19896.67,572.67+(AP334-3896.67)*0.25,IF(AP334&lt;=50416.67,4572.67+(AP334-19896.67)*0.30,13728.67+(AP334-50416.67)*0.35))))))</f>
        <v/>
      </c>
      <c r="AR334" s="6">
        <f>SUM(AM334,AQ334,W334,X334,Y334,Z334,AA334,AN334,AO334)</f>
        <v/>
      </c>
      <c r="AS334" s="6">
        <f>AL334-AR334</f>
        <v/>
      </c>
      <c r="AT334" s="6">
        <f>AB334-AC334</f>
        <v/>
      </c>
    </row>
    <row r="335">
      <c r="A335" s="2" t="n"/>
      <c r="B335" s="3" t="n"/>
      <c r="C335" s="4" t="n"/>
      <c r="D335" s="5" t="n"/>
      <c r="E335" s="3" t="n"/>
      <c r="F335" s="4" t="n"/>
      <c r="G335" s="5" t="n"/>
      <c r="H335" s="3" t="n"/>
      <c r="I335" s="4" t="n"/>
      <c r="J335" s="5" t="n"/>
      <c r="K335" s="3" t="n"/>
      <c r="L335" s="4" t="n"/>
      <c r="M335" s="5" t="n"/>
      <c r="N335" s="3" t="n"/>
      <c r="O335" s="4" t="n"/>
      <c r="P335" s="5" t="n"/>
      <c r="Q335" s="3" t="n"/>
      <c r="R335" s="4" t="n"/>
      <c r="S335" s="5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6">
        <f>IF(C335=0,0,IF(E335="",B335*D335/100,E335))</f>
        <v/>
      </c>
      <c r="AE335" s="6">
        <f>IF(F335=0,0,IF(H335="",B335*G335/100,H335))</f>
        <v/>
      </c>
      <c r="AF335" s="6">
        <f>IF(I335=0,0,IF(K335="",B335*J335/100,K335))</f>
        <v/>
      </c>
      <c r="AG335" s="6">
        <f>IF(L335=0,0,IF(N335="",B335*M335/100,N335))</f>
        <v/>
      </c>
      <c r="AH335" s="6">
        <f>IF(O335=0,0,IF(Q335="",B335*P335/100,Q335))</f>
        <v/>
      </c>
      <c r="AI335" s="6">
        <f>IF(R335=0,0,IF(T335="",B335*S335/100,T335))</f>
        <v/>
      </c>
      <c r="AJ335" s="6">
        <f>B335*0.035</f>
        <v/>
      </c>
      <c r="AK335" s="6">
        <f>B335*0.065</f>
        <v/>
      </c>
      <c r="AL335" s="6">
        <f>SUM(B335,AD335,AE335,AF335,AG335,AH335,AI335,U335,V335,AJ335,AK335)</f>
        <v/>
      </c>
      <c r="AM335" s="6">
        <f>B335*0.055</f>
        <v/>
      </c>
      <c r="AN335" s="6">
        <f>B335*0.035</f>
        <v/>
      </c>
      <c r="AO335" s="6">
        <f>B335*0.165</f>
        <v/>
      </c>
      <c r="AP335" s="6">
        <f>MAX(0,AL335-AM335-AO335)</f>
        <v/>
      </c>
      <c r="AQ335" s="6">
        <f>IF(AP335&lt;=490,0,IF(AP335&lt;=600,(AP335-490)*0.05,IF(AP335&lt;=730,5.5+(AP335-600)*0.10,IF(AP335&lt;=3896.67,18.5+(AP335-730)*0.175,IF(AP335&lt;=19896.67,572.67+(AP335-3896.67)*0.25,IF(AP335&lt;=50416.67,4572.67+(AP335-19896.67)*0.30,13728.67+(AP335-50416.67)*0.35))))))</f>
        <v/>
      </c>
      <c r="AR335" s="6">
        <f>SUM(AM335,AQ335,W335,X335,Y335,Z335,AA335,AN335,AO335)</f>
        <v/>
      </c>
      <c r="AS335" s="6">
        <f>AL335-AR335</f>
        <v/>
      </c>
      <c r="AT335" s="6">
        <f>AB335-AC335</f>
        <v/>
      </c>
    </row>
    <row r="336">
      <c r="A336" s="2" t="n"/>
      <c r="B336" s="3" t="n"/>
      <c r="C336" s="4" t="n"/>
      <c r="D336" s="5" t="n"/>
      <c r="E336" s="3" t="n"/>
      <c r="F336" s="4" t="n"/>
      <c r="G336" s="5" t="n"/>
      <c r="H336" s="3" t="n"/>
      <c r="I336" s="4" t="n"/>
      <c r="J336" s="5" t="n"/>
      <c r="K336" s="3" t="n"/>
      <c r="L336" s="4" t="n"/>
      <c r="M336" s="5" t="n"/>
      <c r="N336" s="3" t="n"/>
      <c r="O336" s="4" t="n"/>
      <c r="P336" s="5" t="n"/>
      <c r="Q336" s="3" t="n"/>
      <c r="R336" s="4" t="n"/>
      <c r="S336" s="5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6">
        <f>IF(C336=0,0,IF(E336="",B336*D336/100,E336))</f>
        <v/>
      </c>
      <c r="AE336" s="6">
        <f>IF(F336=0,0,IF(H336="",B336*G336/100,H336))</f>
        <v/>
      </c>
      <c r="AF336" s="6">
        <f>IF(I336=0,0,IF(K336="",B336*J336/100,K336))</f>
        <v/>
      </c>
      <c r="AG336" s="6">
        <f>IF(L336=0,0,IF(N336="",B336*M336/100,N336))</f>
        <v/>
      </c>
      <c r="AH336" s="6">
        <f>IF(O336=0,0,IF(Q336="",B336*P336/100,Q336))</f>
        <v/>
      </c>
      <c r="AI336" s="6">
        <f>IF(R336=0,0,IF(T336="",B336*S336/100,T336))</f>
        <v/>
      </c>
      <c r="AJ336" s="6">
        <f>B336*0.035</f>
        <v/>
      </c>
      <c r="AK336" s="6">
        <f>B336*0.065</f>
        <v/>
      </c>
      <c r="AL336" s="6">
        <f>SUM(B336,AD336,AE336,AF336,AG336,AH336,AI336,U336,V336,AJ336,AK336)</f>
        <v/>
      </c>
      <c r="AM336" s="6">
        <f>B336*0.055</f>
        <v/>
      </c>
      <c r="AN336" s="6">
        <f>B336*0.035</f>
        <v/>
      </c>
      <c r="AO336" s="6">
        <f>B336*0.165</f>
        <v/>
      </c>
      <c r="AP336" s="6">
        <f>MAX(0,AL336-AM336-AO336)</f>
        <v/>
      </c>
      <c r="AQ336" s="6">
        <f>IF(AP336&lt;=490,0,IF(AP336&lt;=600,(AP336-490)*0.05,IF(AP336&lt;=730,5.5+(AP336-600)*0.10,IF(AP336&lt;=3896.67,18.5+(AP336-730)*0.175,IF(AP336&lt;=19896.67,572.67+(AP336-3896.67)*0.25,IF(AP336&lt;=50416.67,4572.67+(AP336-19896.67)*0.30,13728.67+(AP336-50416.67)*0.35))))))</f>
        <v/>
      </c>
      <c r="AR336" s="6">
        <f>SUM(AM336,AQ336,W336,X336,Y336,Z336,AA336,AN336,AO336)</f>
        <v/>
      </c>
      <c r="AS336" s="6">
        <f>AL336-AR336</f>
        <v/>
      </c>
      <c r="AT336" s="6">
        <f>AB336-AC336</f>
        <v/>
      </c>
    </row>
    <row r="337">
      <c r="A337" s="2" t="n"/>
      <c r="B337" s="3" t="n"/>
      <c r="C337" s="4" t="n"/>
      <c r="D337" s="5" t="n"/>
      <c r="E337" s="3" t="n"/>
      <c r="F337" s="4" t="n"/>
      <c r="G337" s="5" t="n"/>
      <c r="H337" s="3" t="n"/>
      <c r="I337" s="4" t="n"/>
      <c r="J337" s="5" t="n"/>
      <c r="K337" s="3" t="n"/>
      <c r="L337" s="4" t="n"/>
      <c r="M337" s="5" t="n"/>
      <c r="N337" s="3" t="n"/>
      <c r="O337" s="4" t="n"/>
      <c r="P337" s="5" t="n"/>
      <c r="Q337" s="3" t="n"/>
      <c r="R337" s="4" t="n"/>
      <c r="S337" s="5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6">
        <f>IF(C337=0,0,IF(E337="",B337*D337/100,E337))</f>
        <v/>
      </c>
      <c r="AE337" s="6">
        <f>IF(F337=0,0,IF(H337="",B337*G337/100,H337))</f>
        <v/>
      </c>
      <c r="AF337" s="6">
        <f>IF(I337=0,0,IF(K337="",B337*J337/100,K337))</f>
        <v/>
      </c>
      <c r="AG337" s="6">
        <f>IF(L337=0,0,IF(N337="",B337*M337/100,N337))</f>
        <v/>
      </c>
      <c r="AH337" s="6">
        <f>IF(O337=0,0,IF(Q337="",B337*P337/100,Q337))</f>
        <v/>
      </c>
      <c r="AI337" s="6">
        <f>IF(R337=0,0,IF(T337="",B337*S337/100,T337))</f>
        <v/>
      </c>
      <c r="AJ337" s="6">
        <f>B337*0.035</f>
        <v/>
      </c>
      <c r="AK337" s="6">
        <f>B337*0.065</f>
        <v/>
      </c>
      <c r="AL337" s="6">
        <f>SUM(B337,AD337,AE337,AF337,AG337,AH337,AI337,U337,V337,AJ337,AK337)</f>
        <v/>
      </c>
      <c r="AM337" s="6">
        <f>B337*0.055</f>
        <v/>
      </c>
      <c r="AN337" s="6">
        <f>B337*0.035</f>
        <v/>
      </c>
      <c r="AO337" s="6">
        <f>B337*0.165</f>
        <v/>
      </c>
      <c r="AP337" s="6">
        <f>MAX(0,AL337-AM337-AO337)</f>
        <v/>
      </c>
      <c r="AQ337" s="6">
        <f>IF(AP337&lt;=490,0,IF(AP337&lt;=600,(AP337-490)*0.05,IF(AP337&lt;=730,5.5+(AP337-600)*0.10,IF(AP337&lt;=3896.67,18.5+(AP337-730)*0.175,IF(AP337&lt;=19896.67,572.67+(AP337-3896.67)*0.25,IF(AP337&lt;=50416.67,4572.67+(AP337-19896.67)*0.30,13728.67+(AP337-50416.67)*0.35))))))</f>
        <v/>
      </c>
      <c r="AR337" s="6">
        <f>SUM(AM337,AQ337,W337,X337,Y337,Z337,AA337,AN337,AO337)</f>
        <v/>
      </c>
      <c r="AS337" s="6">
        <f>AL337-AR337</f>
        <v/>
      </c>
      <c r="AT337" s="6">
        <f>AB337-AC337</f>
        <v/>
      </c>
    </row>
    <row r="338">
      <c r="A338" s="2" t="n"/>
      <c r="B338" s="3" t="n"/>
      <c r="C338" s="4" t="n"/>
      <c r="D338" s="5" t="n"/>
      <c r="E338" s="3" t="n"/>
      <c r="F338" s="4" t="n"/>
      <c r="G338" s="5" t="n"/>
      <c r="H338" s="3" t="n"/>
      <c r="I338" s="4" t="n"/>
      <c r="J338" s="5" t="n"/>
      <c r="K338" s="3" t="n"/>
      <c r="L338" s="4" t="n"/>
      <c r="M338" s="5" t="n"/>
      <c r="N338" s="3" t="n"/>
      <c r="O338" s="4" t="n"/>
      <c r="P338" s="5" t="n"/>
      <c r="Q338" s="3" t="n"/>
      <c r="R338" s="4" t="n"/>
      <c r="S338" s="5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6">
        <f>IF(C338=0,0,IF(E338="",B338*D338/100,E338))</f>
        <v/>
      </c>
      <c r="AE338" s="6">
        <f>IF(F338=0,0,IF(H338="",B338*G338/100,H338))</f>
        <v/>
      </c>
      <c r="AF338" s="6">
        <f>IF(I338=0,0,IF(K338="",B338*J338/100,K338))</f>
        <v/>
      </c>
      <c r="AG338" s="6">
        <f>IF(L338=0,0,IF(N338="",B338*M338/100,N338))</f>
        <v/>
      </c>
      <c r="AH338" s="6">
        <f>IF(O338=0,0,IF(Q338="",B338*P338/100,Q338))</f>
        <v/>
      </c>
      <c r="AI338" s="6">
        <f>IF(R338=0,0,IF(T338="",B338*S338/100,T338))</f>
        <v/>
      </c>
      <c r="AJ338" s="6">
        <f>B338*0.035</f>
        <v/>
      </c>
      <c r="AK338" s="6">
        <f>B338*0.065</f>
        <v/>
      </c>
      <c r="AL338" s="6">
        <f>SUM(B338,AD338,AE338,AF338,AG338,AH338,AI338,U338,V338,AJ338,AK338)</f>
        <v/>
      </c>
      <c r="AM338" s="6">
        <f>B338*0.055</f>
        <v/>
      </c>
      <c r="AN338" s="6">
        <f>B338*0.035</f>
        <v/>
      </c>
      <c r="AO338" s="6">
        <f>B338*0.165</f>
        <v/>
      </c>
      <c r="AP338" s="6">
        <f>MAX(0,AL338-AM338-AO338)</f>
        <v/>
      </c>
      <c r="AQ338" s="6">
        <f>IF(AP338&lt;=490,0,IF(AP338&lt;=600,(AP338-490)*0.05,IF(AP338&lt;=730,5.5+(AP338-600)*0.10,IF(AP338&lt;=3896.67,18.5+(AP338-730)*0.175,IF(AP338&lt;=19896.67,572.67+(AP338-3896.67)*0.25,IF(AP338&lt;=50416.67,4572.67+(AP338-19896.67)*0.30,13728.67+(AP338-50416.67)*0.35))))))</f>
        <v/>
      </c>
      <c r="AR338" s="6">
        <f>SUM(AM338,AQ338,W338,X338,Y338,Z338,AA338,AN338,AO338)</f>
        <v/>
      </c>
      <c r="AS338" s="6">
        <f>AL338-AR338</f>
        <v/>
      </c>
      <c r="AT338" s="6">
        <f>AB338-AC338</f>
        <v/>
      </c>
    </row>
    <row r="339">
      <c r="A339" s="2" t="n"/>
      <c r="B339" s="3" t="n"/>
      <c r="C339" s="4" t="n"/>
      <c r="D339" s="5" t="n"/>
      <c r="E339" s="3" t="n"/>
      <c r="F339" s="4" t="n"/>
      <c r="G339" s="5" t="n"/>
      <c r="H339" s="3" t="n"/>
      <c r="I339" s="4" t="n"/>
      <c r="J339" s="5" t="n"/>
      <c r="K339" s="3" t="n"/>
      <c r="L339" s="4" t="n"/>
      <c r="M339" s="5" t="n"/>
      <c r="N339" s="3" t="n"/>
      <c r="O339" s="4" t="n"/>
      <c r="P339" s="5" t="n"/>
      <c r="Q339" s="3" t="n"/>
      <c r="R339" s="4" t="n"/>
      <c r="S339" s="5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6">
        <f>IF(C339=0,0,IF(E339="",B339*D339/100,E339))</f>
        <v/>
      </c>
      <c r="AE339" s="6">
        <f>IF(F339=0,0,IF(H339="",B339*G339/100,H339))</f>
        <v/>
      </c>
      <c r="AF339" s="6">
        <f>IF(I339=0,0,IF(K339="",B339*J339/100,K339))</f>
        <v/>
      </c>
      <c r="AG339" s="6">
        <f>IF(L339=0,0,IF(N339="",B339*M339/100,N339))</f>
        <v/>
      </c>
      <c r="AH339" s="6">
        <f>IF(O339=0,0,IF(Q339="",B339*P339/100,Q339))</f>
        <v/>
      </c>
      <c r="AI339" s="6">
        <f>IF(R339=0,0,IF(T339="",B339*S339/100,T339))</f>
        <v/>
      </c>
      <c r="AJ339" s="6">
        <f>B339*0.035</f>
        <v/>
      </c>
      <c r="AK339" s="6">
        <f>B339*0.065</f>
        <v/>
      </c>
      <c r="AL339" s="6">
        <f>SUM(B339,AD339,AE339,AF339,AG339,AH339,AI339,U339,V339,AJ339,AK339)</f>
        <v/>
      </c>
      <c r="AM339" s="6">
        <f>B339*0.055</f>
        <v/>
      </c>
      <c r="AN339" s="6">
        <f>B339*0.035</f>
        <v/>
      </c>
      <c r="AO339" s="6">
        <f>B339*0.165</f>
        <v/>
      </c>
      <c r="AP339" s="6">
        <f>MAX(0,AL339-AM339-AO339)</f>
        <v/>
      </c>
      <c r="AQ339" s="6">
        <f>IF(AP339&lt;=490,0,IF(AP339&lt;=600,(AP339-490)*0.05,IF(AP339&lt;=730,5.5+(AP339-600)*0.10,IF(AP339&lt;=3896.67,18.5+(AP339-730)*0.175,IF(AP339&lt;=19896.67,572.67+(AP339-3896.67)*0.25,IF(AP339&lt;=50416.67,4572.67+(AP339-19896.67)*0.30,13728.67+(AP339-50416.67)*0.35))))))</f>
        <v/>
      </c>
      <c r="AR339" s="6">
        <f>SUM(AM339,AQ339,W339,X339,Y339,Z339,AA339,AN339,AO339)</f>
        <v/>
      </c>
      <c r="AS339" s="6">
        <f>AL339-AR339</f>
        <v/>
      </c>
      <c r="AT339" s="6">
        <f>AB339-AC339</f>
        <v/>
      </c>
    </row>
    <row r="340">
      <c r="A340" s="2" t="n"/>
      <c r="B340" s="3" t="n"/>
      <c r="C340" s="4" t="n"/>
      <c r="D340" s="5" t="n"/>
      <c r="E340" s="3" t="n"/>
      <c r="F340" s="4" t="n"/>
      <c r="G340" s="5" t="n"/>
      <c r="H340" s="3" t="n"/>
      <c r="I340" s="4" t="n"/>
      <c r="J340" s="5" t="n"/>
      <c r="K340" s="3" t="n"/>
      <c r="L340" s="4" t="n"/>
      <c r="M340" s="5" t="n"/>
      <c r="N340" s="3" t="n"/>
      <c r="O340" s="4" t="n"/>
      <c r="P340" s="5" t="n"/>
      <c r="Q340" s="3" t="n"/>
      <c r="R340" s="4" t="n"/>
      <c r="S340" s="5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6">
        <f>IF(C340=0,0,IF(E340="",B340*D340/100,E340))</f>
        <v/>
      </c>
      <c r="AE340" s="6">
        <f>IF(F340=0,0,IF(H340="",B340*G340/100,H340))</f>
        <v/>
      </c>
      <c r="AF340" s="6">
        <f>IF(I340=0,0,IF(K340="",B340*J340/100,K340))</f>
        <v/>
      </c>
      <c r="AG340" s="6">
        <f>IF(L340=0,0,IF(N340="",B340*M340/100,N340))</f>
        <v/>
      </c>
      <c r="AH340" s="6">
        <f>IF(O340=0,0,IF(Q340="",B340*P340/100,Q340))</f>
        <v/>
      </c>
      <c r="AI340" s="6">
        <f>IF(R340=0,0,IF(T340="",B340*S340/100,T340))</f>
        <v/>
      </c>
      <c r="AJ340" s="6">
        <f>B340*0.035</f>
        <v/>
      </c>
      <c r="AK340" s="6">
        <f>B340*0.065</f>
        <v/>
      </c>
      <c r="AL340" s="6">
        <f>SUM(B340,AD340,AE340,AF340,AG340,AH340,AI340,U340,V340,AJ340,AK340)</f>
        <v/>
      </c>
      <c r="AM340" s="6">
        <f>B340*0.055</f>
        <v/>
      </c>
      <c r="AN340" s="6">
        <f>B340*0.035</f>
        <v/>
      </c>
      <c r="AO340" s="6">
        <f>B340*0.165</f>
        <v/>
      </c>
      <c r="AP340" s="6">
        <f>MAX(0,AL340-AM340-AO340)</f>
        <v/>
      </c>
      <c r="AQ340" s="6">
        <f>IF(AP340&lt;=490,0,IF(AP340&lt;=600,(AP340-490)*0.05,IF(AP340&lt;=730,5.5+(AP340-600)*0.10,IF(AP340&lt;=3896.67,18.5+(AP340-730)*0.175,IF(AP340&lt;=19896.67,572.67+(AP340-3896.67)*0.25,IF(AP340&lt;=50416.67,4572.67+(AP340-19896.67)*0.30,13728.67+(AP340-50416.67)*0.35))))))</f>
        <v/>
      </c>
      <c r="AR340" s="6">
        <f>SUM(AM340,AQ340,W340,X340,Y340,Z340,AA340,AN340,AO340)</f>
        <v/>
      </c>
      <c r="AS340" s="6">
        <f>AL340-AR340</f>
        <v/>
      </c>
      <c r="AT340" s="6">
        <f>AB340-AC340</f>
        <v/>
      </c>
    </row>
    <row r="341">
      <c r="A341" s="2" t="n"/>
      <c r="B341" s="3" t="n"/>
      <c r="C341" s="4" t="n"/>
      <c r="D341" s="5" t="n"/>
      <c r="E341" s="3" t="n"/>
      <c r="F341" s="4" t="n"/>
      <c r="G341" s="5" t="n"/>
      <c r="H341" s="3" t="n"/>
      <c r="I341" s="4" t="n"/>
      <c r="J341" s="5" t="n"/>
      <c r="K341" s="3" t="n"/>
      <c r="L341" s="4" t="n"/>
      <c r="M341" s="5" t="n"/>
      <c r="N341" s="3" t="n"/>
      <c r="O341" s="4" t="n"/>
      <c r="P341" s="5" t="n"/>
      <c r="Q341" s="3" t="n"/>
      <c r="R341" s="4" t="n"/>
      <c r="S341" s="5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6">
        <f>IF(C341=0,0,IF(E341="",B341*D341/100,E341))</f>
        <v/>
      </c>
      <c r="AE341" s="6">
        <f>IF(F341=0,0,IF(H341="",B341*G341/100,H341))</f>
        <v/>
      </c>
      <c r="AF341" s="6">
        <f>IF(I341=0,0,IF(K341="",B341*J341/100,K341))</f>
        <v/>
      </c>
      <c r="AG341" s="6">
        <f>IF(L341=0,0,IF(N341="",B341*M341/100,N341))</f>
        <v/>
      </c>
      <c r="AH341" s="6">
        <f>IF(O341=0,0,IF(Q341="",B341*P341/100,Q341))</f>
        <v/>
      </c>
      <c r="AI341" s="6">
        <f>IF(R341=0,0,IF(T341="",B341*S341/100,T341))</f>
        <v/>
      </c>
      <c r="AJ341" s="6">
        <f>B341*0.035</f>
        <v/>
      </c>
      <c r="AK341" s="6">
        <f>B341*0.065</f>
        <v/>
      </c>
      <c r="AL341" s="6">
        <f>SUM(B341,AD341,AE341,AF341,AG341,AH341,AI341,U341,V341,AJ341,AK341)</f>
        <v/>
      </c>
      <c r="AM341" s="6">
        <f>B341*0.055</f>
        <v/>
      </c>
      <c r="AN341" s="6">
        <f>B341*0.035</f>
        <v/>
      </c>
      <c r="AO341" s="6">
        <f>B341*0.165</f>
        <v/>
      </c>
      <c r="AP341" s="6">
        <f>MAX(0,AL341-AM341-AO341)</f>
        <v/>
      </c>
      <c r="AQ341" s="6">
        <f>IF(AP341&lt;=490,0,IF(AP341&lt;=600,(AP341-490)*0.05,IF(AP341&lt;=730,5.5+(AP341-600)*0.10,IF(AP341&lt;=3896.67,18.5+(AP341-730)*0.175,IF(AP341&lt;=19896.67,572.67+(AP341-3896.67)*0.25,IF(AP341&lt;=50416.67,4572.67+(AP341-19896.67)*0.30,13728.67+(AP341-50416.67)*0.35))))))</f>
        <v/>
      </c>
      <c r="AR341" s="6">
        <f>SUM(AM341,AQ341,W341,X341,Y341,Z341,AA341,AN341,AO341)</f>
        <v/>
      </c>
      <c r="AS341" s="6">
        <f>AL341-AR341</f>
        <v/>
      </c>
      <c r="AT341" s="6">
        <f>AB341-AC341</f>
        <v/>
      </c>
    </row>
    <row r="342">
      <c r="A342" s="2" t="n"/>
      <c r="B342" s="3" t="n"/>
      <c r="C342" s="4" t="n"/>
      <c r="D342" s="5" t="n"/>
      <c r="E342" s="3" t="n"/>
      <c r="F342" s="4" t="n"/>
      <c r="G342" s="5" t="n"/>
      <c r="H342" s="3" t="n"/>
      <c r="I342" s="4" t="n"/>
      <c r="J342" s="5" t="n"/>
      <c r="K342" s="3" t="n"/>
      <c r="L342" s="4" t="n"/>
      <c r="M342" s="5" t="n"/>
      <c r="N342" s="3" t="n"/>
      <c r="O342" s="4" t="n"/>
      <c r="P342" s="5" t="n"/>
      <c r="Q342" s="3" t="n"/>
      <c r="R342" s="4" t="n"/>
      <c r="S342" s="5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6">
        <f>IF(C342=0,0,IF(E342="",B342*D342/100,E342))</f>
        <v/>
      </c>
      <c r="AE342" s="6">
        <f>IF(F342=0,0,IF(H342="",B342*G342/100,H342))</f>
        <v/>
      </c>
      <c r="AF342" s="6">
        <f>IF(I342=0,0,IF(K342="",B342*J342/100,K342))</f>
        <v/>
      </c>
      <c r="AG342" s="6">
        <f>IF(L342=0,0,IF(N342="",B342*M342/100,N342))</f>
        <v/>
      </c>
      <c r="AH342" s="6">
        <f>IF(O342=0,0,IF(Q342="",B342*P342/100,Q342))</f>
        <v/>
      </c>
      <c r="AI342" s="6">
        <f>IF(R342=0,0,IF(T342="",B342*S342/100,T342))</f>
        <v/>
      </c>
      <c r="AJ342" s="6">
        <f>B342*0.035</f>
        <v/>
      </c>
      <c r="AK342" s="6">
        <f>B342*0.065</f>
        <v/>
      </c>
      <c r="AL342" s="6">
        <f>SUM(B342,AD342,AE342,AF342,AG342,AH342,AI342,U342,V342,AJ342,AK342)</f>
        <v/>
      </c>
      <c r="AM342" s="6">
        <f>B342*0.055</f>
        <v/>
      </c>
      <c r="AN342" s="6">
        <f>B342*0.035</f>
        <v/>
      </c>
      <c r="AO342" s="6">
        <f>B342*0.165</f>
        <v/>
      </c>
      <c r="AP342" s="6">
        <f>MAX(0,AL342-AM342-AO342)</f>
        <v/>
      </c>
      <c r="AQ342" s="6">
        <f>IF(AP342&lt;=490,0,IF(AP342&lt;=600,(AP342-490)*0.05,IF(AP342&lt;=730,5.5+(AP342-600)*0.10,IF(AP342&lt;=3896.67,18.5+(AP342-730)*0.175,IF(AP342&lt;=19896.67,572.67+(AP342-3896.67)*0.25,IF(AP342&lt;=50416.67,4572.67+(AP342-19896.67)*0.30,13728.67+(AP342-50416.67)*0.35))))))</f>
        <v/>
      </c>
      <c r="AR342" s="6">
        <f>SUM(AM342,AQ342,W342,X342,Y342,Z342,AA342,AN342,AO342)</f>
        <v/>
      </c>
      <c r="AS342" s="6">
        <f>AL342-AR342</f>
        <v/>
      </c>
      <c r="AT342" s="6">
        <f>AB342-AC342</f>
        <v/>
      </c>
    </row>
    <row r="343">
      <c r="A343" s="2" t="n"/>
      <c r="B343" s="3" t="n"/>
      <c r="C343" s="4" t="n"/>
      <c r="D343" s="5" t="n"/>
      <c r="E343" s="3" t="n"/>
      <c r="F343" s="4" t="n"/>
      <c r="G343" s="5" t="n"/>
      <c r="H343" s="3" t="n"/>
      <c r="I343" s="4" t="n"/>
      <c r="J343" s="5" t="n"/>
      <c r="K343" s="3" t="n"/>
      <c r="L343" s="4" t="n"/>
      <c r="M343" s="5" t="n"/>
      <c r="N343" s="3" t="n"/>
      <c r="O343" s="4" t="n"/>
      <c r="P343" s="5" t="n"/>
      <c r="Q343" s="3" t="n"/>
      <c r="R343" s="4" t="n"/>
      <c r="S343" s="5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6">
        <f>IF(C343=0,0,IF(E343="",B343*D343/100,E343))</f>
        <v/>
      </c>
      <c r="AE343" s="6">
        <f>IF(F343=0,0,IF(H343="",B343*G343/100,H343))</f>
        <v/>
      </c>
      <c r="AF343" s="6">
        <f>IF(I343=0,0,IF(K343="",B343*J343/100,K343))</f>
        <v/>
      </c>
      <c r="AG343" s="6">
        <f>IF(L343=0,0,IF(N343="",B343*M343/100,N343))</f>
        <v/>
      </c>
      <c r="AH343" s="6">
        <f>IF(O343=0,0,IF(Q343="",B343*P343/100,Q343))</f>
        <v/>
      </c>
      <c r="AI343" s="6">
        <f>IF(R343=0,0,IF(T343="",B343*S343/100,T343))</f>
        <v/>
      </c>
      <c r="AJ343" s="6">
        <f>B343*0.035</f>
        <v/>
      </c>
      <c r="AK343" s="6">
        <f>B343*0.065</f>
        <v/>
      </c>
      <c r="AL343" s="6">
        <f>SUM(B343,AD343,AE343,AF343,AG343,AH343,AI343,U343,V343,AJ343,AK343)</f>
        <v/>
      </c>
      <c r="AM343" s="6">
        <f>B343*0.055</f>
        <v/>
      </c>
      <c r="AN343" s="6">
        <f>B343*0.035</f>
        <v/>
      </c>
      <c r="AO343" s="6">
        <f>B343*0.165</f>
        <v/>
      </c>
      <c r="AP343" s="6">
        <f>MAX(0,AL343-AM343-AO343)</f>
        <v/>
      </c>
      <c r="AQ343" s="6">
        <f>IF(AP343&lt;=490,0,IF(AP343&lt;=600,(AP343-490)*0.05,IF(AP343&lt;=730,5.5+(AP343-600)*0.10,IF(AP343&lt;=3896.67,18.5+(AP343-730)*0.175,IF(AP343&lt;=19896.67,572.67+(AP343-3896.67)*0.25,IF(AP343&lt;=50416.67,4572.67+(AP343-19896.67)*0.30,13728.67+(AP343-50416.67)*0.35))))))</f>
        <v/>
      </c>
      <c r="AR343" s="6">
        <f>SUM(AM343,AQ343,W343,X343,Y343,Z343,AA343,AN343,AO343)</f>
        <v/>
      </c>
      <c r="AS343" s="6">
        <f>AL343-AR343</f>
        <v/>
      </c>
      <c r="AT343" s="6">
        <f>AB343-AC343</f>
        <v/>
      </c>
    </row>
    <row r="344">
      <c r="A344" s="2" t="n"/>
      <c r="B344" s="3" t="n"/>
      <c r="C344" s="4" t="n"/>
      <c r="D344" s="5" t="n"/>
      <c r="E344" s="3" t="n"/>
      <c r="F344" s="4" t="n"/>
      <c r="G344" s="5" t="n"/>
      <c r="H344" s="3" t="n"/>
      <c r="I344" s="4" t="n"/>
      <c r="J344" s="5" t="n"/>
      <c r="K344" s="3" t="n"/>
      <c r="L344" s="4" t="n"/>
      <c r="M344" s="5" t="n"/>
      <c r="N344" s="3" t="n"/>
      <c r="O344" s="4" t="n"/>
      <c r="P344" s="5" t="n"/>
      <c r="Q344" s="3" t="n"/>
      <c r="R344" s="4" t="n"/>
      <c r="S344" s="5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6">
        <f>IF(C344=0,0,IF(E344="",B344*D344/100,E344))</f>
        <v/>
      </c>
      <c r="AE344" s="6">
        <f>IF(F344=0,0,IF(H344="",B344*G344/100,H344))</f>
        <v/>
      </c>
      <c r="AF344" s="6">
        <f>IF(I344=0,0,IF(K344="",B344*J344/100,K344))</f>
        <v/>
      </c>
      <c r="AG344" s="6">
        <f>IF(L344=0,0,IF(N344="",B344*M344/100,N344))</f>
        <v/>
      </c>
      <c r="AH344" s="6">
        <f>IF(O344=0,0,IF(Q344="",B344*P344/100,Q344))</f>
        <v/>
      </c>
      <c r="AI344" s="6">
        <f>IF(R344=0,0,IF(T344="",B344*S344/100,T344))</f>
        <v/>
      </c>
      <c r="AJ344" s="6">
        <f>B344*0.035</f>
        <v/>
      </c>
      <c r="AK344" s="6">
        <f>B344*0.065</f>
        <v/>
      </c>
      <c r="AL344" s="6">
        <f>SUM(B344,AD344,AE344,AF344,AG344,AH344,AI344,U344,V344,AJ344,AK344)</f>
        <v/>
      </c>
      <c r="AM344" s="6">
        <f>B344*0.055</f>
        <v/>
      </c>
      <c r="AN344" s="6">
        <f>B344*0.035</f>
        <v/>
      </c>
      <c r="AO344" s="6">
        <f>B344*0.165</f>
        <v/>
      </c>
      <c r="AP344" s="6">
        <f>MAX(0,AL344-AM344-AO344)</f>
        <v/>
      </c>
      <c r="AQ344" s="6">
        <f>IF(AP344&lt;=490,0,IF(AP344&lt;=600,(AP344-490)*0.05,IF(AP344&lt;=730,5.5+(AP344-600)*0.10,IF(AP344&lt;=3896.67,18.5+(AP344-730)*0.175,IF(AP344&lt;=19896.67,572.67+(AP344-3896.67)*0.25,IF(AP344&lt;=50416.67,4572.67+(AP344-19896.67)*0.30,13728.67+(AP344-50416.67)*0.35))))))</f>
        <v/>
      </c>
      <c r="AR344" s="6">
        <f>SUM(AM344,AQ344,W344,X344,Y344,Z344,AA344,AN344,AO344)</f>
        <v/>
      </c>
      <c r="AS344" s="6">
        <f>AL344-AR344</f>
        <v/>
      </c>
      <c r="AT344" s="6">
        <f>AB344-AC344</f>
        <v/>
      </c>
    </row>
    <row r="345">
      <c r="A345" s="2" t="n"/>
      <c r="B345" s="3" t="n"/>
      <c r="C345" s="4" t="n"/>
      <c r="D345" s="5" t="n"/>
      <c r="E345" s="3" t="n"/>
      <c r="F345" s="4" t="n"/>
      <c r="G345" s="5" t="n"/>
      <c r="H345" s="3" t="n"/>
      <c r="I345" s="4" t="n"/>
      <c r="J345" s="5" t="n"/>
      <c r="K345" s="3" t="n"/>
      <c r="L345" s="4" t="n"/>
      <c r="M345" s="5" t="n"/>
      <c r="N345" s="3" t="n"/>
      <c r="O345" s="4" t="n"/>
      <c r="P345" s="5" t="n"/>
      <c r="Q345" s="3" t="n"/>
      <c r="R345" s="4" t="n"/>
      <c r="S345" s="5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6">
        <f>IF(C345=0,0,IF(E345="",B345*D345/100,E345))</f>
        <v/>
      </c>
      <c r="AE345" s="6">
        <f>IF(F345=0,0,IF(H345="",B345*G345/100,H345))</f>
        <v/>
      </c>
      <c r="AF345" s="6">
        <f>IF(I345=0,0,IF(K345="",B345*J345/100,K345))</f>
        <v/>
      </c>
      <c r="AG345" s="6">
        <f>IF(L345=0,0,IF(N345="",B345*M345/100,N345))</f>
        <v/>
      </c>
      <c r="AH345" s="6">
        <f>IF(O345=0,0,IF(Q345="",B345*P345/100,Q345))</f>
        <v/>
      </c>
      <c r="AI345" s="6">
        <f>IF(R345=0,0,IF(T345="",B345*S345/100,T345))</f>
        <v/>
      </c>
      <c r="AJ345" s="6">
        <f>B345*0.035</f>
        <v/>
      </c>
      <c r="AK345" s="6">
        <f>B345*0.065</f>
        <v/>
      </c>
      <c r="AL345" s="6">
        <f>SUM(B345,AD345,AE345,AF345,AG345,AH345,AI345,U345,V345,AJ345,AK345)</f>
        <v/>
      </c>
      <c r="AM345" s="6">
        <f>B345*0.055</f>
        <v/>
      </c>
      <c r="AN345" s="6">
        <f>B345*0.035</f>
        <v/>
      </c>
      <c r="AO345" s="6">
        <f>B345*0.165</f>
        <v/>
      </c>
      <c r="AP345" s="6">
        <f>MAX(0,AL345-AM345-AO345)</f>
        <v/>
      </c>
      <c r="AQ345" s="6">
        <f>IF(AP345&lt;=490,0,IF(AP345&lt;=600,(AP345-490)*0.05,IF(AP345&lt;=730,5.5+(AP345-600)*0.10,IF(AP345&lt;=3896.67,18.5+(AP345-730)*0.175,IF(AP345&lt;=19896.67,572.67+(AP345-3896.67)*0.25,IF(AP345&lt;=50416.67,4572.67+(AP345-19896.67)*0.30,13728.67+(AP345-50416.67)*0.35))))))</f>
        <v/>
      </c>
      <c r="AR345" s="6">
        <f>SUM(AM345,AQ345,W345,X345,Y345,Z345,AA345,AN345,AO345)</f>
        <v/>
      </c>
      <c r="AS345" s="6">
        <f>AL345-AR345</f>
        <v/>
      </c>
      <c r="AT345" s="6">
        <f>AB345-AC345</f>
        <v/>
      </c>
    </row>
    <row r="346">
      <c r="A346" s="2" t="n"/>
      <c r="B346" s="3" t="n"/>
      <c r="C346" s="4" t="n"/>
      <c r="D346" s="5" t="n"/>
      <c r="E346" s="3" t="n"/>
      <c r="F346" s="4" t="n"/>
      <c r="G346" s="5" t="n"/>
      <c r="H346" s="3" t="n"/>
      <c r="I346" s="4" t="n"/>
      <c r="J346" s="5" t="n"/>
      <c r="K346" s="3" t="n"/>
      <c r="L346" s="4" t="n"/>
      <c r="M346" s="5" t="n"/>
      <c r="N346" s="3" t="n"/>
      <c r="O346" s="4" t="n"/>
      <c r="P346" s="5" t="n"/>
      <c r="Q346" s="3" t="n"/>
      <c r="R346" s="4" t="n"/>
      <c r="S346" s="5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6">
        <f>IF(C346=0,0,IF(E346="",B346*D346/100,E346))</f>
        <v/>
      </c>
      <c r="AE346" s="6">
        <f>IF(F346=0,0,IF(H346="",B346*G346/100,H346))</f>
        <v/>
      </c>
      <c r="AF346" s="6">
        <f>IF(I346=0,0,IF(K346="",B346*J346/100,K346))</f>
        <v/>
      </c>
      <c r="AG346" s="6">
        <f>IF(L346=0,0,IF(N346="",B346*M346/100,N346))</f>
        <v/>
      </c>
      <c r="AH346" s="6">
        <f>IF(O346=0,0,IF(Q346="",B346*P346/100,Q346))</f>
        <v/>
      </c>
      <c r="AI346" s="6">
        <f>IF(R346=0,0,IF(T346="",B346*S346/100,T346))</f>
        <v/>
      </c>
      <c r="AJ346" s="6">
        <f>B346*0.035</f>
        <v/>
      </c>
      <c r="AK346" s="6">
        <f>B346*0.065</f>
        <v/>
      </c>
      <c r="AL346" s="6">
        <f>SUM(B346,AD346,AE346,AF346,AG346,AH346,AI346,U346,V346,AJ346,AK346)</f>
        <v/>
      </c>
      <c r="AM346" s="6">
        <f>B346*0.055</f>
        <v/>
      </c>
      <c r="AN346" s="6">
        <f>B346*0.035</f>
        <v/>
      </c>
      <c r="AO346" s="6">
        <f>B346*0.165</f>
        <v/>
      </c>
      <c r="AP346" s="6">
        <f>MAX(0,AL346-AM346-AO346)</f>
        <v/>
      </c>
      <c r="AQ346" s="6">
        <f>IF(AP346&lt;=490,0,IF(AP346&lt;=600,(AP346-490)*0.05,IF(AP346&lt;=730,5.5+(AP346-600)*0.10,IF(AP346&lt;=3896.67,18.5+(AP346-730)*0.175,IF(AP346&lt;=19896.67,572.67+(AP346-3896.67)*0.25,IF(AP346&lt;=50416.67,4572.67+(AP346-19896.67)*0.30,13728.67+(AP346-50416.67)*0.35))))))</f>
        <v/>
      </c>
      <c r="AR346" s="6">
        <f>SUM(AM346,AQ346,W346,X346,Y346,Z346,AA346,AN346,AO346)</f>
        <v/>
      </c>
      <c r="AS346" s="6">
        <f>AL346-AR346</f>
        <v/>
      </c>
      <c r="AT346" s="6">
        <f>AB346-AC346</f>
        <v/>
      </c>
    </row>
    <row r="347">
      <c r="A347" s="2" t="n"/>
      <c r="B347" s="3" t="n"/>
      <c r="C347" s="4" t="n"/>
      <c r="D347" s="5" t="n"/>
      <c r="E347" s="3" t="n"/>
      <c r="F347" s="4" t="n"/>
      <c r="G347" s="5" t="n"/>
      <c r="H347" s="3" t="n"/>
      <c r="I347" s="4" t="n"/>
      <c r="J347" s="5" t="n"/>
      <c r="K347" s="3" t="n"/>
      <c r="L347" s="4" t="n"/>
      <c r="M347" s="5" t="n"/>
      <c r="N347" s="3" t="n"/>
      <c r="O347" s="4" t="n"/>
      <c r="P347" s="5" t="n"/>
      <c r="Q347" s="3" t="n"/>
      <c r="R347" s="4" t="n"/>
      <c r="S347" s="5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6">
        <f>IF(C347=0,0,IF(E347="",B347*D347/100,E347))</f>
        <v/>
      </c>
      <c r="AE347" s="6">
        <f>IF(F347=0,0,IF(H347="",B347*G347/100,H347))</f>
        <v/>
      </c>
      <c r="AF347" s="6">
        <f>IF(I347=0,0,IF(K347="",B347*J347/100,K347))</f>
        <v/>
      </c>
      <c r="AG347" s="6">
        <f>IF(L347=0,0,IF(N347="",B347*M347/100,N347))</f>
        <v/>
      </c>
      <c r="AH347" s="6">
        <f>IF(O347=0,0,IF(Q347="",B347*P347/100,Q347))</f>
        <v/>
      </c>
      <c r="AI347" s="6">
        <f>IF(R347=0,0,IF(T347="",B347*S347/100,T347))</f>
        <v/>
      </c>
      <c r="AJ347" s="6">
        <f>B347*0.035</f>
        <v/>
      </c>
      <c r="AK347" s="6">
        <f>B347*0.065</f>
        <v/>
      </c>
      <c r="AL347" s="6">
        <f>SUM(B347,AD347,AE347,AF347,AG347,AH347,AI347,U347,V347,AJ347,AK347)</f>
        <v/>
      </c>
      <c r="AM347" s="6">
        <f>B347*0.055</f>
        <v/>
      </c>
      <c r="AN347" s="6">
        <f>B347*0.035</f>
        <v/>
      </c>
      <c r="AO347" s="6">
        <f>B347*0.165</f>
        <v/>
      </c>
      <c r="AP347" s="6">
        <f>MAX(0,AL347-AM347-AO347)</f>
        <v/>
      </c>
      <c r="AQ347" s="6">
        <f>IF(AP347&lt;=490,0,IF(AP347&lt;=600,(AP347-490)*0.05,IF(AP347&lt;=730,5.5+(AP347-600)*0.10,IF(AP347&lt;=3896.67,18.5+(AP347-730)*0.175,IF(AP347&lt;=19896.67,572.67+(AP347-3896.67)*0.25,IF(AP347&lt;=50416.67,4572.67+(AP347-19896.67)*0.30,13728.67+(AP347-50416.67)*0.35))))))</f>
        <v/>
      </c>
      <c r="AR347" s="6">
        <f>SUM(AM347,AQ347,W347,X347,Y347,Z347,AA347,AN347,AO347)</f>
        <v/>
      </c>
      <c r="AS347" s="6">
        <f>AL347-AR347</f>
        <v/>
      </c>
      <c r="AT347" s="6">
        <f>AB347-AC347</f>
        <v/>
      </c>
    </row>
    <row r="348">
      <c r="A348" s="2" t="n"/>
      <c r="B348" s="3" t="n"/>
      <c r="C348" s="4" t="n"/>
      <c r="D348" s="5" t="n"/>
      <c r="E348" s="3" t="n"/>
      <c r="F348" s="4" t="n"/>
      <c r="G348" s="5" t="n"/>
      <c r="H348" s="3" t="n"/>
      <c r="I348" s="4" t="n"/>
      <c r="J348" s="5" t="n"/>
      <c r="K348" s="3" t="n"/>
      <c r="L348" s="4" t="n"/>
      <c r="M348" s="5" t="n"/>
      <c r="N348" s="3" t="n"/>
      <c r="O348" s="4" t="n"/>
      <c r="P348" s="5" t="n"/>
      <c r="Q348" s="3" t="n"/>
      <c r="R348" s="4" t="n"/>
      <c r="S348" s="5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6">
        <f>IF(C348=0,0,IF(E348="",B348*D348/100,E348))</f>
        <v/>
      </c>
      <c r="AE348" s="6">
        <f>IF(F348=0,0,IF(H348="",B348*G348/100,H348))</f>
        <v/>
      </c>
      <c r="AF348" s="6">
        <f>IF(I348=0,0,IF(K348="",B348*J348/100,K348))</f>
        <v/>
      </c>
      <c r="AG348" s="6">
        <f>IF(L348=0,0,IF(N348="",B348*M348/100,N348))</f>
        <v/>
      </c>
      <c r="AH348" s="6">
        <f>IF(O348=0,0,IF(Q348="",B348*P348/100,Q348))</f>
        <v/>
      </c>
      <c r="AI348" s="6">
        <f>IF(R348=0,0,IF(T348="",B348*S348/100,T348))</f>
        <v/>
      </c>
      <c r="AJ348" s="6">
        <f>B348*0.035</f>
        <v/>
      </c>
      <c r="AK348" s="6">
        <f>B348*0.065</f>
        <v/>
      </c>
      <c r="AL348" s="6">
        <f>SUM(B348,AD348,AE348,AF348,AG348,AH348,AI348,U348,V348,AJ348,AK348)</f>
        <v/>
      </c>
      <c r="AM348" s="6">
        <f>B348*0.055</f>
        <v/>
      </c>
      <c r="AN348" s="6">
        <f>B348*0.035</f>
        <v/>
      </c>
      <c r="AO348" s="6">
        <f>B348*0.165</f>
        <v/>
      </c>
      <c r="AP348" s="6">
        <f>MAX(0,AL348-AM348-AO348)</f>
        <v/>
      </c>
      <c r="AQ348" s="6">
        <f>IF(AP348&lt;=490,0,IF(AP348&lt;=600,(AP348-490)*0.05,IF(AP348&lt;=730,5.5+(AP348-600)*0.10,IF(AP348&lt;=3896.67,18.5+(AP348-730)*0.175,IF(AP348&lt;=19896.67,572.67+(AP348-3896.67)*0.25,IF(AP348&lt;=50416.67,4572.67+(AP348-19896.67)*0.30,13728.67+(AP348-50416.67)*0.35))))))</f>
        <v/>
      </c>
      <c r="AR348" s="6">
        <f>SUM(AM348,AQ348,W348,X348,Y348,Z348,AA348,AN348,AO348)</f>
        <v/>
      </c>
      <c r="AS348" s="6">
        <f>AL348-AR348</f>
        <v/>
      </c>
      <c r="AT348" s="6">
        <f>AB348-AC348</f>
        <v/>
      </c>
    </row>
    <row r="349">
      <c r="A349" s="2" t="n"/>
      <c r="B349" s="3" t="n"/>
      <c r="C349" s="4" t="n"/>
      <c r="D349" s="5" t="n"/>
      <c r="E349" s="3" t="n"/>
      <c r="F349" s="4" t="n"/>
      <c r="G349" s="5" t="n"/>
      <c r="H349" s="3" t="n"/>
      <c r="I349" s="4" t="n"/>
      <c r="J349" s="5" t="n"/>
      <c r="K349" s="3" t="n"/>
      <c r="L349" s="4" t="n"/>
      <c r="M349" s="5" t="n"/>
      <c r="N349" s="3" t="n"/>
      <c r="O349" s="4" t="n"/>
      <c r="P349" s="5" t="n"/>
      <c r="Q349" s="3" t="n"/>
      <c r="R349" s="4" t="n"/>
      <c r="S349" s="5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6">
        <f>IF(C349=0,0,IF(E349="",B349*D349/100,E349))</f>
        <v/>
      </c>
      <c r="AE349" s="6">
        <f>IF(F349=0,0,IF(H349="",B349*G349/100,H349))</f>
        <v/>
      </c>
      <c r="AF349" s="6">
        <f>IF(I349=0,0,IF(K349="",B349*J349/100,K349))</f>
        <v/>
      </c>
      <c r="AG349" s="6">
        <f>IF(L349=0,0,IF(N349="",B349*M349/100,N349))</f>
        <v/>
      </c>
      <c r="AH349" s="6">
        <f>IF(O349=0,0,IF(Q349="",B349*P349/100,Q349))</f>
        <v/>
      </c>
      <c r="AI349" s="6">
        <f>IF(R349=0,0,IF(T349="",B349*S349/100,T349))</f>
        <v/>
      </c>
      <c r="AJ349" s="6">
        <f>B349*0.035</f>
        <v/>
      </c>
      <c r="AK349" s="6">
        <f>B349*0.065</f>
        <v/>
      </c>
      <c r="AL349" s="6">
        <f>SUM(B349,AD349,AE349,AF349,AG349,AH349,AI349,U349,V349,AJ349,AK349)</f>
        <v/>
      </c>
      <c r="AM349" s="6">
        <f>B349*0.055</f>
        <v/>
      </c>
      <c r="AN349" s="6">
        <f>B349*0.035</f>
        <v/>
      </c>
      <c r="AO349" s="6">
        <f>B349*0.165</f>
        <v/>
      </c>
      <c r="AP349" s="6">
        <f>MAX(0,AL349-AM349-AO349)</f>
        <v/>
      </c>
      <c r="AQ349" s="6">
        <f>IF(AP349&lt;=490,0,IF(AP349&lt;=600,(AP349-490)*0.05,IF(AP349&lt;=730,5.5+(AP349-600)*0.10,IF(AP349&lt;=3896.67,18.5+(AP349-730)*0.175,IF(AP349&lt;=19896.67,572.67+(AP349-3896.67)*0.25,IF(AP349&lt;=50416.67,4572.67+(AP349-19896.67)*0.30,13728.67+(AP349-50416.67)*0.35))))))</f>
        <v/>
      </c>
      <c r="AR349" s="6">
        <f>SUM(AM349,AQ349,W349,X349,Y349,Z349,AA349,AN349,AO349)</f>
        <v/>
      </c>
      <c r="AS349" s="6">
        <f>AL349-AR349</f>
        <v/>
      </c>
      <c r="AT349" s="6">
        <f>AB349-AC349</f>
        <v/>
      </c>
    </row>
    <row r="350">
      <c r="A350" s="2" t="n"/>
      <c r="B350" s="3" t="n"/>
      <c r="C350" s="4" t="n"/>
      <c r="D350" s="5" t="n"/>
      <c r="E350" s="3" t="n"/>
      <c r="F350" s="4" t="n"/>
      <c r="G350" s="5" t="n"/>
      <c r="H350" s="3" t="n"/>
      <c r="I350" s="4" t="n"/>
      <c r="J350" s="5" t="n"/>
      <c r="K350" s="3" t="n"/>
      <c r="L350" s="4" t="n"/>
      <c r="M350" s="5" t="n"/>
      <c r="N350" s="3" t="n"/>
      <c r="O350" s="4" t="n"/>
      <c r="P350" s="5" t="n"/>
      <c r="Q350" s="3" t="n"/>
      <c r="R350" s="4" t="n"/>
      <c r="S350" s="5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6">
        <f>IF(C350=0,0,IF(E350="",B350*D350/100,E350))</f>
        <v/>
      </c>
      <c r="AE350" s="6">
        <f>IF(F350=0,0,IF(H350="",B350*G350/100,H350))</f>
        <v/>
      </c>
      <c r="AF350" s="6">
        <f>IF(I350=0,0,IF(K350="",B350*J350/100,K350))</f>
        <v/>
      </c>
      <c r="AG350" s="6">
        <f>IF(L350=0,0,IF(N350="",B350*M350/100,N350))</f>
        <v/>
      </c>
      <c r="AH350" s="6">
        <f>IF(O350=0,0,IF(Q350="",B350*P350/100,Q350))</f>
        <v/>
      </c>
      <c r="AI350" s="6">
        <f>IF(R350=0,0,IF(T350="",B350*S350/100,T350))</f>
        <v/>
      </c>
      <c r="AJ350" s="6">
        <f>B350*0.035</f>
        <v/>
      </c>
      <c r="AK350" s="6">
        <f>B350*0.065</f>
        <v/>
      </c>
      <c r="AL350" s="6">
        <f>SUM(B350,AD350,AE350,AF350,AG350,AH350,AI350,U350,V350,AJ350,AK350)</f>
        <v/>
      </c>
      <c r="AM350" s="6">
        <f>B350*0.055</f>
        <v/>
      </c>
      <c r="AN350" s="6">
        <f>B350*0.035</f>
        <v/>
      </c>
      <c r="AO350" s="6">
        <f>B350*0.165</f>
        <v/>
      </c>
      <c r="AP350" s="6">
        <f>MAX(0,AL350-AM350-AO350)</f>
        <v/>
      </c>
      <c r="AQ350" s="6">
        <f>IF(AP350&lt;=490,0,IF(AP350&lt;=600,(AP350-490)*0.05,IF(AP350&lt;=730,5.5+(AP350-600)*0.10,IF(AP350&lt;=3896.67,18.5+(AP350-730)*0.175,IF(AP350&lt;=19896.67,572.67+(AP350-3896.67)*0.25,IF(AP350&lt;=50416.67,4572.67+(AP350-19896.67)*0.30,13728.67+(AP350-50416.67)*0.35))))))</f>
        <v/>
      </c>
      <c r="AR350" s="6">
        <f>SUM(AM350,AQ350,W350,X350,Y350,Z350,AA350,AN350,AO350)</f>
        <v/>
      </c>
      <c r="AS350" s="6">
        <f>AL350-AR350</f>
        <v/>
      </c>
      <c r="AT350" s="6">
        <f>AB350-AC350</f>
        <v/>
      </c>
    </row>
    <row r="351">
      <c r="A351" s="2" t="n"/>
      <c r="B351" s="3" t="n"/>
      <c r="C351" s="4" t="n"/>
      <c r="D351" s="5" t="n"/>
      <c r="E351" s="3" t="n"/>
      <c r="F351" s="4" t="n"/>
      <c r="G351" s="5" t="n"/>
      <c r="H351" s="3" t="n"/>
      <c r="I351" s="4" t="n"/>
      <c r="J351" s="5" t="n"/>
      <c r="K351" s="3" t="n"/>
      <c r="L351" s="4" t="n"/>
      <c r="M351" s="5" t="n"/>
      <c r="N351" s="3" t="n"/>
      <c r="O351" s="4" t="n"/>
      <c r="P351" s="5" t="n"/>
      <c r="Q351" s="3" t="n"/>
      <c r="R351" s="4" t="n"/>
      <c r="S351" s="5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6">
        <f>IF(C351=0,0,IF(E351="",B351*D351/100,E351))</f>
        <v/>
      </c>
      <c r="AE351" s="6">
        <f>IF(F351=0,0,IF(H351="",B351*G351/100,H351))</f>
        <v/>
      </c>
      <c r="AF351" s="6">
        <f>IF(I351=0,0,IF(K351="",B351*J351/100,K351))</f>
        <v/>
      </c>
      <c r="AG351" s="6">
        <f>IF(L351=0,0,IF(N351="",B351*M351/100,N351))</f>
        <v/>
      </c>
      <c r="AH351" s="6">
        <f>IF(O351=0,0,IF(Q351="",B351*P351/100,Q351))</f>
        <v/>
      </c>
      <c r="AI351" s="6">
        <f>IF(R351=0,0,IF(T351="",B351*S351/100,T351))</f>
        <v/>
      </c>
      <c r="AJ351" s="6">
        <f>B351*0.035</f>
        <v/>
      </c>
      <c r="AK351" s="6">
        <f>B351*0.065</f>
        <v/>
      </c>
      <c r="AL351" s="6">
        <f>SUM(B351,AD351,AE351,AF351,AG351,AH351,AI351,U351,V351,AJ351,AK351)</f>
        <v/>
      </c>
      <c r="AM351" s="6">
        <f>B351*0.055</f>
        <v/>
      </c>
      <c r="AN351" s="6">
        <f>B351*0.035</f>
        <v/>
      </c>
      <c r="AO351" s="6">
        <f>B351*0.165</f>
        <v/>
      </c>
      <c r="AP351" s="6">
        <f>MAX(0,AL351-AM351-AO351)</f>
        <v/>
      </c>
      <c r="AQ351" s="6">
        <f>IF(AP351&lt;=490,0,IF(AP351&lt;=600,(AP351-490)*0.05,IF(AP351&lt;=730,5.5+(AP351-600)*0.10,IF(AP351&lt;=3896.67,18.5+(AP351-730)*0.175,IF(AP351&lt;=19896.67,572.67+(AP351-3896.67)*0.25,IF(AP351&lt;=50416.67,4572.67+(AP351-19896.67)*0.30,13728.67+(AP351-50416.67)*0.35))))))</f>
        <v/>
      </c>
      <c r="AR351" s="6">
        <f>SUM(AM351,AQ351,W351,X351,Y351,Z351,AA351,AN351,AO351)</f>
        <v/>
      </c>
      <c r="AS351" s="6">
        <f>AL351-AR351</f>
        <v/>
      </c>
      <c r="AT351" s="6">
        <f>AB351-AC351</f>
        <v/>
      </c>
    </row>
    <row r="352">
      <c r="A352" s="2" t="n"/>
      <c r="B352" s="3" t="n"/>
      <c r="C352" s="4" t="n"/>
      <c r="D352" s="5" t="n"/>
      <c r="E352" s="3" t="n"/>
      <c r="F352" s="4" t="n"/>
      <c r="G352" s="5" t="n"/>
      <c r="H352" s="3" t="n"/>
      <c r="I352" s="4" t="n"/>
      <c r="J352" s="5" t="n"/>
      <c r="K352" s="3" t="n"/>
      <c r="L352" s="4" t="n"/>
      <c r="M352" s="5" t="n"/>
      <c r="N352" s="3" t="n"/>
      <c r="O352" s="4" t="n"/>
      <c r="P352" s="5" t="n"/>
      <c r="Q352" s="3" t="n"/>
      <c r="R352" s="4" t="n"/>
      <c r="S352" s="5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6">
        <f>IF(C352=0,0,IF(E352="",B352*D352/100,E352))</f>
        <v/>
      </c>
      <c r="AE352" s="6">
        <f>IF(F352=0,0,IF(H352="",B352*G352/100,H352))</f>
        <v/>
      </c>
      <c r="AF352" s="6">
        <f>IF(I352=0,0,IF(K352="",B352*J352/100,K352))</f>
        <v/>
      </c>
      <c r="AG352" s="6">
        <f>IF(L352=0,0,IF(N352="",B352*M352/100,N352))</f>
        <v/>
      </c>
      <c r="AH352" s="6">
        <f>IF(O352=0,0,IF(Q352="",B352*P352/100,Q352))</f>
        <v/>
      </c>
      <c r="AI352" s="6">
        <f>IF(R352=0,0,IF(T352="",B352*S352/100,T352))</f>
        <v/>
      </c>
      <c r="AJ352" s="6">
        <f>B352*0.035</f>
        <v/>
      </c>
      <c r="AK352" s="6">
        <f>B352*0.065</f>
        <v/>
      </c>
      <c r="AL352" s="6">
        <f>SUM(B352,AD352,AE352,AF352,AG352,AH352,AI352,U352,V352,AJ352,AK352)</f>
        <v/>
      </c>
      <c r="AM352" s="6">
        <f>B352*0.055</f>
        <v/>
      </c>
      <c r="AN352" s="6">
        <f>B352*0.035</f>
        <v/>
      </c>
      <c r="AO352" s="6">
        <f>B352*0.165</f>
        <v/>
      </c>
      <c r="AP352" s="6">
        <f>MAX(0,AL352-AM352-AO352)</f>
        <v/>
      </c>
      <c r="AQ352" s="6">
        <f>IF(AP352&lt;=490,0,IF(AP352&lt;=600,(AP352-490)*0.05,IF(AP352&lt;=730,5.5+(AP352-600)*0.10,IF(AP352&lt;=3896.67,18.5+(AP352-730)*0.175,IF(AP352&lt;=19896.67,572.67+(AP352-3896.67)*0.25,IF(AP352&lt;=50416.67,4572.67+(AP352-19896.67)*0.30,13728.67+(AP352-50416.67)*0.35))))))</f>
        <v/>
      </c>
      <c r="AR352" s="6">
        <f>SUM(AM352,AQ352,W352,X352,Y352,Z352,AA352,AN352,AO352)</f>
        <v/>
      </c>
      <c r="AS352" s="6">
        <f>AL352-AR352</f>
        <v/>
      </c>
      <c r="AT352" s="6">
        <f>AB352-AC352</f>
        <v/>
      </c>
    </row>
    <row r="353">
      <c r="A353" s="2" t="n"/>
      <c r="B353" s="3" t="n"/>
      <c r="C353" s="4" t="n"/>
      <c r="D353" s="5" t="n"/>
      <c r="E353" s="3" t="n"/>
      <c r="F353" s="4" t="n"/>
      <c r="G353" s="5" t="n"/>
      <c r="H353" s="3" t="n"/>
      <c r="I353" s="4" t="n"/>
      <c r="J353" s="5" t="n"/>
      <c r="K353" s="3" t="n"/>
      <c r="L353" s="4" t="n"/>
      <c r="M353" s="5" t="n"/>
      <c r="N353" s="3" t="n"/>
      <c r="O353" s="4" t="n"/>
      <c r="P353" s="5" t="n"/>
      <c r="Q353" s="3" t="n"/>
      <c r="R353" s="4" t="n"/>
      <c r="S353" s="5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6">
        <f>IF(C353=0,0,IF(E353="",B353*D353/100,E353))</f>
        <v/>
      </c>
      <c r="AE353" s="6">
        <f>IF(F353=0,0,IF(H353="",B353*G353/100,H353))</f>
        <v/>
      </c>
      <c r="AF353" s="6">
        <f>IF(I353=0,0,IF(K353="",B353*J353/100,K353))</f>
        <v/>
      </c>
      <c r="AG353" s="6">
        <f>IF(L353=0,0,IF(N353="",B353*M353/100,N353))</f>
        <v/>
      </c>
      <c r="AH353" s="6">
        <f>IF(O353=0,0,IF(Q353="",B353*P353/100,Q353))</f>
        <v/>
      </c>
      <c r="AI353" s="6">
        <f>IF(R353=0,0,IF(T353="",B353*S353/100,T353))</f>
        <v/>
      </c>
      <c r="AJ353" s="6">
        <f>B353*0.035</f>
        <v/>
      </c>
      <c r="AK353" s="6">
        <f>B353*0.065</f>
        <v/>
      </c>
      <c r="AL353" s="6">
        <f>SUM(B353,AD353,AE353,AF353,AG353,AH353,AI353,U353,V353,AJ353,AK353)</f>
        <v/>
      </c>
      <c r="AM353" s="6">
        <f>B353*0.055</f>
        <v/>
      </c>
      <c r="AN353" s="6">
        <f>B353*0.035</f>
        <v/>
      </c>
      <c r="AO353" s="6">
        <f>B353*0.165</f>
        <v/>
      </c>
      <c r="AP353" s="6">
        <f>MAX(0,AL353-AM353-AO353)</f>
        <v/>
      </c>
      <c r="AQ353" s="6">
        <f>IF(AP353&lt;=490,0,IF(AP353&lt;=600,(AP353-490)*0.05,IF(AP353&lt;=730,5.5+(AP353-600)*0.10,IF(AP353&lt;=3896.67,18.5+(AP353-730)*0.175,IF(AP353&lt;=19896.67,572.67+(AP353-3896.67)*0.25,IF(AP353&lt;=50416.67,4572.67+(AP353-19896.67)*0.30,13728.67+(AP353-50416.67)*0.35))))))</f>
        <v/>
      </c>
      <c r="AR353" s="6">
        <f>SUM(AM353,AQ353,W353,X353,Y353,Z353,AA353,AN353,AO353)</f>
        <v/>
      </c>
      <c r="AS353" s="6">
        <f>AL353-AR353</f>
        <v/>
      </c>
      <c r="AT353" s="6">
        <f>AB353-AC353</f>
        <v/>
      </c>
    </row>
    <row r="354">
      <c r="A354" s="2" t="n"/>
      <c r="B354" s="3" t="n"/>
      <c r="C354" s="4" t="n"/>
      <c r="D354" s="5" t="n"/>
      <c r="E354" s="3" t="n"/>
      <c r="F354" s="4" t="n"/>
      <c r="G354" s="5" t="n"/>
      <c r="H354" s="3" t="n"/>
      <c r="I354" s="4" t="n"/>
      <c r="J354" s="5" t="n"/>
      <c r="K354" s="3" t="n"/>
      <c r="L354" s="4" t="n"/>
      <c r="M354" s="5" t="n"/>
      <c r="N354" s="3" t="n"/>
      <c r="O354" s="4" t="n"/>
      <c r="P354" s="5" t="n"/>
      <c r="Q354" s="3" t="n"/>
      <c r="R354" s="4" t="n"/>
      <c r="S354" s="5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6">
        <f>IF(C354=0,0,IF(E354="",B354*D354/100,E354))</f>
        <v/>
      </c>
      <c r="AE354" s="6">
        <f>IF(F354=0,0,IF(H354="",B354*G354/100,H354))</f>
        <v/>
      </c>
      <c r="AF354" s="6">
        <f>IF(I354=0,0,IF(K354="",B354*J354/100,K354))</f>
        <v/>
      </c>
      <c r="AG354" s="6">
        <f>IF(L354=0,0,IF(N354="",B354*M354/100,N354))</f>
        <v/>
      </c>
      <c r="AH354" s="6">
        <f>IF(O354=0,0,IF(Q354="",B354*P354/100,Q354))</f>
        <v/>
      </c>
      <c r="AI354" s="6">
        <f>IF(R354=0,0,IF(T354="",B354*S354/100,T354))</f>
        <v/>
      </c>
      <c r="AJ354" s="6">
        <f>B354*0.035</f>
        <v/>
      </c>
      <c r="AK354" s="6">
        <f>B354*0.065</f>
        <v/>
      </c>
      <c r="AL354" s="6">
        <f>SUM(B354,AD354,AE354,AF354,AG354,AH354,AI354,U354,V354,AJ354,AK354)</f>
        <v/>
      </c>
      <c r="AM354" s="6">
        <f>B354*0.055</f>
        <v/>
      </c>
      <c r="AN354" s="6">
        <f>B354*0.035</f>
        <v/>
      </c>
      <c r="AO354" s="6">
        <f>B354*0.165</f>
        <v/>
      </c>
      <c r="AP354" s="6">
        <f>MAX(0,AL354-AM354-AO354)</f>
        <v/>
      </c>
      <c r="AQ354" s="6">
        <f>IF(AP354&lt;=490,0,IF(AP354&lt;=600,(AP354-490)*0.05,IF(AP354&lt;=730,5.5+(AP354-600)*0.10,IF(AP354&lt;=3896.67,18.5+(AP354-730)*0.175,IF(AP354&lt;=19896.67,572.67+(AP354-3896.67)*0.25,IF(AP354&lt;=50416.67,4572.67+(AP354-19896.67)*0.30,13728.67+(AP354-50416.67)*0.35))))))</f>
        <v/>
      </c>
      <c r="AR354" s="6">
        <f>SUM(AM354,AQ354,W354,X354,Y354,Z354,AA354,AN354,AO354)</f>
        <v/>
      </c>
      <c r="AS354" s="6">
        <f>AL354-AR354</f>
        <v/>
      </c>
      <c r="AT354" s="6">
        <f>AB354-AC354</f>
        <v/>
      </c>
    </row>
    <row r="355">
      <c r="A355" s="2" t="n"/>
      <c r="B355" s="3" t="n"/>
      <c r="C355" s="4" t="n"/>
      <c r="D355" s="5" t="n"/>
      <c r="E355" s="3" t="n"/>
      <c r="F355" s="4" t="n"/>
      <c r="G355" s="5" t="n"/>
      <c r="H355" s="3" t="n"/>
      <c r="I355" s="4" t="n"/>
      <c r="J355" s="5" t="n"/>
      <c r="K355" s="3" t="n"/>
      <c r="L355" s="4" t="n"/>
      <c r="M355" s="5" t="n"/>
      <c r="N355" s="3" t="n"/>
      <c r="O355" s="4" t="n"/>
      <c r="P355" s="5" t="n"/>
      <c r="Q355" s="3" t="n"/>
      <c r="R355" s="4" t="n"/>
      <c r="S355" s="5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6">
        <f>IF(C355=0,0,IF(E355="",B355*D355/100,E355))</f>
        <v/>
      </c>
      <c r="AE355" s="6">
        <f>IF(F355=0,0,IF(H355="",B355*G355/100,H355))</f>
        <v/>
      </c>
      <c r="AF355" s="6">
        <f>IF(I355=0,0,IF(K355="",B355*J355/100,K355))</f>
        <v/>
      </c>
      <c r="AG355" s="6">
        <f>IF(L355=0,0,IF(N355="",B355*M355/100,N355))</f>
        <v/>
      </c>
      <c r="AH355" s="6">
        <f>IF(O355=0,0,IF(Q355="",B355*P355/100,Q355))</f>
        <v/>
      </c>
      <c r="AI355" s="6">
        <f>IF(R355=0,0,IF(T355="",B355*S355/100,T355))</f>
        <v/>
      </c>
      <c r="AJ355" s="6">
        <f>B355*0.035</f>
        <v/>
      </c>
      <c r="AK355" s="6">
        <f>B355*0.065</f>
        <v/>
      </c>
      <c r="AL355" s="6">
        <f>SUM(B355,AD355,AE355,AF355,AG355,AH355,AI355,U355,V355,AJ355,AK355)</f>
        <v/>
      </c>
      <c r="AM355" s="6">
        <f>B355*0.055</f>
        <v/>
      </c>
      <c r="AN355" s="6">
        <f>B355*0.035</f>
        <v/>
      </c>
      <c r="AO355" s="6">
        <f>B355*0.165</f>
        <v/>
      </c>
      <c r="AP355" s="6">
        <f>MAX(0,AL355-AM355-AO355)</f>
        <v/>
      </c>
      <c r="AQ355" s="6">
        <f>IF(AP355&lt;=490,0,IF(AP355&lt;=600,(AP355-490)*0.05,IF(AP355&lt;=730,5.5+(AP355-600)*0.10,IF(AP355&lt;=3896.67,18.5+(AP355-730)*0.175,IF(AP355&lt;=19896.67,572.67+(AP355-3896.67)*0.25,IF(AP355&lt;=50416.67,4572.67+(AP355-19896.67)*0.30,13728.67+(AP355-50416.67)*0.35))))))</f>
        <v/>
      </c>
      <c r="AR355" s="6">
        <f>SUM(AM355,AQ355,W355,X355,Y355,Z355,AA355,AN355,AO355)</f>
        <v/>
      </c>
      <c r="AS355" s="6">
        <f>AL355-AR355</f>
        <v/>
      </c>
      <c r="AT355" s="6">
        <f>AB355-AC355</f>
        <v/>
      </c>
    </row>
    <row r="356">
      <c r="A356" s="2" t="n"/>
      <c r="B356" s="3" t="n"/>
      <c r="C356" s="4" t="n"/>
      <c r="D356" s="5" t="n"/>
      <c r="E356" s="3" t="n"/>
      <c r="F356" s="4" t="n"/>
      <c r="G356" s="5" t="n"/>
      <c r="H356" s="3" t="n"/>
      <c r="I356" s="4" t="n"/>
      <c r="J356" s="5" t="n"/>
      <c r="K356" s="3" t="n"/>
      <c r="L356" s="4" t="n"/>
      <c r="M356" s="5" t="n"/>
      <c r="N356" s="3" t="n"/>
      <c r="O356" s="4" t="n"/>
      <c r="P356" s="5" t="n"/>
      <c r="Q356" s="3" t="n"/>
      <c r="R356" s="4" t="n"/>
      <c r="S356" s="5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6">
        <f>IF(C356=0,0,IF(E356="",B356*D356/100,E356))</f>
        <v/>
      </c>
      <c r="AE356" s="6">
        <f>IF(F356=0,0,IF(H356="",B356*G356/100,H356))</f>
        <v/>
      </c>
      <c r="AF356" s="6">
        <f>IF(I356=0,0,IF(K356="",B356*J356/100,K356))</f>
        <v/>
      </c>
      <c r="AG356" s="6">
        <f>IF(L356=0,0,IF(N356="",B356*M356/100,N356))</f>
        <v/>
      </c>
      <c r="AH356" s="6">
        <f>IF(O356=0,0,IF(Q356="",B356*P356/100,Q356))</f>
        <v/>
      </c>
      <c r="AI356" s="6">
        <f>IF(R356=0,0,IF(T356="",B356*S356/100,T356))</f>
        <v/>
      </c>
      <c r="AJ356" s="6">
        <f>B356*0.035</f>
        <v/>
      </c>
      <c r="AK356" s="6">
        <f>B356*0.065</f>
        <v/>
      </c>
      <c r="AL356" s="6">
        <f>SUM(B356,AD356,AE356,AF356,AG356,AH356,AI356,U356,V356,AJ356,AK356)</f>
        <v/>
      </c>
      <c r="AM356" s="6">
        <f>B356*0.055</f>
        <v/>
      </c>
      <c r="AN356" s="6">
        <f>B356*0.035</f>
        <v/>
      </c>
      <c r="AO356" s="6">
        <f>B356*0.165</f>
        <v/>
      </c>
      <c r="AP356" s="6">
        <f>MAX(0,AL356-AM356-AO356)</f>
        <v/>
      </c>
      <c r="AQ356" s="6">
        <f>IF(AP356&lt;=490,0,IF(AP356&lt;=600,(AP356-490)*0.05,IF(AP356&lt;=730,5.5+(AP356-600)*0.10,IF(AP356&lt;=3896.67,18.5+(AP356-730)*0.175,IF(AP356&lt;=19896.67,572.67+(AP356-3896.67)*0.25,IF(AP356&lt;=50416.67,4572.67+(AP356-19896.67)*0.30,13728.67+(AP356-50416.67)*0.35))))))</f>
        <v/>
      </c>
      <c r="AR356" s="6">
        <f>SUM(AM356,AQ356,W356,X356,Y356,Z356,AA356,AN356,AO356)</f>
        <v/>
      </c>
      <c r="AS356" s="6">
        <f>AL356-AR356</f>
        <v/>
      </c>
      <c r="AT356" s="6">
        <f>AB356-AC356</f>
        <v/>
      </c>
    </row>
    <row r="357">
      <c r="A357" s="2" t="n"/>
      <c r="B357" s="3" t="n"/>
      <c r="C357" s="4" t="n"/>
      <c r="D357" s="5" t="n"/>
      <c r="E357" s="3" t="n"/>
      <c r="F357" s="4" t="n"/>
      <c r="G357" s="5" t="n"/>
      <c r="H357" s="3" t="n"/>
      <c r="I357" s="4" t="n"/>
      <c r="J357" s="5" t="n"/>
      <c r="K357" s="3" t="n"/>
      <c r="L357" s="4" t="n"/>
      <c r="M357" s="5" t="n"/>
      <c r="N357" s="3" t="n"/>
      <c r="O357" s="4" t="n"/>
      <c r="P357" s="5" t="n"/>
      <c r="Q357" s="3" t="n"/>
      <c r="R357" s="4" t="n"/>
      <c r="S357" s="5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6">
        <f>IF(C357=0,0,IF(E357="",B357*D357/100,E357))</f>
        <v/>
      </c>
      <c r="AE357" s="6">
        <f>IF(F357=0,0,IF(H357="",B357*G357/100,H357))</f>
        <v/>
      </c>
      <c r="AF357" s="6">
        <f>IF(I357=0,0,IF(K357="",B357*J357/100,K357))</f>
        <v/>
      </c>
      <c r="AG357" s="6">
        <f>IF(L357=0,0,IF(N357="",B357*M357/100,N357))</f>
        <v/>
      </c>
      <c r="AH357" s="6">
        <f>IF(O357=0,0,IF(Q357="",B357*P357/100,Q357))</f>
        <v/>
      </c>
      <c r="AI357" s="6">
        <f>IF(R357=0,0,IF(T357="",B357*S357/100,T357))</f>
        <v/>
      </c>
      <c r="AJ357" s="6">
        <f>B357*0.035</f>
        <v/>
      </c>
      <c r="AK357" s="6">
        <f>B357*0.065</f>
        <v/>
      </c>
      <c r="AL357" s="6">
        <f>SUM(B357,AD357,AE357,AF357,AG357,AH357,AI357,U357,V357,AJ357,AK357)</f>
        <v/>
      </c>
      <c r="AM357" s="6">
        <f>B357*0.055</f>
        <v/>
      </c>
      <c r="AN357" s="6">
        <f>B357*0.035</f>
        <v/>
      </c>
      <c r="AO357" s="6">
        <f>B357*0.165</f>
        <v/>
      </c>
      <c r="AP357" s="6">
        <f>MAX(0,AL357-AM357-AO357)</f>
        <v/>
      </c>
      <c r="AQ357" s="6">
        <f>IF(AP357&lt;=490,0,IF(AP357&lt;=600,(AP357-490)*0.05,IF(AP357&lt;=730,5.5+(AP357-600)*0.10,IF(AP357&lt;=3896.67,18.5+(AP357-730)*0.175,IF(AP357&lt;=19896.67,572.67+(AP357-3896.67)*0.25,IF(AP357&lt;=50416.67,4572.67+(AP357-19896.67)*0.30,13728.67+(AP357-50416.67)*0.35))))))</f>
        <v/>
      </c>
      <c r="AR357" s="6">
        <f>SUM(AM357,AQ357,W357,X357,Y357,Z357,AA357,AN357,AO357)</f>
        <v/>
      </c>
      <c r="AS357" s="6">
        <f>AL357-AR357</f>
        <v/>
      </c>
      <c r="AT357" s="6">
        <f>AB357-AC357</f>
        <v/>
      </c>
    </row>
    <row r="358">
      <c r="A358" s="2" t="n"/>
      <c r="B358" s="3" t="n"/>
      <c r="C358" s="4" t="n"/>
      <c r="D358" s="5" t="n"/>
      <c r="E358" s="3" t="n"/>
      <c r="F358" s="4" t="n"/>
      <c r="G358" s="5" t="n"/>
      <c r="H358" s="3" t="n"/>
      <c r="I358" s="4" t="n"/>
      <c r="J358" s="5" t="n"/>
      <c r="K358" s="3" t="n"/>
      <c r="L358" s="4" t="n"/>
      <c r="M358" s="5" t="n"/>
      <c r="N358" s="3" t="n"/>
      <c r="O358" s="4" t="n"/>
      <c r="P358" s="5" t="n"/>
      <c r="Q358" s="3" t="n"/>
      <c r="R358" s="4" t="n"/>
      <c r="S358" s="5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6">
        <f>IF(C358=0,0,IF(E358="",B358*D358/100,E358))</f>
        <v/>
      </c>
      <c r="AE358" s="6">
        <f>IF(F358=0,0,IF(H358="",B358*G358/100,H358))</f>
        <v/>
      </c>
      <c r="AF358" s="6">
        <f>IF(I358=0,0,IF(K358="",B358*J358/100,K358))</f>
        <v/>
      </c>
      <c r="AG358" s="6">
        <f>IF(L358=0,0,IF(N358="",B358*M358/100,N358))</f>
        <v/>
      </c>
      <c r="AH358" s="6">
        <f>IF(O358=0,0,IF(Q358="",B358*P358/100,Q358))</f>
        <v/>
      </c>
      <c r="AI358" s="6">
        <f>IF(R358=0,0,IF(T358="",B358*S358/100,T358))</f>
        <v/>
      </c>
      <c r="AJ358" s="6">
        <f>B358*0.035</f>
        <v/>
      </c>
      <c r="AK358" s="6">
        <f>B358*0.065</f>
        <v/>
      </c>
      <c r="AL358" s="6">
        <f>SUM(B358,AD358,AE358,AF358,AG358,AH358,AI358,U358,V358,AJ358,AK358)</f>
        <v/>
      </c>
      <c r="AM358" s="6">
        <f>B358*0.055</f>
        <v/>
      </c>
      <c r="AN358" s="6">
        <f>B358*0.035</f>
        <v/>
      </c>
      <c r="AO358" s="6">
        <f>B358*0.165</f>
        <v/>
      </c>
      <c r="AP358" s="6">
        <f>MAX(0,AL358-AM358-AO358)</f>
        <v/>
      </c>
      <c r="AQ358" s="6">
        <f>IF(AP358&lt;=490,0,IF(AP358&lt;=600,(AP358-490)*0.05,IF(AP358&lt;=730,5.5+(AP358-600)*0.10,IF(AP358&lt;=3896.67,18.5+(AP358-730)*0.175,IF(AP358&lt;=19896.67,572.67+(AP358-3896.67)*0.25,IF(AP358&lt;=50416.67,4572.67+(AP358-19896.67)*0.30,13728.67+(AP358-50416.67)*0.35))))))</f>
        <v/>
      </c>
      <c r="AR358" s="6">
        <f>SUM(AM358,AQ358,W358,X358,Y358,Z358,AA358,AN358,AO358)</f>
        <v/>
      </c>
      <c r="AS358" s="6">
        <f>AL358-AR358</f>
        <v/>
      </c>
      <c r="AT358" s="6">
        <f>AB358-AC358</f>
        <v/>
      </c>
    </row>
    <row r="359">
      <c r="A359" s="2" t="n"/>
      <c r="B359" s="3" t="n"/>
      <c r="C359" s="4" t="n"/>
      <c r="D359" s="5" t="n"/>
      <c r="E359" s="3" t="n"/>
      <c r="F359" s="4" t="n"/>
      <c r="G359" s="5" t="n"/>
      <c r="H359" s="3" t="n"/>
      <c r="I359" s="4" t="n"/>
      <c r="J359" s="5" t="n"/>
      <c r="K359" s="3" t="n"/>
      <c r="L359" s="4" t="n"/>
      <c r="M359" s="5" t="n"/>
      <c r="N359" s="3" t="n"/>
      <c r="O359" s="4" t="n"/>
      <c r="P359" s="5" t="n"/>
      <c r="Q359" s="3" t="n"/>
      <c r="R359" s="4" t="n"/>
      <c r="S359" s="5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6">
        <f>IF(C359=0,0,IF(E359="",B359*D359/100,E359))</f>
        <v/>
      </c>
      <c r="AE359" s="6">
        <f>IF(F359=0,0,IF(H359="",B359*G359/100,H359))</f>
        <v/>
      </c>
      <c r="AF359" s="6">
        <f>IF(I359=0,0,IF(K359="",B359*J359/100,K359))</f>
        <v/>
      </c>
      <c r="AG359" s="6">
        <f>IF(L359=0,0,IF(N359="",B359*M359/100,N359))</f>
        <v/>
      </c>
      <c r="AH359" s="6">
        <f>IF(O359=0,0,IF(Q359="",B359*P359/100,Q359))</f>
        <v/>
      </c>
      <c r="AI359" s="6">
        <f>IF(R359=0,0,IF(T359="",B359*S359/100,T359))</f>
        <v/>
      </c>
      <c r="AJ359" s="6">
        <f>B359*0.035</f>
        <v/>
      </c>
      <c r="AK359" s="6">
        <f>B359*0.065</f>
        <v/>
      </c>
      <c r="AL359" s="6">
        <f>SUM(B359,AD359,AE359,AF359,AG359,AH359,AI359,U359,V359,AJ359,AK359)</f>
        <v/>
      </c>
      <c r="AM359" s="6">
        <f>B359*0.055</f>
        <v/>
      </c>
      <c r="AN359" s="6">
        <f>B359*0.035</f>
        <v/>
      </c>
      <c r="AO359" s="6">
        <f>B359*0.165</f>
        <v/>
      </c>
      <c r="AP359" s="6">
        <f>MAX(0,AL359-AM359-AO359)</f>
        <v/>
      </c>
      <c r="AQ359" s="6">
        <f>IF(AP359&lt;=490,0,IF(AP359&lt;=600,(AP359-490)*0.05,IF(AP359&lt;=730,5.5+(AP359-600)*0.10,IF(AP359&lt;=3896.67,18.5+(AP359-730)*0.175,IF(AP359&lt;=19896.67,572.67+(AP359-3896.67)*0.25,IF(AP359&lt;=50416.67,4572.67+(AP359-19896.67)*0.30,13728.67+(AP359-50416.67)*0.35))))))</f>
        <v/>
      </c>
      <c r="AR359" s="6">
        <f>SUM(AM359,AQ359,W359,X359,Y359,Z359,AA359,AN359,AO359)</f>
        <v/>
      </c>
      <c r="AS359" s="6">
        <f>AL359-AR359</f>
        <v/>
      </c>
      <c r="AT359" s="6">
        <f>AB359-AC359</f>
        <v/>
      </c>
    </row>
    <row r="360">
      <c r="A360" s="2" t="n"/>
      <c r="B360" s="3" t="n"/>
      <c r="C360" s="4" t="n"/>
      <c r="D360" s="5" t="n"/>
      <c r="E360" s="3" t="n"/>
      <c r="F360" s="4" t="n"/>
      <c r="G360" s="5" t="n"/>
      <c r="H360" s="3" t="n"/>
      <c r="I360" s="4" t="n"/>
      <c r="J360" s="5" t="n"/>
      <c r="K360" s="3" t="n"/>
      <c r="L360" s="4" t="n"/>
      <c r="M360" s="5" t="n"/>
      <c r="N360" s="3" t="n"/>
      <c r="O360" s="4" t="n"/>
      <c r="P360" s="5" t="n"/>
      <c r="Q360" s="3" t="n"/>
      <c r="R360" s="4" t="n"/>
      <c r="S360" s="5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6">
        <f>IF(C360=0,0,IF(E360="",B360*D360/100,E360))</f>
        <v/>
      </c>
      <c r="AE360" s="6">
        <f>IF(F360=0,0,IF(H360="",B360*G360/100,H360))</f>
        <v/>
      </c>
      <c r="AF360" s="6">
        <f>IF(I360=0,0,IF(K360="",B360*J360/100,K360))</f>
        <v/>
      </c>
      <c r="AG360" s="6">
        <f>IF(L360=0,0,IF(N360="",B360*M360/100,N360))</f>
        <v/>
      </c>
      <c r="AH360" s="6">
        <f>IF(O360=0,0,IF(Q360="",B360*P360/100,Q360))</f>
        <v/>
      </c>
      <c r="AI360" s="6">
        <f>IF(R360=0,0,IF(T360="",B360*S360/100,T360))</f>
        <v/>
      </c>
      <c r="AJ360" s="6">
        <f>B360*0.035</f>
        <v/>
      </c>
      <c r="AK360" s="6">
        <f>B360*0.065</f>
        <v/>
      </c>
      <c r="AL360" s="6">
        <f>SUM(B360,AD360,AE360,AF360,AG360,AH360,AI360,U360,V360,AJ360,AK360)</f>
        <v/>
      </c>
      <c r="AM360" s="6">
        <f>B360*0.055</f>
        <v/>
      </c>
      <c r="AN360" s="6">
        <f>B360*0.035</f>
        <v/>
      </c>
      <c r="AO360" s="6">
        <f>B360*0.165</f>
        <v/>
      </c>
      <c r="AP360" s="6">
        <f>MAX(0,AL360-AM360-AO360)</f>
        <v/>
      </c>
      <c r="AQ360" s="6">
        <f>IF(AP360&lt;=490,0,IF(AP360&lt;=600,(AP360-490)*0.05,IF(AP360&lt;=730,5.5+(AP360-600)*0.10,IF(AP360&lt;=3896.67,18.5+(AP360-730)*0.175,IF(AP360&lt;=19896.67,572.67+(AP360-3896.67)*0.25,IF(AP360&lt;=50416.67,4572.67+(AP360-19896.67)*0.30,13728.67+(AP360-50416.67)*0.35))))))</f>
        <v/>
      </c>
      <c r="AR360" s="6">
        <f>SUM(AM360,AQ360,W360,X360,Y360,Z360,AA360,AN360,AO360)</f>
        <v/>
      </c>
      <c r="AS360" s="6">
        <f>AL360-AR360</f>
        <v/>
      </c>
      <c r="AT360" s="6">
        <f>AB360-AC360</f>
        <v/>
      </c>
    </row>
    <row r="361">
      <c r="A361" s="2" t="n"/>
      <c r="B361" s="3" t="n"/>
      <c r="C361" s="4" t="n"/>
      <c r="D361" s="5" t="n"/>
      <c r="E361" s="3" t="n"/>
      <c r="F361" s="4" t="n"/>
      <c r="G361" s="5" t="n"/>
      <c r="H361" s="3" t="n"/>
      <c r="I361" s="4" t="n"/>
      <c r="J361" s="5" t="n"/>
      <c r="K361" s="3" t="n"/>
      <c r="L361" s="4" t="n"/>
      <c r="M361" s="5" t="n"/>
      <c r="N361" s="3" t="n"/>
      <c r="O361" s="4" t="n"/>
      <c r="P361" s="5" t="n"/>
      <c r="Q361" s="3" t="n"/>
      <c r="R361" s="4" t="n"/>
      <c r="S361" s="5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6">
        <f>IF(C361=0,0,IF(E361="",B361*D361/100,E361))</f>
        <v/>
      </c>
      <c r="AE361" s="6">
        <f>IF(F361=0,0,IF(H361="",B361*G361/100,H361))</f>
        <v/>
      </c>
      <c r="AF361" s="6">
        <f>IF(I361=0,0,IF(K361="",B361*J361/100,K361))</f>
        <v/>
      </c>
      <c r="AG361" s="6">
        <f>IF(L361=0,0,IF(N361="",B361*M361/100,N361))</f>
        <v/>
      </c>
      <c r="AH361" s="6">
        <f>IF(O361=0,0,IF(Q361="",B361*P361/100,Q361))</f>
        <v/>
      </c>
      <c r="AI361" s="6">
        <f>IF(R361=0,0,IF(T361="",B361*S361/100,T361))</f>
        <v/>
      </c>
      <c r="AJ361" s="6">
        <f>B361*0.035</f>
        <v/>
      </c>
      <c r="AK361" s="6">
        <f>B361*0.065</f>
        <v/>
      </c>
      <c r="AL361" s="6">
        <f>SUM(B361,AD361,AE361,AF361,AG361,AH361,AI361,U361,V361,AJ361,AK361)</f>
        <v/>
      </c>
      <c r="AM361" s="6">
        <f>B361*0.055</f>
        <v/>
      </c>
      <c r="AN361" s="6">
        <f>B361*0.035</f>
        <v/>
      </c>
      <c r="AO361" s="6">
        <f>B361*0.165</f>
        <v/>
      </c>
      <c r="AP361" s="6">
        <f>MAX(0,AL361-AM361-AO361)</f>
        <v/>
      </c>
      <c r="AQ361" s="6">
        <f>IF(AP361&lt;=490,0,IF(AP361&lt;=600,(AP361-490)*0.05,IF(AP361&lt;=730,5.5+(AP361-600)*0.10,IF(AP361&lt;=3896.67,18.5+(AP361-730)*0.175,IF(AP361&lt;=19896.67,572.67+(AP361-3896.67)*0.25,IF(AP361&lt;=50416.67,4572.67+(AP361-19896.67)*0.30,13728.67+(AP361-50416.67)*0.35))))))</f>
        <v/>
      </c>
      <c r="AR361" s="6">
        <f>SUM(AM361,AQ361,W361,X361,Y361,Z361,AA361,AN361,AO361)</f>
        <v/>
      </c>
      <c r="AS361" s="6">
        <f>AL361-AR361</f>
        <v/>
      </c>
      <c r="AT361" s="6">
        <f>AB361-AC361</f>
        <v/>
      </c>
    </row>
    <row r="362">
      <c r="A362" s="2" t="n"/>
      <c r="B362" s="3" t="n"/>
      <c r="C362" s="4" t="n"/>
      <c r="D362" s="5" t="n"/>
      <c r="E362" s="3" t="n"/>
      <c r="F362" s="4" t="n"/>
      <c r="G362" s="5" t="n"/>
      <c r="H362" s="3" t="n"/>
      <c r="I362" s="4" t="n"/>
      <c r="J362" s="5" t="n"/>
      <c r="K362" s="3" t="n"/>
      <c r="L362" s="4" t="n"/>
      <c r="M362" s="5" t="n"/>
      <c r="N362" s="3" t="n"/>
      <c r="O362" s="4" t="n"/>
      <c r="P362" s="5" t="n"/>
      <c r="Q362" s="3" t="n"/>
      <c r="R362" s="4" t="n"/>
      <c r="S362" s="5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6">
        <f>IF(C362=0,0,IF(E362="",B362*D362/100,E362))</f>
        <v/>
      </c>
      <c r="AE362" s="6">
        <f>IF(F362=0,0,IF(H362="",B362*G362/100,H362))</f>
        <v/>
      </c>
      <c r="AF362" s="6">
        <f>IF(I362=0,0,IF(K362="",B362*J362/100,K362))</f>
        <v/>
      </c>
      <c r="AG362" s="6">
        <f>IF(L362=0,0,IF(N362="",B362*M362/100,N362))</f>
        <v/>
      </c>
      <c r="AH362" s="6">
        <f>IF(O362=0,0,IF(Q362="",B362*P362/100,Q362))</f>
        <v/>
      </c>
      <c r="AI362" s="6">
        <f>IF(R362=0,0,IF(T362="",B362*S362/100,T362))</f>
        <v/>
      </c>
      <c r="AJ362" s="6">
        <f>B362*0.035</f>
        <v/>
      </c>
      <c r="AK362" s="6">
        <f>B362*0.065</f>
        <v/>
      </c>
      <c r="AL362" s="6">
        <f>SUM(B362,AD362,AE362,AF362,AG362,AH362,AI362,U362,V362,AJ362,AK362)</f>
        <v/>
      </c>
      <c r="AM362" s="6">
        <f>B362*0.055</f>
        <v/>
      </c>
      <c r="AN362" s="6">
        <f>B362*0.035</f>
        <v/>
      </c>
      <c r="AO362" s="6">
        <f>B362*0.165</f>
        <v/>
      </c>
      <c r="AP362" s="6">
        <f>MAX(0,AL362-AM362-AO362)</f>
        <v/>
      </c>
      <c r="AQ362" s="6">
        <f>IF(AP362&lt;=490,0,IF(AP362&lt;=600,(AP362-490)*0.05,IF(AP362&lt;=730,5.5+(AP362-600)*0.10,IF(AP362&lt;=3896.67,18.5+(AP362-730)*0.175,IF(AP362&lt;=19896.67,572.67+(AP362-3896.67)*0.25,IF(AP362&lt;=50416.67,4572.67+(AP362-19896.67)*0.30,13728.67+(AP362-50416.67)*0.35))))))</f>
        <v/>
      </c>
      <c r="AR362" s="6">
        <f>SUM(AM362,AQ362,W362,X362,Y362,Z362,AA362,AN362,AO362)</f>
        <v/>
      </c>
      <c r="AS362" s="6">
        <f>AL362-AR362</f>
        <v/>
      </c>
      <c r="AT362" s="6">
        <f>AB362-AC362</f>
        <v/>
      </c>
    </row>
    <row r="363">
      <c r="A363" s="2" t="n"/>
      <c r="B363" s="3" t="n"/>
      <c r="C363" s="4" t="n"/>
      <c r="D363" s="5" t="n"/>
      <c r="E363" s="3" t="n"/>
      <c r="F363" s="4" t="n"/>
      <c r="G363" s="5" t="n"/>
      <c r="H363" s="3" t="n"/>
      <c r="I363" s="4" t="n"/>
      <c r="J363" s="5" t="n"/>
      <c r="K363" s="3" t="n"/>
      <c r="L363" s="4" t="n"/>
      <c r="M363" s="5" t="n"/>
      <c r="N363" s="3" t="n"/>
      <c r="O363" s="4" t="n"/>
      <c r="P363" s="5" t="n"/>
      <c r="Q363" s="3" t="n"/>
      <c r="R363" s="4" t="n"/>
      <c r="S363" s="5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6">
        <f>IF(C363=0,0,IF(E363="",B363*D363/100,E363))</f>
        <v/>
      </c>
      <c r="AE363" s="6">
        <f>IF(F363=0,0,IF(H363="",B363*G363/100,H363))</f>
        <v/>
      </c>
      <c r="AF363" s="6">
        <f>IF(I363=0,0,IF(K363="",B363*J363/100,K363))</f>
        <v/>
      </c>
      <c r="AG363" s="6">
        <f>IF(L363=0,0,IF(N363="",B363*M363/100,N363))</f>
        <v/>
      </c>
      <c r="AH363" s="6">
        <f>IF(O363=0,0,IF(Q363="",B363*P363/100,Q363))</f>
        <v/>
      </c>
      <c r="AI363" s="6">
        <f>IF(R363=0,0,IF(T363="",B363*S363/100,T363))</f>
        <v/>
      </c>
      <c r="AJ363" s="6">
        <f>B363*0.035</f>
        <v/>
      </c>
      <c r="AK363" s="6">
        <f>B363*0.065</f>
        <v/>
      </c>
      <c r="AL363" s="6">
        <f>SUM(B363,AD363,AE363,AF363,AG363,AH363,AI363,U363,V363,AJ363,AK363)</f>
        <v/>
      </c>
      <c r="AM363" s="6">
        <f>B363*0.055</f>
        <v/>
      </c>
      <c r="AN363" s="6">
        <f>B363*0.035</f>
        <v/>
      </c>
      <c r="AO363" s="6">
        <f>B363*0.165</f>
        <v/>
      </c>
      <c r="AP363" s="6">
        <f>MAX(0,AL363-AM363-AO363)</f>
        <v/>
      </c>
      <c r="AQ363" s="6">
        <f>IF(AP363&lt;=490,0,IF(AP363&lt;=600,(AP363-490)*0.05,IF(AP363&lt;=730,5.5+(AP363-600)*0.10,IF(AP363&lt;=3896.67,18.5+(AP363-730)*0.175,IF(AP363&lt;=19896.67,572.67+(AP363-3896.67)*0.25,IF(AP363&lt;=50416.67,4572.67+(AP363-19896.67)*0.30,13728.67+(AP363-50416.67)*0.35))))))</f>
        <v/>
      </c>
      <c r="AR363" s="6">
        <f>SUM(AM363,AQ363,W363,X363,Y363,Z363,AA363,AN363,AO363)</f>
        <v/>
      </c>
      <c r="AS363" s="6">
        <f>AL363-AR363</f>
        <v/>
      </c>
      <c r="AT363" s="6">
        <f>AB363-AC363</f>
        <v/>
      </c>
    </row>
    <row r="364">
      <c r="A364" s="2" t="n"/>
      <c r="B364" s="3" t="n"/>
      <c r="C364" s="4" t="n"/>
      <c r="D364" s="5" t="n"/>
      <c r="E364" s="3" t="n"/>
      <c r="F364" s="4" t="n"/>
      <c r="G364" s="5" t="n"/>
      <c r="H364" s="3" t="n"/>
      <c r="I364" s="4" t="n"/>
      <c r="J364" s="5" t="n"/>
      <c r="K364" s="3" t="n"/>
      <c r="L364" s="4" t="n"/>
      <c r="M364" s="5" t="n"/>
      <c r="N364" s="3" t="n"/>
      <c r="O364" s="4" t="n"/>
      <c r="P364" s="5" t="n"/>
      <c r="Q364" s="3" t="n"/>
      <c r="R364" s="4" t="n"/>
      <c r="S364" s="5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6">
        <f>IF(C364=0,0,IF(E364="",B364*D364/100,E364))</f>
        <v/>
      </c>
      <c r="AE364" s="6">
        <f>IF(F364=0,0,IF(H364="",B364*G364/100,H364))</f>
        <v/>
      </c>
      <c r="AF364" s="6">
        <f>IF(I364=0,0,IF(K364="",B364*J364/100,K364))</f>
        <v/>
      </c>
      <c r="AG364" s="6">
        <f>IF(L364=0,0,IF(N364="",B364*M364/100,N364))</f>
        <v/>
      </c>
      <c r="AH364" s="6">
        <f>IF(O364=0,0,IF(Q364="",B364*P364/100,Q364))</f>
        <v/>
      </c>
      <c r="AI364" s="6">
        <f>IF(R364=0,0,IF(T364="",B364*S364/100,T364))</f>
        <v/>
      </c>
      <c r="AJ364" s="6">
        <f>B364*0.035</f>
        <v/>
      </c>
      <c r="AK364" s="6">
        <f>B364*0.065</f>
        <v/>
      </c>
      <c r="AL364" s="6">
        <f>SUM(B364,AD364,AE364,AF364,AG364,AH364,AI364,U364,V364,AJ364,AK364)</f>
        <v/>
      </c>
      <c r="AM364" s="6">
        <f>B364*0.055</f>
        <v/>
      </c>
      <c r="AN364" s="6">
        <f>B364*0.035</f>
        <v/>
      </c>
      <c r="AO364" s="6">
        <f>B364*0.165</f>
        <v/>
      </c>
      <c r="AP364" s="6">
        <f>MAX(0,AL364-AM364-AO364)</f>
        <v/>
      </c>
      <c r="AQ364" s="6">
        <f>IF(AP364&lt;=490,0,IF(AP364&lt;=600,(AP364-490)*0.05,IF(AP364&lt;=730,5.5+(AP364-600)*0.10,IF(AP364&lt;=3896.67,18.5+(AP364-730)*0.175,IF(AP364&lt;=19896.67,572.67+(AP364-3896.67)*0.25,IF(AP364&lt;=50416.67,4572.67+(AP364-19896.67)*0.30,13728.67+(AP364-50416.67)*0.35))))))</f>
        <v/>
      </c>
      <c r="AR364" s="6">
        <f>SUM(AM364,AQ364,W364,X364,Y364,Z364,AA364,AN364,AO364)</f>
        <v/>
      </c>
      <c r="AS364" s="6">
        <f>AL364-AR364</f>
        <v/>
      </c>
      <c r="AT364" s="6">
        <f>AB364-AC364</f>
        <v/>
      </c>
    </row>
    <row r="365">
      <c r="A365" s="2" t="n"/>
      <c r="B365" s="3" t="n"/>
      <c r="C365" s="4" t="n"/>
      <c r="D365" s="5" t="n"/>
      <c r="E365" s="3" t="n"/>
      <c r="F365" s="4" t="n"/>
      <c r="G365" s="5" t="n"/>
      <c r="H365" s="3" t="n"/>
      <c r="I365" s="4" t="n"/>
      <c r="J365" s="5" t="n"/>
      <c r="K365" s="3" t="n"/>
      <c r="L365" s="4" t="n"/>
      <c r="M365" s="5" t="n"/>
      <c r="N365" s="3" t="n"/>
      <c r="O365" s="4" t="n"/>
      <c r="P365" s="5" t="n"/>
      <c r="Q365" s="3" t="n"/>
      <c r="R365" s="4" t="n"/>
      <c r="S365" s="5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6">
        <f>IF(C365=0,0,IF(E365="",B365*D365/100,E365))</f>
        <v/>
      </c>
      <c r="AE365" s="6">
        <f>IF(F365=0,0,IF(H365="",B365*G365/100,H365))</f>
        <v/>
      </c>
      <c r="AF365" s="6">
        <f>IF(I365=0,0,IF(K365="",B365*J365/100,K365))</f>
        <v/>
      </c>
      <c r="AG365" s="6">
        <f>IF(L365=0,0,IF(N365="",B365*M365/100,N365))</f>
        <v/>
      </c>
      <c r="AH365" s="6">
        <f>IF(O365=0,0,IF(Q365="",B365*P365/100,Q365))</f>
        <v/>
      </c>
      <c r="AI365" s="6">
        <f>IF(R365=0,0,IF(T365="",B365*S365/100,T365))</f>
        <v/>
      </c>
      <c r="AJ365" s="6">
        <f>B365*0.035</f>
        <v/>
      </c>
      <c r="AK365" s="6">
        <f>B365*0.065</f>
        <v/>
      </c>
      <c r="AL365" s="6">
        <f>SUM(B365,AD365,AE365,AF365,AG365,AH365,AI365,U365,V365,AJ365,AK365)</f>
        <v/>
      </c>
      <c r="AM365" s="6">
        <f>B365*0.055</f>
        <v/>
      </c>
      <c r="AN365" s="6">
        <f>B365*0.035</f>
        <v/>
      </c>
      <c r="AO365" s="6">
        <f>B365*0.165</f>
        <v/>
      </c>
      <c r="AP365" s="6">
        <f>MAX(0,AL365-AM365-AO365)</f>
        <v/>
      </c>
      <c r="AQ365" s="6">
        <f>IF(AP365&lt;=490,0,IF(AP365&lt;=600,(AP365-490)*0.05,IF(AP365&lt;=730,5.5+(AP365-600)*0.10,IF(AP365&lt;=3896.67,18.5+(AP365-730)*0.175,IF(AP365&lt;=19896.67,572.67+(AP365-3896.67)*0.25,IF(AP365&lt;=50416.67,4572.67+(AP365-19896.67)*0.30,13728.67+(AP365-50416.67)*0.35))))))</f>
        <v/>
      </c>
      <c r="AR365" s="6">
        <f>SUM(AM365,AQ365,W365,X365,Y365,Z365,AA365,AN365,AO365)</f>
        <v/>
      </c>
      <c r="AS365" s="6">
        <f>AL365-AR365</f>
        <v/>
      </c>
      <c r="AT365" s="6">
        <f>AB365-AC365</f>
        <v/>
      </c>
    </row>
    <row r="366">
      <c r="A366" s="2" t="n"/>
      <c r="B366" s="3" t="n"/>
      <c r="C366" s="4" t="n"/>
      <c r="D366" s="5" t="n"/>
      <c r="E366" s="3" t="n"/>
      <c r="F366" s="4" t="n"/>
      <c r="G366" s="5" t="n"/>
      <c r="H366" s="3" t="n"/>
      <c r="I366" s="4" t="n"/>
      <c r="J366" s="5" t="n"/>
      <c r="K366" s="3" t="n"/>
      <c r="L366" s="4" t="n"/>
      <c r="M366" s="5" t="n"/>
      <c r="N366" s="3" t="n"/>
      <c r="O366" s="4" t="n"/>
      <c r="P366" s="5" t="n"/>
      <c r="Q366" s="3" t="n"/>
      <c r="R366" s="4" t="n"/>
      <c r="S366" s="5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6">
        <f>IF(C366=0,0,IF(E366="",B366*D366/100,E366))</f>
        <v/>
      </c>
      <c r="AE366" s="6">
        <f>IF(F366=0,0,IF(H366="",B366*G366/100,H366))</f>
        <v/>
      </c>
      <c r="AF366" s="6">
        <f>IF(I366=0,0,IF(K366="",B366*J366/100,K366))</f>
        <v/>
      </c>
      <c r="AG366" s="6">
        <f>IF(L366=0,0,IF(N366="",B366*M366/100,N366))</f>
        <v/>
      </c>
      <c r="AH366" s="6">
        <f>IF(O366=0,0,IF(Q366="",B366*P366/100,Q366))</f>
        <v/>
      </c>
      <c r="AI366" s="6">
        <f>IF(R366=0,0,IF(T366="",B366*S366/100,T366))</f>
        <v/>
      </c>
      <c r="AJ366" s="6">
        <f>B366*0.035</f>
        <v/>
      </c>
      <c r="AK366" s="6">
        <f>B366*0.065</f>
        <v/>
      </c>
      <c r="AL366" s="6">
        <f>SUM(B366,AD366,AE366,AF366,AG366,AH366,AI366,U366,V366,AJ366,AK366)</f>
        <v/>
      </c>
      <c r="AM366" s="6">
        <f>B366*0.055</f>
        <v/>
      </c>
      <c r="AN366" s="6">
        <f>B366*0.035</f>
        <v/>
      </c>
      <c r="AO366" s="6">
        <f>B366*0.165</f>
        <v/>
      </c>
      <c r="AP366" s="6">
        <f>MAX(0,AL366-AM366-AO366)</f>
        <v/>
      </c>
      <c r="AQ366" s="6">
        <f>IF(AP366&lt;=490,0,IF(AP366&lt;=600,(AP366-490)*0.05,IF(AP366&lt;=730,5.5+(AP366-600)*0.10,IF(AP366&lt;=3896.67,18.5+(AP366-730)*0.175,IF(AP366&lt;=19896.67,572.67+(AP366-3896.67)*0.25,IF(AP366&lt;=50416.67,4572.67+(AP366-19896.67)*0.30,13728.67+(AP366-50416.67)*0.35))))))</f>
        <v/>
      </c>
      <c r="AR366" s="6">
        <f>SUM(AM366,AQ366,W366,X366,Y366,Z366,AA366,AN366,AO366)</f>
        <v/>
      </c>
      <c r="AS366" s="6">
        <f>AL366-AR366</f>
        <v/>
      </c>
      <c r="AT366" s="6">
        <f>AB366-AC366</f>
        <v/>
      </c>
    </row>
    <row r="367">
      <c r="A367" s="2" t="n"/>
      <c r="B367" s="3" t="n"/>
      <c r="C367" s="4" t="n"/>
      <c r="D367" s="5" t="n"/>
      <c r="E367" s="3" t="n"/>
      <c r="F367" s="4" t="n"/>
      <c r="G367" s="5" t="n"/>
      <c r="H367" s="3" t="n"/>
      <c r="I367" s="4" t="n"/>
      <c r="J367" s="5" t="n"/>
      <c r="K367" s="3" t="n"/>
      <c r="L367" s="4" t="n"/>
      <c r="M367" s="5" t="n"/>
      <c r="N367" s="3" t="n"/>
      <c r="O367" s="4" t="n"/>
      <c r="P367" s="5" t="n"/>
      <c r="Q367" s="3" t="n"/>
      <c r="R367" s="4" t="n"/>
      <c r="S367" s="5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6">
        <f>IF(C367=0,0,IF(E367="",B367*D367/100,E367))</f>
        <v/>
      </c>
      <c r="AE367" s="6">
        <f>IF(F367=0,0,IF(H367="",B367*G367/100,H367))</f>
        <v/>
      </c>
      <c r="AF367" s="6">
        <f>IF(I367=0,0,IF(K367="",B367*J367/100,K367))</f>
        <v/>
      </c>
      <c r="AG367" s="6">
        <f>IF(L367=0,0,IF(N367="",B367*M367/100,N367))</f>
        <v/>
      </c>
      <c r="AH367" s="6">
        <f>IF(O367=0,0,IF(Q367="",B367*P367/100,Q367))</f>
        <v/>
      </c>
      <c r="AI367" s="6">
        <f>IF(R367=0,0,IF(T367="",B367*S367/100,T367))</f>
        <v/>
      </c>
      <c r="AJ367" s="6">
        <f>B367*0.035</f>
        <v/>
      </c>
      <c r="AK367" s="6">
        <f>B367*0.065</f>
        <v/>
      </c>
      <c r="AL367" s="6">
        <f>SUM(B367,AD367,AE367,AF367,AG367,AH367,AI367,U367,V367,AJ367,AK367)</f>
        <v/>
      </c>
      <c r="AM367" s="6">
        <f>B367*0.055</f>
        <v/>
      </c>
      <c r="AN367" s="6">
        <f>B367*0.035</f>
        <v/>
      </c>
      <c r="AO367" s="6">
        <f>B367*0.165</f>
        <v/>
      </c>
      <c r="AP367" s="6">
        <f>MAX(0,AL367-AM367-AO367)</f>
        <v/>
      </c>
      <c r="AQ367" s="6">
        <f>IF(AP367&lt;=490,0,IF(AP367&lt;=600,(AP367-490)*0.05,IF(AP367&lt;=730,5.5+(AP367-600)*0.10,IF(AP367&lt;=3896.67,18.5+(AP367-730)*0.175,IF(AP367&lt;=19896.67,572.67+(AP367-3896.67)*0.25,IF(AP367&lt;=50416.67,4572.67+(AP367-19896.67)*0.30,13728.67+(AP367-50416.67)*0.35))))))</f>
        <v/>
      </c>
      <c r="AR367" s="6">
        <f>SUM(AM367,AQ367,W367,X367,Y367,Z367,AA367,AN367,AO367)</f>
        <v/>
      </c>
      <c r="AS367" s="6">
        <f>AL367-AR367</f>
        <v/>
      </c>
      <c r="AT367" s="6">
        <f>AB367-AC367</f>
        <v/>
      </c>
    </row>
    <row r="368">
      <c r="A368" s="2" t="n"/>
      <c r="B368" s="3" t="n"/>
      <c r="C368" s="4" t="n"/>
      <c r="D368" s="5" t="n"/>
      <c r="E368" s="3" t="n"/>
      <c r="F368" s="4" t="n"/>
      <c r="G368" s="5" t="n"/>
      <c r="H368" s="3" t="n"/>
      <c r="I368" s="4" t="n"/>
      <c r="J368" s="5" t="n"/>
      <c r="K368" s="3" t="n"/>
      <c r="L368" s="4" t="n"/>
      <c r="M368" s="5" t="n"/>
      <c r="N368" s="3" t="n"/>
      <c r="O368" s="4" t="n"/>
      <c r="P368" s="5" t="n"/>
      <c r="Q368" s="3" t="n"/>
      <c r="R368" s="4" t="n"/>
      <c r="S368" s="5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6">
        <f>IF(C368=0,0,IF(E368="",B368*D368/100,E368))</f>
        <v/>
      </c>
      <c r="AE368" s="6">
        <f>IF(F368=0,0,IF(H368="",B368*G368/100,H368))</f>
        <v/>
      </c>
      <c r="AF368" s="6">
        <f>IF(I368=0,0,IF(K368="",B368*J368/100,K368))</f>
        <v/>
      </c>
      <c r="AG368" s="6">
        <f>IF(L368=0,0,IF(N368="",B368*M368/100,N368))</f>
        <v/>
      </c>
      <c r="AH368" s="6">
        <f>IF(O368=0,0,IF(Q368="",B368*P368/100,Q368))</f>
        <v/>
      </c>
      <c r="AI368" s="6">
        <f>IF(R368=0,0,IF(T368="",B368*S368/100,T368))</f>
        <v/>
      </c>
      <c r="AJ368" s="6">
        <f>B368*0.035</f>
        <v/>
      </c>
      <c r="AK368" s="6">
        <f>B368*0.065</f>
        <v/>
      </c>
      <c r="AL368" s="6">
        <f>SUM(B368,AD368,AE368,AF368,AG368,AH368,AI368,U368,V368,AJ368,AK368)</f>
        <v/>
      </c>
      <c r="AM368" s="6">
        <f>B368*0.055</f>
        <v/>
      </c>
      <c r="AN368" s="6">
        <f>B368*0.035</f>
        <v/>
      </c>
      <c r="AO368" s="6">
        <f>B368*0.165</f>
        <v/>
      </c>
      <c r="AP368" s="6">
        <f>MAX(0,AL368-AM368-AO368)</f>
        <v/>
      </c>
      <c r="AQ368" s="6">
        <f>IF(AP368&lt;=490,0,IF(AP368&lt;=600,(AP368-490)*0.05,IF(AP368&lt;=730,5.5+(AP368-600)*0.10,IF(AP368&lt;=3896.67,18.5+(AP368-730)*0.175,IF(AP368&lt;=19896.67,572.67+(AP368-3896.67)*0.25,IF(AP368&lt;=50416.67,4572.67+(AP368-19896.67)*0.30,13728.67+(AP368-50416.67)*0.35))))))</f>
        <v/>
      </c>
      <c r="AR368" s="6">
        <f>SUM(AM368,AQ368,W368,X368,Y368,Z368,AA368,AN368,AO368)</f>
        <v/>
      </c>
      <c r="AS368" s="6">
        <f>AL368-AR368</f>
        <v/>
      </c>
      <c r="AT368" s="6">
        <f>AB368-AC368</f>
        <v/>
      </c>
    </row>
    <row r="369">
      <c r="A369" s="2" t="n"/>
      <c r="B369" s="3" t="n"/>
      <c r="C369" s="4" t="n"/>
      <c r="D369" s="5" t="n"/>
      <c r="E369" s="3" t="n"/>
      <c r="F369" s="4" t="n"/>
      <c r="G369" s="5" t="n"/>
      <c r="H369" s="3" t="n"/>
      <c r="I369" s="4" t="n"/>
      <c r="J369" s="5" t="n"/>
      <c r="K369" s="3" t="n"/>
      <c r="L369" s="4" t="n"/>
      <c r="M369" s="5" t="n"/>
      <c r="N369" s="3" t="n"/>
      <c r="O369" s="4" t="n"/>
      <c r="P369" s="5" t="n"/>
      <c r="Q369" s="3" t="n"/>
      <c r="R369" s="4" t="n"/>
      <c r="S369" s="5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6">
        <f>IF(C369=0,0,IF(E369="",B369*D369/100,E369))</f>
        <v/>
      </c>
      <c r="AE369" s="6">
        <f>IF(F369=0,0,IF(H369="",B369*G369/100,H369))</f>
        <v/>
      </c>
      <c r="AF369" s="6">
        <f>IF(I369=0,0,IF(K369="",B369*J369/100,K369))</f>
        <v/>
      </c>
      <c r="AG369" s="6">
        <f>IF(L369=0,0,IF(N369="",B369*M369/100,N369))</f>
        <v/>
      </c>
      <c r="AH369" s="6">
        <f>IF(O369=0,0,IF(Q369="",B369*P369/100,Q369))</f>
        <v/>
      </c>
      <c r="AI369" s="6">
        <f>IF(R369=0,0,IF(T369="",B369*S369/100,T369))</f>
        <v/>
      </c>
      <c r="AJ369" s="6">
        <f>B369*0.035</f>
        <v/>
      </c>
      <c r="AK369" s="6">
        <f>B369*0.065</f>
        <v/>
      </c>
      <c r="AL369" s="6">
        <f>SUM(B369,AD369,AE369,AF369,AG369,AH369,AI369,U369,V369,AJ369,AK369)</f>
        <v/>
      </c>
      <c r="AM369" s="6">
        <f>B369*0.055</f>
        <v/>
      </c>
      <c r="AN369" s="6">
        <f>B369*0.035</f>
        <v/>
      </c>
      <c r="AO369" s="6">
        <f>B369*0.165</f>
        <v/>
      </c>
      <c r="AP369" s="6">
        <f>MAX(0,AL369-AM369-AO369)</f>
        <v/>
      </c>
      <c r="AQ369" s="6">
        <f>IF(AP369&lt;=490,0,IF(AP369&lt;=600,(AP369-490)*0.05,IF(AP369&lt;=730,5.5+(AP369-600)*0.10,IF(AP369&lt;=3896.67,18.5+(AP369-730)*0.175,IF(AP369&lt;=19896.67,572.67+(AP369-3896.67)*0.25,IF(AP369&lt;=50416.67,4572.67+(AP369-19896.67)*0.30,13728.67+(AP369-50416.67)*0.35))))))</f>
        <v/>
      </c>
      <c r="AR369" s="6">
        <f>SUM(AM369,AQ369,W369,X369,Y369,Z369,AA369,AN369,AO369)</f>
        <v/>
      </c>
      <c r="AS369" s="6">
        <f>AL369-AR369</f>
        <v/>
      </c>
      <c r="AT369" s="6">
        <f>AB369-AC369</f>
        <v/>
      </c>
    </row>
    <row r="370">
      <c r="A370" s="2" t="n"/>
      <c r="B370" s="3" t="n"/>
      <c r="C370" s="4" t="n"/>
      <c r="D370" s="5" t="n"/>
      <c r="E370" s="3" t="n"/>
      <c r="F370" s="4" t="n"/>
      <c r="G370" s="5" t="n"/>
      <c r="H370" s="3" t="n"/>
      <c r="I370" s="4" t="n"/>
      <c r="J370" s="5" t="n"/>
      <c r="K370" s="3" t="n"/>
      <c r="L370" s="4" t="n"/>
      <c r="M370" s="5" t="n"/>
      <c r="N370" s="3" t="n"/>
      <c r="O370" s="4" t="n"/>
      <c r="P370" s="5" t="n"/>
      <c r="Q370" s="3" t="n"/>
      <c r="R370" s="4" t="n"/>
      <c r="S370" s="5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6">
        <f>IF(C370=0,0,IF(E370="",B370*D370/100,E370))</f>
        <v/>
      </c>
      <c r="AE370" s="6">
        <f>IF(F370=0,0,IF(H370="",B370*G370/100,H370))</f>
        <v/>
      </c>
      <c r="AF370" s="6">
        <f>IF(I370=0,0,IF(K370="",B370*J370/100,K370))</f>
        <v/>
      </c>
      <c r="AG370" s="6">
        <f>IF(L370=0,0,IF(N370="",B370*M370/100,N370))</f>
        <v/>
      </c>
      <c r="AH370" s="6">
        <f>IF(O370=0,0,IF(Q370="",B370*P370/100,Q370))</f>
        <v/>
      </c>
      <c r="AI370" s="6">
        <f>IF(R370=0,0,IF(T370="",B370*S370/100,T370))</f>
        <v/>
      </c>
      <c r="AJ370" s="6">
        <f>B370*0.035</f>
        <v/>
      </c>
      <c r="AK370" s="6">
        <f>B370*0.065</f>
        <v/>
      </c>
      <c r="AL370" s="6">
        <f>SUM(B370,AD370,AE370,AF370,AG370,AH370,AI370,U370,V370,AJ370,AK370)</f>
        <v/>
      </c>
      <c r="AM370" s="6">
        <f>B370*0.055</f>
        <v/>
      </c>
      <c r="AN370" s="6">
        <f>B370*0.035</f>
        <v/>
      </c>
      <c r="AO370" s="6">
        <f>B370*0.165</f>
        <v/>
      </c>
      <c r="AP370" s="6">
        <f>MAX(0,AL370-AM370-AO370)</f>
        <v/>
      </c>
      <c r="AQ370" s="6">
        <f>IF(AP370&lt;=490,0,IF(AP370&lt;=600,(AP370-490)*0.05,IF(AP370&lt;=730,5.5+(AP370-600)*0.10,IF(AP370&lt;=3896.67,18.5+(AP370-730)*0.175,IF(AP370&lt;=19896.67,572.67+(AP370-3896.67)*0.25,IF(AP370&lt;=50416.67,4572.67+(AP370-19896.67)*0.30,13728.67+(AP370-50416.67)*0.35))))))</f>
        <v/>
      </c>
      <c r="AR370" s="6">
        <f>SUM(AM370,AQ370,W370,X370,Y370,Z370,AA370,AN370,AO370)</f>
        <v/>
      </c>
      <c r="AS370" s="6">
        <f>AL370-AR370</f>
        <v/>
      </c>
      <c r="AT370" s="6">
        <f>AB370-AC370</f>
        <v/>
      </c>
    </row>
    <row r="371">
      <c r="A371" s="2" t="n"/>
      <c r="B371" s="3" t="n"/>
      <c r="C371" s="4" t="n"/>
      <c r="D371" s="5" t="n"/>
      <c r="E371" s="3" t="n"/>
      <c r="F371" s="4" t="n"/>
      <c r="G371" s="5" t="n"/>
      <c r="H371" s="3" t="n"/>
      <c r="I371" s="4" t="n"/>
      <c r="J371" s="5" t="n"/>
      <c r="K371" s="3" t="n"/>
      <c r="L371" s="4" t="n"/>
      <c r="M371" s="5" t="n"/>
      <c r="N371" s="3" t="n"/>
      <c r="O371" s="4" t="n"/>
      <c r="P371" s="5" t="n"/>
      <c r="Q371" s="3" t="n"/>
      <c r="R371" s="4" t="n"/>
      <c r="S371" s="5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6">
        <f>IF(C371=0,0,IF(E371="",B371*D371/100,E371))</f>
        <v/>
      </c>
      <c r="AE371" s="6">
        <f>IF(F371=0,0,IF(H371="",B371*G371/100,H371))</f>
        <v/>
      </c>
      <c r="AF371" s="6">
        <f>IF(I371=0,0,IF(K371="",B371*J371/100,K371))</f>
        <v/>
      </c>
      <c r="AG371" s="6">
        <f>IF(L371=0,0,IF(N371="",B371*M371/100,N371))</f>
        <v/>
      </c>
      <c r="AH371" s="6">
        <f>IF(O371=0,0,IF(Q371="",B371*P371/100,Q371))</f>
        <v/>
      </c>
      <c r="AI371" s="6">
        <f>IF(R371=0,0,IF(T371="",B371*S371/100,T371))</f>
        <v/>
      </c>
      <c r="AJ371" s="6">
        <f>B371*0.035</f>
        <v/>
      </c>
      <c r="AK371" s="6">
        <f>B371*0.065</f>
        <v/>
      </c>
      <c r="AL371" s="6">
        <f>SUM(B371,AD371,AE371,AF371,AG371,AH371,AI371,U371,V371,AJ371,AK371)</f>
        <v/>
      </c>
      <c r="AM371" s="6">
        <f>B371*0.055</f>
        <v/>
      </c>
      <c r="AN371" s="6">
        <f>B371*0.035</f>
        <v/>
      </c>
      <c r="AO371" s="6">
        <f>B371*0.165</f>
        <v/>
      </c>
      <c r="AP371" s="6">
        <f>MAX(0,AL371-AM371-AO371)</f>
        <v/>
      </c>
      <c r="AQ371" s="6">
        <f>IF(AP371&lt;=490,0,IF(AP371&lt;=600,(AP371-490)*0.05,IF(AP371&lt;=730,5.5+(AP371-600)*0.10,IF(AP371&lt;=3896.67,18.5+(AP371-730)*0.175,IF(AP371&lt;=19896.67,572.67+(AP371-3896.67)*0.25,IF(AP371&lt;=50416.67,4572.67+(AP371-19896.67)*0.30,13728.67+(AP371-50416.67)*0.35))))))</f>
        <v/>
      </c>
      <c r="AR371" s="6">
        <f>SUM(AM371,AQ371,W371,X371,Y371,Z371,AA371,AN371,AO371)</f>
        <v/>
      </c>
      <c r="AS371" s="6">
        <f>AL371-AR371</f>
        <v/>
      </c>
      <c r="AT371" s="6">
        <f>AB371-AC371</f>
        <v/>
      </c>
    </row>
    <row r="372">
      <c r="A372" s="2" t="n"/>
      <c r="B372" s="3" t="n"/>
      <c r="C372" s="4" t="n"/>
      <c r="D372" s="5" t="n"/>
      <c r="E372" s="3" t="n"/>
      <c r="F372" s="4" t="n"/>
      <c r="G372" s="5" t="n"/>
      <c r="H372" s="3" t="n"/>
      <c r="I372" s="4" t="n"/>
      <c r="J372" s="5" t="n"/>
      <c r="K372" s="3" t="n"/>
      <c r="L372" s="4" t="n"/>
      <c r="M372" s="5" t="n"/>
      <c r="N372" s="3" t="n"/>
      <c r="O372" s="4" t="n"/>
      <c r="P372" s="5" t="n"/>
      <c r="Q372" s="3" t="n"/>
      <c r="R372" s="4" t="n"/>
      <c r="S372" s="5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6">
        <f>IF(C372=0,0,IF(E372="",B372*D372/100,E372))</f>
        <v/>
      </c>
      <c r="AE372" s="6">
        <f>IF(F372=0,0,IF(H372="",B372*G372/100,H372))</f>
        <v/>
      </c>
      <c r="AF372" s="6">
        <f>IF(I372=0,0,IF(K372="",B372*J372/100,K372))</f>
        <v/>
      </c>
      <c r="AG372" s="6">
        <f>IF(L372=0,0,IF(N372="",B372*M372/100,N372))</f>
        <v/>
      </c>
      <c r="AH372" s="6">
        <f>IF(O372=0,0,IF(Q372="",B372*P372/100,Q372))</f>
        <v/>
      </c>
      <c r="AI372" s="6">
        <f>IF(R372=0,0,IF(T372="",B372*S372/100,T372))</f>
        <v/>
      </c>
      <c r="AJ372" s="6">
        <f>B372*0.035</f>
        <v/>
      </c>
      <c r="AK372" s="6">
        <f>B372*0.065</f>
        <v/>
      </c>
      <c r="AL372" s="6">
        <f>SUM(B372,AD372,AE372,AF372,AG372,AH372,AI372,U372,V372,AJ372,AK372)</f>
        <v/>
      </c>
      <c r="AM372" s="6">
        <f>B372*0.055</f>
        <v/>
      </c>
      <c r="AN372" s="6">
        <f>B372*0.035</f>
        <v/>
      </c>
      <c r="AO372" s="6">
        <f>B372*0.165</f>
        <v/>
      </c>
      <c r="AP372" s="6">
        <f>MAX(0,AL372-AM372-AO372)</f>
        <v/>
      </c>
      <c r="AQ372" s="6">
        <f>IF(AP372&lt;=490,0,IF(AP372&lt;=600,(AP372-490)*0.05,IF(AP372&lt;=730,5.5+(AP372-600)*0.10,IF(AP372&lt;=3896.67,18.5+(AP372-730)*0.175,IF(AP372&lt;=19896.67,572.67+(AP372-3896.67)*0.25,IF(AP372&lt;=50416.67,4572.67+(AP372-19896.67)*0.30,13728.67+(AP372-50416.67)*0.35))))))</f>
        <v/>
      </c>
      <c r="AR372" s="6">
        <f>SUM(AM372,AQ372,W372,X372,Y372,Z372,AA372,AN372,AO372)</f>
        <v/>
      </c>
      <c r="AS372" s="6">
        <f>AL372-AR372</f>
        <v/>
      </c>
      <c r="AT372" s="6">
        <f>AB372-AC372</f>
        <v/>
      </c>
    </row>
    <row r="373">
      <c r="A373" s="2" t="n"/>
      <c r="B373" s="3" t="n"/>
      <c r="C373" s="4" t="n"/>
      <c r="D373" s="5" t="n"/>
      <c r="E373" s="3" t="n"/>
      <c r="F373" s="4" t="n"/>
      <c r="G373" s="5" t="n"/>
      <c r="H373" s="3" t="n"/>
      <c r="I373" s="4" t="n"/>
      <c r="J373" s="5" t="n"/>
      <c r="K373" s="3" t="n"/>
      <c r="L373" s="4" t="n"/>
      <c r="M373" s="5" t="n"/>
      <c r="N373" s="3" t="n"/>
      <c r="O373" s="4" t="n"/>
      <c r="P373" s="5" t="n"/>
      <c r="Q373" s="3" t="n"/>
      <c r="R373" s="4" t="n"/>
      <c r="S373" s="5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6">
        <f>IF(C373=0,0,IF(E373="",B373*D373/100,E373))</f>
        <v/>
      </c>
      <c r="AE373" s="6">
        <f>IF(F373=0,0,IF(H373="",B373*G373/100,H373))</f>
        <v/>
      </c>
      <c r="AF373" s="6">
        <f>IF(I373=0,0,IF(K373="",B373*J373/100,K373))</f>
        <v/>
      </c>
      <c r="AG373" s="6">
        <f>IF(L373=0,0,IF(N373="",B373*M373/100,N373))</f>
        <v/>
      </c>
      <c r="AH373" s="6">
        <f>IF(O373=0,0,IF(Q373="",B373*P373/100,Q373))</f>
        <v/>
      </c>
      <c r="AI373" s="6">
        <f>IF(R373=0,0,IF(T373="",B373*S373/100,T373))</f>
        <v/>
      </c>
      <c r="AJ373" s="6">
        <f>B373*0.035</f>
        <v/>
      </c>
      <c r="AK373" s="6">
        <f>B373*0.065</f>
        <v/>
      </c>
      <c r="AL373" s="6">
        <f>SUM(B373,AD373,AE373,AF373,AG373,AH373,AI373,U373,V373,AJ373,AK373)</f>
        <v/>
      </c>
      <c r="AM373" s="6">
        <f>B373*0.055</f>
        <v/>
      </c>
      <c r="AN373" s="6">
        <f>B373*0.035</f>
        <v/>
      </c>
      <c r="AO373" s="6">
        <f>B373*0.165</f>
        <v/>
      </c>
      <c r="AP373" s="6">
        <f>MAX(0,AL373-AM373-AO373)</f>
        <v/>
      </c>
      <c r="AQ373" s="6">
        <f>IF(AP373&lt;=490,0,IF(AP373&lt;=600,(AP373-490)*0.05,IF(AP373&lt;=730,5.5+(AP373-600)*0.10,IF(AP373&lt;=3896.67,18.5+(AP373-730)*0.175,IF(AP373&lt;=19896.67,572.67+(AP373-3896.67)*0.25,IF(AP373&lt;=50416.67,4572.67+(AP373-19896.67)*0.30,13728.67+(AP373-50416.67)*0.35))))))</f>
        <v/>
      </c>
      <c r="AR373" s="6">
        <f>SUM(AM373,AQ373,W373,X373,Y373,Z373,AA373,AN373,AO373)</f>
        <v/>
      </c>
      <c r="AS373" s="6">
        <f>AL373-AR373</f>
        <v/>
      </c>
      <c r="AT373" s="6">
        <f>AB373-AC373</f>
        <v/>
      </c>
    </row>
    <row r="374">
      <c r="A374" s="2" t="n"/>
      <c r="B374" s="3" t="n"/>
      <c r="C374" s="4" t="n"/>
      <c r="D374" s="5" t="n"/>
      <c r="E374" s="3" t="n"/>
      <c r="F374" s="4" t="n"/>
      <c r="G374" s="5" t="n"/>
      <c r="H374" s="3" t="n"/>
      <c r="I374" s="4" t="n"/>
      <c r="J374" s="5" t="n"/>
      <c r="K374" s="3" t="n"/>
      <c r="L374" s="4" t="n"/>
      <c r="M374" s="5" t="n"/>
      <c r="N374" s="3" t="n"/>
      <c r="O374" s="4" t="n"/>
      <c r="P374" s="5" t="n"/>
      <c r="Q374" s="3" t="n"/>
      <c r="R374" s="4" t="n"/>
      <c r="S374" s="5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6">
        <f>IF(C374=0,0,IF(E374="",B374*D374/100,E374))</f>
        <v/>
      </c>
      <c r="AE374" s="6">
        <f>IF(F374=0,0,IF(H374="",B374*G374/100,H374))</f>
        <v/>
      </c>
      <c r="AF374" s="6">
        <f>IF(I374=0,0,IF(K374="",B374*J374/100,K374))</f>
        <v/>
      </c>
      <c r="AG374" s="6">
        <f>IF(L374=0,0,IF(N374="",B374*M374/100,N374))</f>
        <v/>
      </c>
      <c r="AH374" s="6">
        <f>IF(O374=0,0,IF(Q374="",B374*P374/100,Q374))</f>
        <v/>
      </c>
      <c r="AI374" s="6">
        <f>IF(R374=0,0,IF(T374="",B374*S374/100,T374))</f>
        <v/>
      </c>
      <c r="AJ374" s="6">
        <f>B374*0.035</f>
        <v/>
      </c>
      <c r="AK374" s="6">
        <f>B374*0.065</f>
        <v/>
      </c>
      <c r="AL374" s="6">
        <f>SUM(B374,AD374,AE374,AF374,AG374,AH374,AI374,U374,V374,AJ374,AK374)</f>
        <v/>
      </c>
      <c r="AM374" s="6">
        <f>B374*0.055</f>
        <v/>
      </c>
      <c r="AN374" s="6">
        <f>B374*0.035</f>
        <v/>
      </c>
      <c r="AO374" s="6">
        <f>B374*0.165</f>
        <v/>
      </c>
      <c r="AP374" s="6">
        <f>MAX(0,AL374-AM374-AO374)</f>
        <v/>
      </c>
      <c r="AQ374" s="6">
        <f>IF(AP374&lt;=490,0,IF(AP374&lt;=600,(AP374-490)*0.05,IF(AP374&lt;=730,5.5+(AP374-600)*0.10,IF(AP374&lt;=3896.67,18.5+(AP374-730)*0.175,IF(AP374&lt;=19896.67,572.67+(AP374-3896.67)*0.25,IF(AP374&lt;=50416.67,4572.67+(AP374-19896.67)*0.30,13728.67+(AP374-50416.67)*0.35))))))</f>
        <v/>
      </c>
      <c r="AR374" s="6">
        <f>SUM(AM374,AQ374,W374,X374,Y374,Z374,AA374,AN374,AO374)</f>
        <v/>
      </c>
      <c r="AS374" s="6">
        <f>AL374-AR374</f>
        <v/>
      </c>
      <c r="AT374" s="6">
        <f>AB374-AC374</f>
        <v/>
      </c>
    </row>
    <row r="375">
      <c r="A375" s="2" t="n"/>
      <c r="B375" s="3" t="n"/>
      <c r="C375" s="4" t="n"/>
      <c r="D375" s="5" t="n"/>
      <c r="E375" s="3" t="n"/>
      <c r="F375" s="4" t="n"/>
      <c r="G375" s="5" t="n"/>
      <c r="H375" s="3" t="n"/>
      <c r="I375" s="4" t="n"/>
      <c r="J375" s="5" t="n"/>
      <c r="K375" s="3" t="n"/>
      <c r="L375" s="4" t="n"/>
      <c r="M375" s="5" t="n"/>
      <c r="N375" s="3" t="n"/>
      <c r="O375" s="4" t="n"/>
      <c r="P375" s="5" t="n"/>
      <c r="Q375" s="3" t="n"/>
      <c r="R375" s="4" t="n"/>
      <c r="S375" s="5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6">
        <f>IF(C375=0,0,IF(E375="",B375*D375/100,E375))</f>
        <v/>
      </c>
      <c r="AE375" s="6">
        <f>IF(F375=0,0,IF(H375="",B375*G375/100,H375))</f>
        <v/>
      </c>
      <c r="AF375" s="6">
        <f>IF(I375=0,0,IF(K375="",B375*J375/100,K375))</f>
        <v/>
      </c>
      <c r="AG375" s="6">
        <f>IF(L375=0,0,IF(N375="",B375*M375/100,N375))</f>
        <v/>
      </c>
      <c r="AH375" s="6">
        <f>IF(O375=0,0,IF(Q375="",B375*P375/100,Q375))</f>
        <v/>
      </c>
      <c r="AI375" s="6">
        <f>IF(R375=0,0,IF(T375="",B375*S375/100,T375))</f>
        <v/>
      </c>
      <c r="AJ375" s="6">
        <f>B375*0.035</f>
        <v/>
      </c>
      <c r="AK375" s="6">
        <f>B375*0.065</f>
        <v/>
      </c>
      <c r="AL375" s="6">
        <f>SUM(B375,AD375,AE375,AF375,AG375,AH375,AI375,U375,V375,AJ375,AK375)</f>
        <v/>
      </c>
      <c r="AM375" s="6">
        <f>B375*0.055</f>
        <v/>
      </c>
      <c r="AN375" s="6">
        <f>B375*0.035</f>
        <v/>
      </c>
      <c r="AO375" s="6">
        <f>B375*0.165</f>
        <v/>
      </c>
      <c r="AP375" s="6">
        <f>MAX(0,AL375-AM375-AO375)</f>
        <v/>
      </c>
      <c r="AQ375" s="6">
        <f>IF(AP375&lt;=490,0,IF(AP375&lt;=600,(AP375-490)*0.05,IF(AP375&lt;=730,5.5+(AP375-600)*0.10,IF(AP375&lt;=3896.67,18.5+(AP375-730)*0.175,IF(AP375&lt;=19896.67,572.67+(AP375-3896.67)*0.25,IF(AP375&lt;=50416.67,4572.67+(AP375-19896.67)*0.30,13728.67+(AP375-50416.67)*0.35))))))</f>
        <v/>
      </c>
      <c r="AR375" s="6">
        <f>SUM(AM375,AQ375,W375,X375,Y375,Z375,AA375,AN375,AO375)</f>
        <v/>
      </c>
      <c r="AS375" s="6">
        <f>AL375-AR375</f>
        <v/>
      </c>
      <c r="AT375" s="6">
        <f>AB375-AC375</f>
        <v/>
      </c>
    </row>
    <row r="376">
      <c r="A376" s="2" t="n"/>
      <c r="B376" s="3" t="n"/>
      <c r="C376" s="4" t="n"/>
      <c r="D376" s="5" t="n"/>
      <c r="E376" s="3" t="n"/>
      <c r="F376" s="4" t="n"/>
      <c r="G376" s="5" t="n"/>
      <c r="H376" s="3" t="n"/>
      <c r="I376" s="4" t="n"/>
      <c r="J376" s="5" t="n"/>
      <c r="K376" s="3" t="n"/>
      <c r="L376" s="4" t="n"/>
      <c r="M376" s="5" t="n"/>
      <c r="N376" s="3" t="n"/>
      <c r="O376" s="4" t="n"/>
      <c r="P376" s="5" t="n"/>
      <c r="Q376" s="3" t="n"/>
      <c r="R376" s="4" t="n"/>
      <c r="S376" s="5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6">
        <f>IF(C376=0,0,IF(E376="",B376*D376/100,E376))</f>
        <v/>
      </c>
      <c r="AE376" s="6">
        <f>IF(F376=0,0,IF(H376="",B376*G376/100,H376))</f>
        <v/>
      </c>
      <c r="AF376" s="6">
        <f>IF(I376=0,0,IF(K376="",B376*J376/100,K376))</f>
        <v/>
      </c>
      <c r="AG376" s="6">
        <f>IF(L376=0,0,IF(N376="",B376*M376/100,N376))</f>
        <v/>
      </c>
      <c r="AH376" s="6">
        <f>IF(O376=0,0,IF(Q376="",B376*P376/100,Q376))</f>
        <v/>
      </c>
      <c r="AI376" s="6">
        <f>IF(R376=0,0,IF(T376="",B376*S376/100,T376))</f>
        <v/>
      </c>
      <c r="AJ376" s="6">
        <f>B376*0.035</f>
        <v/>
      </c>
      <c r="AK376" s="6">
        <f>B376*0.065</f>
        <v/>
      </c>
      <c r="AL376" s="6">
        <f>SUM(B376,AD376,AE376,AF376,AG376,AH376,AI376,U376,V376,AJ376,AK376)</f>
        <v/>
      </c>
      <c r="AM376" s="6">
        <f>B376*0.055</f>
        <v/>
      </c>
      <c r="AN376" s="6">
        <f>B376*0.035</f>
        <v/>
      </c>
      <c r="AO376" s="6">
        <f>B376*0.165</f>
        <v/>
      </c>
      <c r="AP376" s="6">
        <f>MAX(0,AL376-AM376-AO376)</f>
        <v/>
      </c>
      <c r="AQ376" s="6">
        <f>IF(AP376&lt;=490,0,IF(AP376&lt;=600,(AP376-490)*0.05,IF(AP376&lt;=730,5.5+(AP376-600)*0.10,IF(AP376&lt;=3896.67,18.5+(AP376-730)*0.175,IF(AP376&lt;=19896.67,572.67+(AP376-3896.67)*0.25,IF(AP376&lt;=50416.67,4572.67+(AP376-19896.67)*0.30,13728.67+(AP376-50416.67)*0.35))))))</f>
        <v/>
      </c>
      <c r="AR376" s="6">
        <f>SUM(AM376,AQ376,W376,X376,Y376,Z376,AA376,AN376,AO376)</f>
        <v/>
      </c>
      <c r="AS376" s="6">
        <f>AL376-AR376</f>
        <v/>
      </c>
      <c r="AT376" s="6">
        <f>AB376-AC376</f>
        <v/>
      </c>
    </row>
    <row r="377">
      <c r="A377" s="2" t="n"/>
      <c r="B377" s="3" t="n"/>
      <c r="C377" s="4" t="n"/>
      <c r="D377" s="5" t="n"/>
      <c r="E377" s="3" t="n"/>
      <c r="F377" s="4" t="n"/>
      <c r="G377" s="5" t="n"/>
      <c r="H377" s="3" t="n"/>
      <c r="I377" s="4" t="n"/>
      <c r="J377" s="5" t="n"/>
      <c r="K377" s="3" t="n"/>
      <c r="L377" s="4" t="n"/>
      <c r="M377" s="5" t="n"/>
      <c r="N377" s="3" t="n"/>
      <c r="O377" s="4" t="n"/>
      <c r="P377" s="5" t="n"/>
      <c r="Q377" s="3" t="n"/>
      <c r="R377" s="4" t="n"/>
      <c r="S377" s="5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6">
        <f>IF(C377=0,0,IF(E377="",B377*D377/100,E377))</f>
        <v/>
      </c>
      <c r="AE377" s="6">
        <f>IF(F377=0,0,IF(H377="",B377*G377/100,H377))</f>
        <v/>
      </c>
      <c r="AF377" s="6">
        <f>IF(I377=0,0,IF(K377="",B377*J377/100,K377))</f>
        <v/>
      </c>
      <c r="AG377" s="6">
        <f>IF(L377=0,0,IF(N377="",B377*M377/100,N377))</f>
        <v/>
      </c>
      <c r="AH377" s="6">
        <f>IF(O377=0,0,IF(Q377="",B377*P377/100,Q377))</f>
        <v/>
      </c>
      <c r="AI377" s="6">
        <f>IF(R377=0,0,IF(T377="",B377*S377/100,T377))</f>
        <v/>
      </c>
      <c r="AJ377" s="6">
        <f>B377*0.035</f>
        <v/>
      </c>
      <c r="AK377" s="6">
        <f>B377*0.065</f>
        <v/>
      </c>
      <c r="AL377" s="6">
        <f>SUM(B377,AD377,AE377,AF377,AG377,AH377,AI377,U377,V377,AJ377,AK377)</f>
        <v/>
      </c>
      <c r="AM377" s="6">
        <f>B377*0.055</f>
        <v/>
      </c>
      <c r="AN377" s="6">
        <f>B377*0.035</f>
        <v/>
      </c>
      <c r="AO377" s="6">
        <f>B377*0.165</f>
        <v/>
      </c>
      <c r="AP377" s="6">
        <f>MAX(0,AL377-AM377-AO377)</f>
        <v/>
      </c>
      <c r="AQ377" s="6">
        <f>IF(AP377&lt;=490,0,IF(AP377&lt;=600,(AP377-490)*0.05,IF(AP377&lt;=730,5.5+(AP377-600)*0.10,IF(AP377&lt;=3896.67,18.5+(AP377-730)*0.175,IF(AP377&lt;=19896.67,572.67+(AP377-3896.67)*0.25,IF(AP377&lt;=50416.67,4572.67+(AP377-19896.67)*0.30,13728.67+(AP377-50416.67)*0.35))))))</f>
        <v/>
      </c>
      <c r="AR377" s="6">
        <f>SUM(AM377,AQ377,W377,X377,Y377,Z377,AA377,AN377,AO377)</f>
        <v/>
      </c>
      <c r="AS377" s="6">
        <f>AL377-AR377</f>
        <v/>
      </c>
      <c r="AT377" s="6">
        <f>AB377-AC377</f>
        <v/>
      </c>
    </row>
    <row r="378">
      <c r="A378" s="2" t="n"/>
      <c r="B378" s="3" t="n"/>
      <c r="C378" s="4" t="n"/>
      <c r="D378" s="5" t="n"/>
      <c r="E378" s="3" t="n"/>
      <c r="F378" s="4" t="n"/>
      <c r="G378" s="5" t="n"/>
      <c r="H378" s="3" t="n"/>
      <c r="I378" s="4" t="n"/>
      <c r="J378" s="5" t="n"/>
      <c r="K378" s="3" t="n"/>
      <c r="L378" s="4" t="n"/>
      <c r="M378" s="5" t="n"/>
      <c r="N378" s="3" t="n"/>
      <c r="O378" s="4" t="n"/>
      <c r="P378" s="5" t="n"/>
      <c r="Q378" s="3" t="n"/>
      <c r="R378" s="4" t="n"/>
      <c r="S378" s="5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6">
        <f>IF(C378=0,0,IF(E378="",B378*D378/100,E378))</f>
        <v/>
      </c>
      <c r="AE378" s="6">
        <f>IF(F378=0,0,IF(H378="",B378*G378/100,H378))</f>
        <v/>
      </c>
      <c r="AF378" s="6">
        <f>IF(I378=0,0,IF(K378="",B378*J378/100,K378))</f>
        <v/>
      </c>
      <c r="AG378" s="6">
        <f>IF(L378=0,0,IF(N378="",B378*M378/100,N378))</f>
        <v/>
      </c>
      <c r="AH378" s="6">
        <f>IF(O378=0,0,IF(Q378="",B378*P378/100,Q378))</f>
        <v/>
      </c>
      <c r="AI378" s="6">
        <f>IF(R378=0,0,IF(T378="",B378*S378/100,T378))</f>
        <v/>
      </c>
      <c r="AJ378" s="6">
        <f>B378*0.035</f>
        <v/>
      </c>
      <c r="AK378" s="6">
        <f>B378*0.065</f>
        <v/>
      </c>
      <c r="AL378" s="6">
        <f>SUM(B378,AD378,AE378,AF378,AG378,AH378,AI378,U378,V378,AJ378,AK378)</f>
        <v/>
      </c>
      <c r="AM378" s="6">
        <f>B378*0.055</f>
        <v/>
      </c>
      <c r="AN378" s="6">
        <f>B378*0.035</f>
        <v/>
      </c>
      <c r="AO378" s="6">
        <f>B378*0.165</f>
        <v/>
      </c>
      <c r="AP378" s="6">
        <f>MAX(0,AL378-AM378-AO378)</f>
        <v/>
      </c>
      <c r="AQ378" s="6">
        <f>IF(AP378&lt;=490,0,IF(AP378&lt;=600,(AP378-490)*0.05,IF(AP378&lt;=730,5.5+(AP378-600)*0.10,IF(AP378&lt;=3896.67,18.5+(AP378-730)*0.175,IF(AP378&lt;=19896.67,572.67+(AP378-3896.67)*0.25,IF(AP378&lt;=50416.67,4572.67+(AP378-19896.67)*0.30,13728.67+(AP378-50416.67)*0.35))))))</f>
        <v/>
      </c>
      <c r="AR378" s="6">
        <f>SUM(AM378,AQ378,W378,X378,Y378,Z378,AA378,AN378,AO378)</f>
        <v/>
      </c>
      <c r="AS378" s="6">
        <f>AL378-AR378</f>
        <v/>
      </c>
      <c r="AT378" s="6">
        <f>AB378-AC378</f>
        <v/>
      </c>
    </row>
    <row r="379">
      <c r="A379" s="2" t="n"/>
      <c r="B379" s="3" t="n"/>
      <c r="C379" s="4" t="n"/>
      <c r="D379" s="5" t="n"/>
      <c r="E379" s="3" t="n"/>
      <c r="F379" s="4" t="n"/>
      <c r="G379" s="5" t="n"/>
      <c r="H379" s="3" t="n"/>
      <c r="I379" s="4" t="n"/>
      <c r="J379" s="5" t="n"/>
      <c r="K379" s="3" t="n"/>
      <c r="L379" s="4" t="n"/>
      <c r="M379" s="5" t="n"/>
      <c r="N379" s="3" t="n"/>
      <c r="O379" s="4" t="n"/>
      <c r="P379" s="5" t="n"/>
      <c r="Q379" s="3" t="n"/>
      <c r="R379" s="4" t="n"/>
      <c r="S379" s="5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6">
        <f>IF(C379=0,0,IF(E379="",B379*D379/100,E379))</f>
        <v/>
      </c>
      <c r="AE379" s="6">
        <f>IF(F379=0,0,IF(H379="",B379*G379/100,H379))</f>
        <v/>
      </c>
      <c r="AF379" s="6">
        <f>IF(I379=0,0,IF(K379="",B379*J379/100,K379))</f>
        <v/>
      </c>
      <c r="AG379" s="6">
        <f>IF(L379=0,0,IF(N379="",B379*M379/100,N379))</f>
        <v/>
      </c>
      <c r="AH379" s="6">
        <f>IF(O379=0,0,IF(Q379="",B379*P379/100,Q379))</f>
        <v/>
      </c>
      <c r="AI379" s="6">
        <f>IF(R379=0,0,IF(T379="",B379*S379/100,T379))</f>
        <v/>
      </c>
      <c r="AJ379" s="6">
        <f>B379*0.035</f>
        <v/>
      </c>
      <c r="AK379" s="6">
        <f>B379*0.065</f>
        <v/>
      </c>
      <c r="AL379" s="6">
        <f>SUM(B379,AD379,AE379,AF379,AG379,AH379,AI379,U379,V379,AJ379,AK379)</f>
        <v/>
      </c>
      <c r="AM379" s="6">
        <f>B379*0.055</f>
        <v/>
      </c>
      <c r="AN379" s="6">
        <f>B379*0.035</f>
        <v/>
      </c>
      <c r="AO379" s="6">
        <f>B379*0.165</f>
        <v/>
      </c>
      <c r="AP379" s="6">
        <f>MAX(0,AL379-AM379-AO379)</f>
        <v/>
      </c>
      <c r="AQ379" s="6">
        <f>IF(AP379&lt;=490,0,IF(AP379&lt;=600,(AP379-490)*0.05,IF(AP379&lt;=730,5.5+(AP379-600)*0.10,IF(AP379&lt;=3896.67,18.5+(AP379-730)*0.175,IF(AP379&lt;=19896.67,572.67+(AP379-3896.67)*0.25,IF(AP379&lt;=50416.67,4572.67+(AP379-19896.67)*0.30,13728.67+(AP379-50416.67)*0.35))))))</f>
        <v/>
      </c>
      <c r="AR379" s="6">
        <f>SUM(AM379,AQ379,W379,X379,Y379,Z379,AA379,AN379,AO379)</f>
        <v/>
      </c>
      <c r="AS379" s="6">
        <f>AL379-AR379</f>
        <v/>
      </c>
      <c r="AT379" s="6">
        <f>AB379-AC379</f>
        <v/>
      </c>
    </row>
    <row r="380">
      <c r="A380" s="2" t="n"/>
      <c r="B380" s="3" t="n"/>
      <c r="C380" s="4" t="n"/>
      <c r="D380" s="5" t="n"/>
      <c r="E380" s="3" t="n"/>
      <c r="F380" s="4" t="n"/>
      <c r="G380" s="5" t="n"/>
      <c r="H380" s="3" t="n"/>
      <c r="I380" s="4" t="n"/>
      <c r="J380" s="5" t="n"/>
      <c r="K380" s="3" t="n"/>
      <c r="L380" s="4" t="n"/>
      <c r="M380" s="5" t="n"/>
      <c r="N380" s="3" t="n"/>
      <c r="O380" s="4" t="n"/>
      <c r="P380" s="5" t="n"/>
      <c r="Q380" s="3" t="n"/>
      <c r="R380" s="4" t="n"/>
      <c r="S380" s="5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6">
        <f>IF(C380=0,0,IF(E380="",B380*D380/100,E380))</f>
        <v/>
      </c>
      <c r="AE380" s="6">
        <f>IF(F380=0,0,IF(H380="",B380*G380/100,H380))</f>
        <v/>
      </c>
      <c r="AF380" s="6">
        <f>IF(I380=0,0,IF(K380="",B380*J380/100,K380))</f>
        <v/>
      </c>
      <c r="AG380" s="6">
        <f>IF(L380=0,0,IF(N380="",B380*M380/100,N380))</f>
        <v/>
      </c>
      <c r="AH380" s="6">
        <f>IF(O380=0,0,IF(Q380="",B380*P380/100,Q380))</f>
        <v/>
      </c>
      <c r="AI380" s="6">
        <f>IF(R380=0,0,IF(T380="",B380*S380/100,T380))</f>
        <v/>
      </c>
      <c r="AJ380" s="6">
        <f>B380*0.035</f>
        <v/>
      </c>
      <c r="AK380" s="6">
        <f>B380*0.065</f>
        <v/>
      </c>
      <c r="AL380" s="6">
        <f>SUM(B380,AD380,AE380,AF380,AG380,AH380,AI380,U380,V380,AJ380,AK380)</f>
        <v/>
      </c>
      <c r="AM380" s="6">
        <f>B380*0.055</f>
        <v/>
      </c>
      <c r="AN380" s="6">
        <f>B380*0.035</f>
        <v/>
      </c>
      <c r="AO380" s="6">
        <f>B380*0.165</f>
        <v/>
      </c>
      <c r="AP380" s="6">
        <f>MAX(0,AL380-AM380-AO380)</f>
        <v/>
      </c>
      <c r="AQ380" s="6">
        <f>IF(AP380&lt;=490,0,IF(AP380&lt;=600,(AP380-490)*0.05,IF(AP380&lt;=730,5.5+(AP380-600)*0.10,IF(AP380&lt;=3896.67,18.5+(AP380-730)*0.175,IF(AP380&lt;=19896.67,572.67+(AP380-3896.67)*0.25,IF(AP380&lt;=50416.67,4572.67+(AP380-19896.67)*0.30,13728.67+(AP380-50416.67)*0.35))))))</f>
        <v/>
      </c>
      <c r="AR380" s="6">
        <f>SUM(AM380,AQ380,W380,X380,Y380,Z380,AA380,AN380,AO380)</f>
        <v/>
      </c>
      <c r="AS380" s="6">
        <f>AL380-AR380</f>
        <v/>
      </c>
      <c r="AT380" s="6">
        <f>AB380-AC380</f>
        <v/>
      </c>
    </row>
    <row r="381">
      <c r="A381" s="2" t="n"/>
      <c r="B381" s="3" t="n"/>
      <c r="C381" s="4" t="n"/>
      <c r="D381" s="5" t="n"/>
      <c r="E381" s="3" t="n"/>
      <c r="F381" s="4" t="n"/>
      <c r="G381" s="5" t="n"/>
      <c r="H381" s="3" t="n"/>
      <c r="I381" s="4" t="n"/>
      <c r="J381" s="5" t="n"/>
      <c r="K381" s="3" t="n"/>
      <c r="L381" s="4" t="n"/>
      <c r="M381" s="5" t="n"/>
      <c r="N381" s="3" t="n"/>
      <c r="O381" s="4" t="n"/>
      <c r="P381" s="5" t="n"/>
      <c r="Q381" s="3" t="n"/>
      <c r="R381" s="4" t="n"/>
      <c r="S381" s="5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6">
        <f>IF(C381=0,0,IF(E381="",B381*D381/100,E381))</f>
        <v/>
      </c>
      <c r="AE381" s="6">
        <f>IF(F381=0,0,IF(H381="",B381*G381/100,H381))</f>
        <v/>
      </c>
      <c r="AF381" s="6">
        <f>IF(I381=0,0,IF(K381="",B381*J381/100,K381))</f>
        <v/>
      </c>
      <c r="AG381" s="6">
        <f>IF(L381=0,0,IF(N381="",B381*M381/100,N381))</f>
        <v/>
      </c>
      <c r="AH381" s="6">
        <f>IF(O381=0,0,IF(Q381="",B381*P381/100,Q381))</f>
        <v/>
      </c>
      <c r="AI381" s="6">
        <f>IF(R381=0,0,IF(T381="",B381*S381/100,T381))</f>
        <v/>
      </c>
      <c r="AJ381" s="6">
        <f>B381*0.035</f>
        <v/>
      </c>
      <c r="AK381" s="6">
        <f>B381*0.065</f>
        <v/>
      </c>
      <c r="AL381" s="6">
        <f>SUM(B381,AD381,AE381,AF381,AG381,AH381,AI381,U381,V381,AJ381,AK381)</f>
        <v/>
      </c>
      <c r="AM381" s="6">
        <f>B381*0.055</f>
        <v/>
      </c>
      <c r="AN381" s="6">
        <f>B381*0.035</f>
        <v/>
      </c>
      <c r="AO381" s="6">
        <f>B381*0.165</f>
        <v/>
      </c>
      <c r="AP381" s="6">
        <f>MAX(0,AL381-AM381-AO381)</f>
        <v/>
      </c>
      <c r="AQ381" s="6">
        <f>IF(AP381&lt;=490,0,IF(AP381&lt;=600,(AP381-490)*0.05,IF(AP381&lt;=730,5.5+(AP381-600)*0.10,IF(AP381&lt;=3896.67,18.5+(AP381-730)*0.175,IF(AP381&lt;=19896.67,572.67+(AP381-3896.67)*0.25,IF(AP381&lt;=50416.67,4572.67+(AP381-19896.67)*0.30,13728.67+(AP381-50416.67)*0.35))))))</f>
        <v/>
      </c>
      <c r="AR381" s="6">
        <f>SUM(AM381,AQ381,W381,X381,Y381,Z381,AA381,AN381,AO381)</f>
        <v/>
      </c>
      <c r="AS381" s="6">
        <f>AL381-AR381</f>
        <v/>
      </c>
      <c r="AT381" s="6">
        <f>AB381-AC381</f>
        <v/>
      </c>
    </row>
    <row r="382">
      <c r="A382" s="2" t="n"/>
      <c r="B382" s="3" t="n"/>
      <c r="C382" s="4" t="n"/>
      <c r="D382" s="5" t="n"/>
      <c r="E382" s="3" t="n"/>
      <c r="F382" s="4" t="n"/>
      <c r="G382" s="5" t="n"/>
      <c r="H382" s="3" t="n"/>
      <c r="I382" s="4" t="n"/>
      <c r="J382" s="5" t="n"/>
      <c r="K382" s="3" t="n"/>
      <c r="L382" s="4" t="n"/>
      <c r="M382" s="5" t="n"/>
      <c r="N382" s="3" t="n"/>
      <c r="O382" s="4" t="n"/>
      <c r="P382" s="5" t="n"/>
      <c r="Q382" s="3" t="n"/>
      <c r="R382" s="4" t="n"/>
      <c r="S382" s="5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6">
        <f>IF(C382=0,0,IF(E382="",B382*D382/100,E382))</f>
        <v/>
      </c>
      <c r="AE382" s="6">
        <f>IF(F382=0,0,IF(H382="",B382*G382/100,H382))</f>
        <v/>
      </c>
      <c r="AF382" s="6">
        <f>IF(I382=0,0,IF(K382="",B382*J382/100,K382))</f>
        <v/>
      </c>
      <c r="AG382" s="6">
        <f>IF(L382=0,0,IF(N382="",B382*M382/100,N382))</f>
        <v/>
      </c>
      <c r="AH382" s="6">
        <f>IF(O382=0,0,IF(Q382="",B382*P382/100,Q382))</f>
        <v/>
      </c>
      <c r="AI382" s="6">
        <f>IF(R382=0,0,IF(T382="",B382*S382/100,T382))</f>
        <v/>
      </c>
      <c r="AJ382" s="6">
        <f>B382*0.035</f>
        <v/>
      </c>
      <c r="AK382" s="6">
        <f>B382*0.065</f>
        <v/>
      </c>
      <c r="AL382" s="6">
        <f>SUM(B382,AD382,AE382,AF382,AG382,AH382,AI382,U382,V382,AJ382,AK382)</f>
        <v/>
      </c>
      <c r="AM382" s="6">
        <f>B382*0.055</f>
        <v/>
      </c>
      <c r="AN382" s="6">
        <f>B382*0.035</f>
        <v/>
      </c>
      <c r="AO382" s="6">
        <f>B382*0.165</f>
        <v/>
      </c>
      <c r="AP382" s="6">
        <f>MAX(0,AL382-AM382-AO382)</f>
        <v/>
      </c>
      <c r="AQ382" s="6">
        <f>IF(AP382&lt;=490,0,IF(AP382&lt;=600,(AP382-490)*0.05,IF(AP382&lt;=730,5.5+(AP382-600)*0.10,IF(AP382&lt;=3896.67,18.5+(AP382-730)*0.175,IF(AP382&lt;=19896.67,572.67+(AP382-3896.67)*0.25,IF(AP382&lt;=50416.67,4572.67+(AP382-19896.67)*0.30,13728.67+(AP382-50416.67)*0.35))))))</f>
        <v/>
      </c>
      <c r="AR382" s="6">
        <f>SUM(AM382,AQ382,W382,X382,Y382,Z382,AA382,AN382,AO382)</f>
        <v/>
      </c>
      <c r="AS382" s="6">
        <f>AL382-AR382</f>
        <v/>
      </c>
      <c r="AT382" s="6">
        <f>AB382-AC382</f>
        <v/>
      </c>
    </row>
    <row r="383">
      <c r="A383" s="2" t="n"/>
      <c r="B383" s="3" t="n"/>
      <c r="C383" s="4" t="n"/>
      <c r="D383" s="5" t="n"/>
      <c r="E383" s="3" t="n"/>
      <c r="F383" s="4" t="n"/>
      <c r="G383" s="5" t="n"/>
      <c r="H383" s="3" t="n"/>
      <c r="I383" s="4" t="n"/>
      <c r="J383" s="5" t="n"/>
      <c r="K383" s="3" t="n"/>
      <c r="L383" s="4" t="n"/>
      <c r="M383" s="5" t="n"/>
      <c r="N383" s="3" t="n"/>
      <c r="O383" s="4" t="n"/>
      <c r="P383" s="5" t="n"/>
      <c r="Q383" s="3" t="n"/>
      <c r="R383" s="4" t="n"/>
      <c r="S383" s="5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6">
        <f>IF(C383=0,0,IF(E383="",B383*D383/100,E383))</f>
        <v/>
      </c>
      <c r="AE383" s="6">
        <f>IF(F383=0,0,IF(H383="",B383*G383/100,H383))</f>
        <v/>
      </c>
      <c r="AF383" s="6">
        <f>IF(I383=0,0,IF(K383="",B383*J383/100,K383))</f>
        <v/>
      </c>
      <c r="AG383" s="6">
        <f>IF(L383=0,0,IF(N383="",B383*M383/100,N383))</f>
        <v/>
      </c>
      <c r="AH383" s="6">
        <f>IF(O383=0,0,IF(Q383="",B383*P383/100,Q383))</f>
        <v/>
      </c>
      <c r="AI383" s="6">
        <f>IF(R383=0,0,IF(T383="",B383*S383/100,T383))</f>
        <v/>
      </c>
      <c r="AJ383" s="6">
        <f>B383*0.035</f>
        <v/>
      </c>
      <c r="AK383" s="6">
        <f>B383*0.065</f>
        <v/>
      </c>
      <c r="AL383" s="6">
        <f>SUM(B383,AD383,AE383,AF383,AG383,AH383,AI383,U383,V383,AJ383,AK383)</f>
        <v/>
      </c>
      <c r="AM383" s="6">
        <f>B383*0.055</f>
        <v/>
      </c>
      <c r="AN383" s="6">
        <f>B383*0.035</f>
        <v/>
      </c>
      <c r="AO383" s="6">
        <f>B383*0.165</f>
        <v/>
      </c>
      <c r="AP383" s="6">
        <f>MAX(0,AL383-AM383-AO383)</f>
        <v/>
      </c>
      <c r="AQ383" s="6">
        <f>IF(AP383&lt;=490,0,IF(AP383&lt;=600,(AP383-490)*0.05,IF(AP383&lt;=730,5.5+(AP383-600)*0.10,IF(AP383&lt;=3896.67,18.5+(AP383-730)*0.175,IF(AP383&lt;=19896.67,572.67+(AP383-3896.67)*0.25,IF(AP383&lt;=50416.67,4572.67+(AP383-19896.67)*0.30,13728.67+(AP383-50416.67)*0.35))))))</f>
        <v/>
      </c>
      <c r="AR383" s="6">
        <f>SUM(AM383,AQ383,W383,X383,Y383,Z383,AA383,AN383,AO383)</f>
        <v/>
      </c>
      <c r="AS383" s="6">
        <f>AL383-AR383</f>
        <v/>
      </c>
      <c r="AT383" s="6">
        <f>AB383-AC383</f>
        <v/>
      </c>
    </row>
    <row r="384">
      <c r="A384" s="2" t="n"/>
      <c r="B384" s="3" t="n"/>
      <c r="C384" s="4" t="n"/>
      <c r="D384" s="5" t="n"/>
      <c r="E384" s="3" t="n"/>
      <c r="F384" s="4" t="n"/>
      <c r="G384" s="5" t="n"/>
      <c r="H384" s="3" t="n"/>
      <c r="I384" s="4" t="n"/>
      <c r="J384" s="5" t="n"/>
      <c r="K384" s="3" t="n"/>
      <c r="L384" s="4" t="n"/>
      <c r="M384" s="5" t="n"/>
      <c r="N384" s="3" t="n"/>
      <c r="O384" s="4" t="n"/>
      <c r="P384" s="5" t="n"/>
      <c r="Q384" s="3" t="n"/>
      <c r="R384" s="4" t="n"/>
      <c r="S384" s="5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6">
        <f>IF(C384=0,0,IF(E384="",B384*D384/100,E384))</f>
        <v/>
      </c>
      <c r="AE384" s="6">
        <f>IF(F384=0,0,IF(H384="",B384*G384/100,H384))</f>
        <v/>
      </c>
      <c r="AF384" s="6">
        <f>IF(I384=0,0,IF(K384="",B384*J384/100,K384))</f>
        <v/>
      </c>
      <c r="AG384" s="6">
        <f>IF(L384=0,0,IF(N384="",B384*M384/100,N384))</f>
        <v/>
      </c>
      <c r="AH384" s="6">
        <f>IF(O384=0,0,IF(Q384="",B384*P384/100,Q384))</f>
        <v/>
      </c>
      <c r="AI384" s="6">
        <f>IF(R384=0,0,IF(T384="",B384*S384/100,T384))</f>
        <v/>
      </c>
      <c r="AJ384" s="6">
        <f>B384*0.035</f>
        <v/>
      </c>
      <c r="AK384" s="6">
        <f>B384*0.065</f>
        <v/>
      </c>
      <c r="AL384" s="6">
        <f>SUM(B384,AD384,AE384,AF384,AG384,AH384,AI384,U384,V384,AJ384,AK384)</f>
        <v/>
      </c>
      <c r="AM384" s="6">
        <f>B384*0.055</f>
        <v/>
      </c>
      <c r="AN384" s="6">
        <f>B384*0.035</f>
        <v/>
      </c>
      <c r="AO384" s="6">
        <f>B384*0.165</f>
        <v/>
      </c>
      <c r="AP384" s="6">
        <f>MAX(0,AL384-AM384-AO384)</f>
        <v/>
      </c>
      <c r="AQ384" s="6">
        <f>IF(AP384&lt;=490,0,IF(AP384&lt;=600,(AP384-490)*0.05,IF(AP384&lt;=730,5.5+(AP384-600)*0.10,IF(AP384&lt;=3896.67,18.5+(AP384-730)*0.175,IF(AP384&lt;=19896.67,572.67+(AP384-3896.67)*0.25,IF(AP384&lt;=50416.67,4572.67+(AP384-19896.67)*0.30,13728.67+(AP384-50416.67)*0.35))))))</f>
        <v/>
      </c>
      <c r="AR384" s="6">
        <f>SUM(AM384,AQ384,W384,X384,Y384,Z384,AA384,AN384,AO384)</f>
        <v/>
      </c>
      <c r="AS384" s="6">
        <f>AL384-AR384</f>
        <v/>
      </c>
      <c r="AT384" s="6">
        <f>AB384-AC384</f>
        <v/>
      </c>
    </row>
    <row r="385">
      <c r="A385" s="2" t="n"/>
      <c r="B385" s="3" t="n"/>
      <c r="C385" s="4" t="n"/>
      <c r="D385" s="5" t="n"/>
      <c r="E385" s="3" t="n"/>
      <c r="F385" s="4" t="n"/>
      <c r="G385" s="5" t="n"/>
      <c r="H385" s="3" t="n"/>
      <c r="I385" s="4" t="n"/>
      <c r="J385" s="5" t="n"/>
      <c r="K385" s="3" t="n"/>
      <c r="L385" s="4" t="n"/>
      <c r="M385" s="5" t="n"/>
      <c r="N385" s="3" t="n"/>
      <c r="O385" s="4" t="n"/>
      <c r="P385" s="5" t="n"/>
      <c r="Q385" s="3" t="n"/>
      <c r="R385" s="4" t="n"/>
      <c r="S385" s="5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6">
        <f>IF(C385=0,0,IF(E385="",B385*D385/100,E385))</f>
        <v/>
      </c>
      <c r="AE385" s="6">
        <f>IF(F385=0,0,IF(H385="",B385*G385/100,H385))</f>
        <v/>
      </c>
      <c r="AF385" s="6">
        <f>IF(I385=0,0,IF(K385="",B385*J385/100,K385))</f>
        <v/>
      </c>
      <c r="AG385" s="6">
        <f>IF(L385=0,0,IF(N385="",B385*M385/100,N385))</f>
        <v/>
      </c>
      <c r="AH385" s="6">
        <f>IF(O385=0,0,IF(Q385="",B385*P385/100,Q385))</f>
        <v/>
      </c>
      <c r="AI385" s="6">
        <f>IF(R385=0,0,IF(T385="",B385*S385/100,T385))</f>
        <v/>
      </c>
      <c r="AJ385" s="6">
        <f>B385*0.035</f>
        <v/>
      </c>
      <c r="AK385" s="6">
        <f>B385*0.065</f>
        <v/>
      </c>
      <c r="AL385" s="6">
        <f>SUM(B385,AD385,AE385,AF385,AG385,AH385,AI385,U385,V385,AJ385,AK385)</f>
        <v/>
      </c>
      <c r="AM385" s="6">
        <f>B385*0.055</f>
        <v/>
      </c>
      <c r="AN385" s="6">
        <f>B385*0.035</f>
        <v/>
      </c>
      <c r="AO385" s="6">
        <f>B385*0.165</f>
        <v/>
      </c>
      <c r="AP385" s="6">
        <f>MAX(0,AL385-AM385-AO385)</f>
        <v/>
      </c>
      <c r="AQ385" s="6">
        <f>IF(AP385&lt;=490,0,IF(AP385&lt;=600,(AP385-490)*0.05,IF(AP385&lt;=730,5.5+(AP385-600)*0.10,IF(AP385&lt;=3896.67,18.5+(AP385-730)*0.175,IF(AP385&lt;=19896.67,572.67+(AP385-3896.67)*0.25,IF(AP385&lt;=50416.67,4572.67+(AP385-19896.67)*0.30,13728.67+(AP385-50416.67)*0.35))))))</f>
        <v/>
      </c>
      <c r="AR385" s="6">
        <f>SUM(AM385,AQ385,W385,X385,Y385,Z385,AA385,AN385,AO385)</f>
        <v/>
      </c>
      <c r="AS385" s="6">
        <f>AL385-AR385</f>
        <v/>
      </c>
      <c r="AT385" s="6">
        <f>AB385-AC385</f>
        <v/>
      </c>
    </row>
    <row r="386">
      <c r="A386" s="2" t="n"/>
      <c r="B386" s="3" t="n"/>
      <c r="C386" s="4" t="n"/>
      <c r="D386" s="5" t="n"/>
      <c r="E386" s="3" t="n"/>
      <c r="F386" s="4" t="n"/>
      <c r="G386" s="5" t="n"/>
      <c r="H386" s="3" t="n"/>
      <c r="I386" s="4" t="n"/>
      <c r="J386" s="5" t="n"/>
      <c r="K386" s="3" t="n"/>
      <c r="L386" s="4" t="n"/>
      <c r="M386" s="5" t="n"/>
      <c r="N386" s="3" t="n"/>
      <c r="O386" s="4" t="n"/>
      <c r="P386" s="5" t="n"/>
      <c r="Q386" s="3" t="n"/>
      <c r="R386" s="4" t="n"/>
      <c r="S386" s="5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6">
        <f>IF(C386=0,0,IF(E386="",B386*D386/100,E386))</f>
        <v/>
      </c>
      <c r="AE386" s="6">
        <f>IF(F386=0,0,IF(H386="",B386*G386/100,H386))</f>
        <v/>
      </c>
      <c r="AF386" s="6">
        <f>IF(I386=0,0,IF(K386="",B386*J386/100,K386))</f>
        <v/>
      </c>
      <c r="AG386" s="6">
        <f>IF(L386=0,0,IF(N386="",B386*M386/100,N386))</f>
        <v/>
      </c>
      <c r="AH386" s="6">
        <f>IF(O386=0,0,IF(Q386="",B386*P386/100,Q386))</f>
        <v/>
      </c>
      <c r="AI386" s="6">
        <f>IF(R386=0,0,IF(T386="",B386*S386/100,T386))</f>
        <v/>
      </c>
      <c r="AJ386" s="6">
        <f>B386*0.035</f>
        <v/>
      </c>
      <c r="AK386" s="6">
        <f>B386*0.065</f>
        <v/>
      </c>
      <c r="AL386" s="6">
        <f>SUM(B386,AD386,AE386,AF386,AG386,AH386,AI386,U386,V386,AJ386,AK386)</f>
        <v/>
      </c>
      <c r="AM386" s="6">
        <f>B386*0.055</f>
        <v/>
      </c>
      <c r="AN386" s="6">
        <f>B386*0.035</f>
        <v/>
      </c>
      <c r="AO386" s="6">
        <f>B386*0.165</f>
        <v/>
      </c>
      <c r="AP386" s="6">
        <f>MAX(0,AL386-AM386-AO386)</f>
        <v/>
      </c>
      <c r="AQ386" s="6">
        <f>IF(AP386&lt;=490,0,IF(AP386&lt;=600,(AP386-490)*0.05,IF(AP386&lt;=730,5.5+(AP386-600)*0.10,IF(AP386&lt;=3896.67,18.5+(AP386-730)*0.175,IF(AP386&lt;=19896.67,572.67+(AP386-3896.67)*0.25,IF(AP386&lt;=50416.67,4572.67+(AP386-19896.67)*0.30,13728.67+(AP386-50416.67)*0.35))))))</f>
        <v/>
      </c>
      <c r="AR386" s="6">
        <f>SUM(AM386,AQ386,W386,X386,Y386,Z386,AA386,AN386,AO386)</f>
        <v/>
      </c>
      <c r="AS386" s="6">
        <f>AL386-AR386</f>
        <v/>
      </c>
      <c r="AT386" s="6">
        <f>AB386-AC386</f>
        <v/>
      </c>
    </row>
    <row r="387">
      <c r="A387" s="2" t="n"/>
      <c r="B387" s="3" t="n"/>
      <c r="C387" s="4" t="n"/>
      <c r="D387" s="5" t="n"/>
      <c r="E387" s="3" t="n"/>
      <c r="F387" s="4" t="n"/>
      <c r="G387" s="5" t="n"/>
      <c r="H387" s="3" t="n"/>
      <c r="I387" s="4" t="n"/>
      <c r="J387" s="5" t="n"/>
      <c r="K387" s="3" t="n"/>
      <c r="L387" s="4" t="n"/>
      <c r="M387" s="5" t="n"/>
      <c r="N387" s="3" t="n"/>
      <c r="O387" s="4" t="n"/>
      <c r="P387" s="5" t="n"/>
      <c r="Q387" s="3" t="n"/>
      <c r="R387" s="4" t="n"/>
      <c r="S387" s="5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6">
        <f>IF(C387=0,0,IF(E387="",B387*D387/100,E387))</f>
        <v/>
      </c>
      <c r="AE387" s="6">
        <f>IF(F387=0,0,IF(H387="",B387*G387/100,H387))</f>
        <v/>
      </c>
      <c r="AF387" s="6">
        <f>IF(I387=0,0,IF(K387="",B387*J387/100,K387))</f>
        <v/>
      </c>
      <c r="AG387" s="6">
        <f>IF(L387=0,0,IF(N387="",B387*M387/100,N387))</f>
        <v/>
      </c>
      <c r="AH387" s="6">
        <f>IF(O387=0,0,IF(Q387="",B387*P387/100,Q387))</f>
        <v/>
      </c>
      <c r="AI387" s="6">
        <f>IF(R387=0,0,IF(T387="",B387*S387/100,T387))</f>
        <v/>
      </c>
      <c r="AJ387" s="6">
        <f>B387*0.035</f>
        <v/>
      </c>
      <c r="AK387" s="6">
        <f>B387*0.065</f>
        <v/>
      </c>
      <c r="AL387" s="6">
        <f>SUM(B387,AD387,AE387,AF387,AG387,AH387,AI387,U387,V387,AJ387,AK387)</f>
        <v/>
      </c>
      <c r="AM387" s="6">
        <f>B387*0.055</f>
        <v/>
      </c>
      <c r="AN387" s="6">
        <f>B387*0.035</f>
        <v/>
      </c>
      <c r="AO387" s="6">
        <f>B387*0.165</f>
        <v/>
      </c>
      <c r="AP387" s="6">
        <f>MAX(0,AL387-AM387-AO387)</f>
        <v/>
      </c>
      <c r="AQ387" s="6">
        <f>IF(AP387&lt;=490,0,IF(AP387&lt;=600,(AP387-490)*0.05,IF(AP387&lt;=730,5.5+(AP387-600)*0.10,IF(AP387&lt;=3896.67,18.5+(AP387-730)*0.175,IF(AP387&lt;=19896.67,572.67+(AP387-3896.67)*0.25,IF(AP387&lt;=50416.67,4572.67+(AP387-19896.67)*0.30,13728.67+(AP387-50416.67)*0.35))))))</f>
        <v/>
      </c>
      <c r="AR387" s="6">
        <f>SUM(AM387,AQ387,W387,X387,Y387,Z387,AA387,AN387,AO387)</f>
        <v/>
      </c>
      <c r="AS387" s="6">
        <f>AL387-AR387</f>
        <v/>
      </c>
      <c r="AT387" s="6">
        <f>AB387-AC387</f>
        <v/>
      </c>
    </row>
    <row r="388">
      <c r="A388" s="2" t="n"/>
      <c r="B388" s="3" t="n"/>
      <c r="C388" s="4" t="n"/>
      <c r="D388" s="5" t="n"/>
      <c r="E388" s="3" t="n"/>
      <c r="F388" s="4" t="n"/>
      <c r="G388" s="5" t="n"/>
      <c r="H388" s="3" t="n"/>
      <c r="I388" s="4" t="n"/>
      <c r="J388" s="5" t="n"/>
      <c r="K388" s="3" t="n"/>
      <c r="L388" s="4" t="n"/>
      <c r="M388" s="5" t="n"/>
      <c r="N388" s="3" t="n"/>
      <c r="O388" s="4" t="n"/>
      <c r="P388" s="5" t="n"/>
      <c r="Q388" s="3" t="n"/>
      <c r="R388" s="4" t="n"/>
      <c r="S388" s="5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6">
        <f>IF(C388=0,0,IF(E388="",B388*D388/100,E388))</f>
        <v/>
      </c>
      <c r="AE388" s="6">
        <f>IF(F388=0,0,IF(H388="",B388*G388/100,H388))</f>
        <v/>
      </c>
      <c r="AF388" s="6">
        <f>IF(I388=0,0,IF(K388="",B388*J388/100,K388))</f>
        <v/>
      </c>
      <c r="AG388" s="6">
        <f>IF(L388=0,0,IF(N388="",B388*M388/100,N388))</f>
        <v/>
      </c>
      <c r="AH388" s="6">
        <f>IF(O388=0,0,IF(Q388="",B388*P388/100,Q388))</f>
        <v/>
      </c>
      <c r="AI388" s="6">
        <f>IF(R388=0,0,IF(T388="",B388*S388/100,T388))</f>
        <v/>
      </c>
      <c r="AJ388" s="6">
        <f>B388*0.035</f>
        <v/>
      </c>
      <c r="AK388" s="6">
        <f>B388*0.065</f>
        <v/>
      </c>
      <c r="AL388" s="6">
        <f>SUM(B388,AD388,AE388,AF388,AG388,AH388,AI388,U388,V388,AJ388,AK388)</f>
        <v/>
      </c>
      <c r="AM388" s="6">
        <f>B388*0.055</f>
        <v/>
      </c>
      <c r="AN388" s="6">
        <f>B388*0.035</f>
        <v/>
      </c>
      <c r="AO388" s="6">
        <f>B388*0.165</f>
        <v/>
      </c>
      <c r="AP388" s="6">
        <f>MAX(0,AL388-AM388-AO388)</f>
        <v/>
      </c>
      <c r="AQ388" s="6">
        <f>IF(AP388&lt;=490,0,IF(AP388&lt;=600,(AP388-490)*0.05,IF(AP388&lt;=730,5.5+(AP388-600)*0.10,IF(AP388&lt;=3896.67,18.5+(AP388-730)*0.175,IF(AP388&lt;=19896.67,572.67+(AP388-3896.67)*0.25,IF(AP388&lt;=50416.67,4572.67+(AP388-19896.67)*0.30,13728.67+(AP388-50416.67)*0.35))))))</f>
        <v/>
      </c>
      <c r="AR388" s="6">
        <f>SUM(AM388,AQ388,W388,X388,Y388,Z388,AA388,AN388,AO388)</f>
        <v/>
      </c>
      <c r="AS388" s="6">
        <f>AL388-AR388</f>
        <v/>
      </c>
      <c r="AT388" s="6">
        <f>AB388-AC388</f>
        <v/>
      </c>
    </row>
    <row r="389">
      <c r="A389" s="2" t="n"/>
      <c r="B389" s="3" t="n"/>
      <c r="C389" s="4" t="n"/>
      <c r="D389" s="5" t="n"/>
      <c r="E389" s="3" t="n"/>
      <c r="F389" s="4" t="n"/>
      <c r="G389" s="5" t="n"/>
      <c r="H389" s="3" t="n"/>
      <c r="I389" s="4" t="n"/>
      <c r="J389" s="5" t="n"/>
      <c r="K389" s="3" t="n"/>
      <c r="L389" s="4" t="n"/>
      <c r="M389" s="5" t="n"/>
      <c r="N389" s="3" t="n"/>
      <c r="O389" s="4" t="n"/>
      <c r="P389" s="5" t="n"/>
      <c r="Q389" s="3" t="n"/>
      <c r="R389" s="4" t="n"/>
      <c r="S389" s="5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6">
        <f>IF(C389=0,0,IF(E389="",B389*D389/100,E389))</f>
        <v/>
      </c>
      <c r="AE389" s="6">
        <f>IF(F389=0,0,IF(H389="",B389*G389/100,H389))</f>
        <v/>
      </c>
      <c r="AF389" s="6">
        <f>IF(I389=0,0,IF(K389="",B389*J389/100,K389))</f>
        <v/>
      </c>
      <c r="AG389" s="6">
        <f>IF(L389=0,0,IF(N389="",B389*M389/100,N389))</f>
        <v/>
      </c>
      <c r="AH389" s="6">
        <f>IF(O389=0,0,IF(Q389="",B389*P389/100,Q389))</f>
        <v/>
      </c>
      <c r="AI389" s="6">
        <f>IF(R389=0,0,IF(T389="",B389*S389/100,T389))</f>
        <v/>
      </c>
      <c r="AJ389" s="6">
        <f>B389*0.035</f>
        <v/>
      </c>
      <c r="AK389" s="6">
        <f>B389*0.065</f>
        <v/>
      </c>
      <c r="AL389" s="6">
        <f>SUM(B389,AD389,AE389,AF389,AG389,AH389,AI389,U389,V389,AJ389,AK389)</f>
        <v/>
      </c>
      <c r="AM389" s="6">
        <f>B389*0.055</f>
        <v/>
      </c>
      <c r="AN389" s="6">
        <f>B389*0.035</f>
        <v/>
      </c>
      <c r="AO389" s="6">
        <f>B389*0.165</f>
        <v/>
      </c>
      <c r="AP389" s="6">
        <f>MAX(0,AL389-AM389-AO389)</f>
        <v/>
      </c>
      <c r="AQ389" s="6">
        <f>IF(AP389&lt;=490,0,IF(AP389&lt;=600,(AP389-490)*0.05,IF(AP389&lt;=730,5.5+(AP389-600)*0.10,IF(AP389&lt;=3896.67,18.5+(AP389-730)*0.175,IF(AP389&lt;=19896.67,572.67+(AP389-3896.67)*0.25,IF(AP389&lt;=50416.67,4572.67+(AP389-19896.67)*0.30,13728.67+(AP389-50416.67)*0.35))))))</f>
        <v/>
      </c>
      <c r="AR389" s="6">
        <f>SUM(AM389,AQ389,W389,X389,Y389,Z389,AA389,AN389,AO389)</f>
        <v/>
      </c>
      <c r="AS389" s="6">
        <f>AL389-AR389</f>
        <v/>
      </c>
      <c r="AT389" s="6">
        <f>AB389-AC389</f>
        <v/>
      </c>
    </row>
    <row r="390">
      <c r="A390" s="2" t="n"/>
      <c r="B390" s="3" t="n"/>
      <c r="C390" s="4" t="n"/>
      <c r="D390" s="5" t="n"/>
      <c r="E390" s="3" t="n"/>
      <c r="F390" s="4" t="n"/>
      <c r="G390" s="5" t="n"/>
      <c r="H390" s="3" t="n"/>
      <c r="I390" s="4" t="n"/>
      <c r="J390" s="5" t="n"/>
      <c r="K390" s="3" t="n"/>
      <c r="L390" s="4" t="n"/>
      <c r="M390" s="5" t="n"/>
      <c r="N390" s="3" t="n"/>
      <c r="O390" s="4" t="n"/>
      <c r="P390" s="5" t="n"/>
      <c r="Q390" s="3" t="n"/>
      <c r="R390" s="4" t="n"/>
      <c r="S390" s="5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6">
        <f>IF(C390=0,0,IF(E390="",B390*D390/100,E390))</f>
        <v/>
      </c>
      <c r="AE390" s="6">
        <f>IF(F390=0,0,IF(H390="",B390*G390/100,H390))</f>
        <v/>
      </c>
      <c r="AF390" s="6">
        <f>IF(I390=0,0,IF(K390="",B390*J390/100,K390))</f>
        <v/>
      </c>
      <c r="AG390" s="6">
        <f>IF(L390=0,0,IF(N390="",B390*M390/100,N390))</f>
        <v/>
      </c>
      <c r="AH390" s="6">
        <f>IF(O390=0,0,IF(Q390="",B390*P390/100,Q390))</f>
        <v/>
      </c>
      <c r="AI390" s="6">
        <f>IF(R390=0,0,IF(T390="",B390*S390/100,T390))</f>
        <v/>
      </c>
      <c r="AJ390" s="6">
        <f>B390*0.035</f>
        <v/>
      </c>
      <c r="AK390" s="6">
        <f>B390*0.065</f>
        <v/>
      </c>
      <c r="AL390" s="6">
        <f>SUM(B390,AD390,AE390,AF390,AG390,AH390,AI390,U390,V390,AJ390,AK390)</f>
        <v/>
      </c>
      <c r="AM390" s="6">
        <f>B390*0.055</f>
        <v/>
      </c>
      <c r="AN390" s="6">
        <f>B390*0.035</f>
        <v/>
      </c>
      <c r="AO390" s="6">
        <f>B390*0.165</f>
        <v/>
      </c>
      <c r="AP390" s="6">
        <f>MAX(0,AL390-AM390-AO390)</f>
        <v/>
      </c>
      <c r="AQ390" s="6">
        <f>IF(AP390&lt;=490,0,IF(AP390&lt;=600,(AP390-490)*0.05,IF(AP390&lt;=730,5.5+(AP390-600)*0.10,IF(AP390&lt;=3896.67,18.5+(AP390-730)*0.175,IF(AP390&lt;=19896.67,572.67+(AP390-3896.67)*0.25,IF(AP390&lt;=50416.67,4572.67+(AP390-19896.67)*0.30,13728.67+(AP390-50416.67)*0.35))))))</f>
        <v/>
      </c>
      <c r="AR390" s="6">
        <f>SUM(AM390,AQ390,W390,X390,Y390,Z390,AA390,AN390,AO390)</f>
        <v/>
      </c>
      <c r="AS390" s="6">
        <f>AL390-AR390</f>
        <v/>
      </c>
      <c r="AT390" s="6">
        <f>AB390-AC390</f>
        <v/>
      </c>
    </row>
    <row r="391">
      <c r="A391" s="2" t="n"/>
      <c r="B391" s="3" t="n"/>
      <c r="C391" s="4" t="n"/>
      <c r="D391" s="5" t="n"/>
      <c r="E391" s="3" t="n"/>
      <c r="F391" s="4" t="n"/>
      <c r="G391" s="5" t="n"/>
      <c r="H391" s="3" t="n"/>
      <c r="I391" s="4" t="n"/>
      <c r="J391" s="5" t="n"/>
      <c r="K391" s="3" t="n"/>
      <c r="L391" s="4" t="n"/>
      <c r="M391" s="5" t="n"/>
      <c r="N391" s="3" t="n"/>
      <c r="O391" s="4" t="n"/>
      <c r="P391" s="5" t="n"/>
      <c r="Q391" s="3" t="n"/>
      <c r="R391" s="4" t="n"/>
      <c r="S391" s="5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6">
        <f>IF(C391=0,0,IF(E391="",B391*D391/100,E391))</f>
        <v/>
      </c>
      <c r="AE391" s="6">
        <f>IF(F391=0,0,IF(H391="",B391*G391/100,H391))</f>
        <v/>
      </c>
      <c r="AF391" s="6">
        <f>IF(I391=0,0,IF(K391="",B391*J391/100,K391))</f>
        <v/>
      </c>
      <c r="AG391" s="6">
        <f>IF(L391=0,0,IF(N391="",B391*M391/100,N391))</f>
        <v/>
      </c>
      <c r="AH391" s="6">
        <f>IF(O391=0,0,IF(Q391="",B391*P391/100,Q391))</f>
        <v/>
      </c>
      <c r="AI391" s="6">
        <f>IF(R391=0,0,IF(T391="",B391*S391/100,T391))</f>
        <v/>
      </c>
      <c r="AJ391" s="6">
        <f>B391*0.035</f>
        <v/>
      </c>
      <c r="AK391" s="6">
        <f>B391*0.065</f>
        <v/>
      </c>
      <c r="AL391" s="6">
        <f>SUM(B391,AD391,AE391,AF391,AG391,AH391,AI391,U391,V391,AJ391,AK391)</f>
        <v/>
      </c>
      <c r="AM391" s="6">
        <f>B391*0.055</f>
        <v/>
      </c>
      <c r="AN391" s="6">
        <f>B391*0.035</f>
        <v/>
      </c>
      <c r="AO391" s="6">
        <f>B391*0.165</f>
        <v/>
      </c>
      <c r="AP391" s="6">
        <f>MAX(0,AL391-AM391-AO391)</f>
        <v/>
      </c>
      <c r="AQ391" s="6">
        <f>IF(AP391&lt;=490,0,IF(AP391&lt;=600,(AP391-490)*0.05,IF(AP391&lt;=730,5.5+(AP391-600)*0.10,IF(AP391&lt;=3896.67,18.5+(AP391-730)*0.175,IF(AP391&lt;=19896.67,572.67+(AP391-3896.67)*0.25,IF(AP391&lt;=50416.67,4572.67+(AP391-19896.67)*0.30,13728.67+(AP391-50416.67)*0.35))))))</f>
        <v/>
      </c>
      <c r="AR391" s="6">
        <f>SUM(AM391,AQ391,W391,X391,Y391,Z391,AA391,AN391,AO391)</f>
        <v/>
      </c>
      <c r="AS391" s="6">
        <f>AL391-AR391</f>
        <v/>
      </c>
      <c r="AT391" s="6">
        <f>AB391-AC391</f>
        <v/>
      </c>
    </row>
    <row r="392">
      <c r="A392" s="2" t="n"/>
      <c r="B392" s="3" t="n"/>
      <c r="C392" s="4" t="n"/>
      <c r="D392" s="5" t="n"/>
      <c r="E392" s="3" t="n"/>
      <c r="F392" s="4" t="n"/>
      <c r="G392" s="5" t="n"/>
      <c r="H392" s="3" t="n"/>
      <c r="I392" s="4" t="n"/>
      <c r="J392" s="5" t="n"/>
      <c r="K392" s="3" t="n"/>
      <c r="L392" s="4" t="n"/>
      <c r="M392" s="5" t="n"/>
      <c r="N392" s="3" t="n"/>
      <c r="O392" s="4" t="n"/>
      <c r="P392" s="5" t="n"/>
      <c r="Q392" s="3" t="n"/>
      <c r="R392" s="4" t="n"/>
      <c r="S392" s="5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6">
        <f>IF(C392=0,0,IF(E392="",B392*D392/100,E392))</f>
        <v/>
      </c>
      <c r="AE392" s="6">
        <f>IF(F392=0,0,IF(H392="",B392*G392/100,H392))</f>
        <v/>
      </c>
      <c r="AF392" s="6">
        <f>IF(I392=0,0,IF(K392="",B392*J392/100,K392))</f>
        <v/>
      </c>
      <c r="AG392" s="6">
        <f>IF(L392=0,0,IF(N392="",B392*M392/100,N392))</f>
        <v/>
      </c>
      <c r="AH392" s="6">
        <f>IF(O392=0,0,IF(Q392="",B392*P392/100,Q392))</f>
        <v/>
      </c>
      <c r="AI392" s="6">
        <f>IF(R392=0,0,IF(T392="",B392*S392/100,T392))</f>
        <v/>
      </c>
      <c r="AJ392" s="6">
        <f>B392*0.035</f>
        <v/>
      </c>
      <c r="AK392" s="6">
        <f>B392*0.065</f>
        <v/>
      </c>
      <c r="AL392" s="6">
        <f>SUM(B392,AD392,AE392,AF392,AG392,AH392,AI392,U392,V392,AJ392,AK392)</f>
        <v/>
      </c>
      <c r="AM392" s="6">
        <f>B392*0.055</f>
        <v/>
      </c>
      <c r="AN392" s="6">
        <f>B392*0.035</f>
        <v/>
      </c>
      <c r="AO392" s="6">
        <f>B392*0.165</f>
        <v/>
      </c>
      <c r="AP392" s="6">
        <f>MAX(0,AL392-AM392-AO392)</f>
        <v/>
      </c>
      <c r="AQ392" s="6">
        <f>IF(AP392&lt;=490,0,IF(AP392&lt;=600,(AP392-490)*0.05,IF(AP392&lt;=730,5.5+(AP392-600)*0.10,IF(AP392&lt;=3896.67,18.5+(AP392-730)*0.175,IF(AP392&lt;=19896.67,572.67+(AP392-3896.67)*0.25,IF(AP392&lt;=50416.67,4572.67+(AP392-19896.67)*0.30,13728.67+(AP392-50416.67)*0.35))))))</f>
        <v/>
      </c>
      <c r="AR392" s="6">
        <f>SUM(AM392,AQ392,W392,X392,Y392,Z392,AA392,AN392,AO392)</f>
        <v/>
      </c>
      <c r="AS392" s="6">
        <f>AL392-AR392</f>
        <v/>
      </c>
      <c r="AT392" s="6">
        <f>AB392-AC392</f>
        <v/>
      </c>
    </row>
    <row r="393">
      <c r="A393" s="2" t="n"/>
      <c r="B393" s="3" t="n"/>
      <c r="C393" s="4" t="n"/>
      <c r="D393" s="5" t="n"/>
      <c r="E393" s="3" t="n"/>
      <c r="F393" s="4" t="n"/>
      <c r="G393" s="5" t="n"/>
      <c r="H393" s="3" t="n"/>
      <c r="I393" s="4" t="n"/>
      <c r="J393" s="5" t="n"/>
      <c r="K393" s="3" t="n"/>
      <c r="L393" s="4" t="n"/>
      <c r="M393" s="5" t="n"/>
      <c r="N393" s="3" t="n"/>
      <c r="O393" s="4" t="n"/>
      <c r="P393" s="5" t="n"/>
      <c r="Q393" s="3" t="n"/>
      <c r="R393" s="4" t="n"/>
      <c r="S393" s="5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6">
        <f>IF(C393=0,0,IF(E393="",B393*D393/100,E393))</f>
        <v/>
      </c>
      <c r="AE393" s="6">
        <f>IF(F393=0,0,IF(H393="",B393*G393/100,H393))</f>
        <v/>
      </c>
      <c r="AF393" s="6">
        <f>IF(I393=0,0,IF(K393="",B393*J393/100,K393))</f>
        <v/>
      </c>
      <c r="AG393" s="6">
        <f>IF(L393=0,0,IF(N393="",B393*M393/100,N393))</f>
        <v/>
      </c>
      <c r="AH393" s="6">
        <f>IF(O393=0,0,IF(Q393="",B393*P393/100,Q393))</f>
        <v/>
      </c>
      <c r="AI393" s="6">
        <f>IF(R393=0,0,IF(T393="",B393*S393/100,T393))</f>
        <v/>
      </c>
      <c r="AJ393" s="6">
        <f>B393*0.035</f>
        <v/>
      </c>
      <c r="AK393" s="6">
        <f>B393*0.065</f>
        <v/>
      </c>
      <c r="AL393" s="6">
        <f>SUM(B393,AD393,AE393,AF393,AG393,AH393,AI393,U393,V393,AJ393,AK393)</f>
        <v/>
      </c>
      <c r="AM393" s="6">
        <f>B393*0.055</f>
        <v/>
      </c>
      <c r="AN393" s="6">
        <f>B393*0.035</f>
        <v/>
      </c>
      <c r="AO393" s="6">
        <f>B393*0.165</f>
        <v/>
      </c>
      <c r="AP393" s="6">
        <f>MAX(0,AL393-AM393-AO393)</f>
        <v/>
      </c>
      <c r="AQ393" s="6">
        <f>IF(AP393&lt;=490,0,IF(AP393&lt;=600,(AP393-490)*0.05,IF(AP393&lt;=730,5.5+(AP393-600)*0.10,IF(AP393&lt;=3896.67,18.5+(AP393-730)*0.175,IF(AP393&lt;=19896.67,572.67+(AP393-3896.67)*0.25,IF(AP393&lt;=50416.67,4572.67+(AP393-19896.67)*0.30,13728.67+(AP393-50416.67)*0.35))))))</f>
        <v/>
      </c>
      <c r="AR393" s="6">
        <f>SUM(AM393,AQ393,W393,X393,Y393,Z393,AA393,AN393,AO393)</f>
        <v/>
      </c>
      <c r="AS393" s="6">
        <f>AL393-AR393</f>
        <v/>
      </c>
      <c r="AT393" s="6">
        <f>AB393-AC393</f>
        <v/>
      </c>
    </row>
    <row r="394">
      <c r="A394" s="2" t="n"/>
      <c r="B394" s="3" t="n"/>
      <c r="C394" s="4" t="n"/>
      <c r="D394" s="5" t="n"/>
      <c r="E394" s="3" t="n"/>
      <c r="F394" s="4" t="n"/>
      <c r="G394" s="5" t="n"/>
      <c r="H394" s="3" t="n"/>
      <c r="I394" s="4" t="n"/>
      <c r="J394" s="5" t="n"/>
      <c r="K394" s="3" t="n"/>
      <c r="L394" s="4" t="n"/>
      <c r="M394" s="5" t="n"/>
      <c r="N394" s="3" t="n"/>
      <c r="O394" s="4" t="n"/>
      <c r="P394" s="5" t="n"/>
      <c r="Q394" s="3" t="n"/>
      <c r="R394" s="4" t="n"/>
      <c r="S394" s="5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6">
        <f>IF(C394=0,0,IF(E394="",B394*D394/100,E394))</f>
        <v/>
      </c>
      <c r="AE394" s="6">
        <f>IF(F394=0,0,IF(H394="",B394*G394/100,H394))</f>
        <v/>
      </c>
      <c r="AF394" s="6">
        <f>IF(I394=0,0,IF(K394="",B394*J394/100,K394))</f>
        <v/>
      </c>
      <c r="AG394" s="6">
        <f>IF(L394=0,0,IF(N394="",B394*M394/100,N394))</f>
        <v/>
      </c>
      <c r="AH394" s="6">
        <f>IF(O394=0,0,IF(Q394="",B394*P394/100,Q394))</f>
        <v/>
      </c>
      <c r="AI394" s="6">
        <f>IF(R394=0,0,IF(T394="",B394*S394/100,T394))</f>
        <v/>
      </c>
      <c r="AJ394" s="6">
        <f>B394*0.035</f>
        <v/>
      </c>
      <c r="AK394" s="6">
        <f>B394*0.065</f>
        <v/>
      </c>
      <c r="AL394" s="6">
        <f>SUM(B394,AD394,AE394,AF394,AG394,AH394,AI394,U394,V394,AJ394,AK394)</f>
        <v/>
      </c>
      <c r="AM394" s="6">
        <f>B394*0.055</f>
        <v/>
      </c>
      <c r="AN394" s="6">
        <f>B394*0.035</f>
        <v/>
      </c>
      <c r="AO394" s="6">
        <f>B394*0.165</f>
        <v/>
      </c>
      <c r="AP394" s="6">
        <f>MAX(0,AL394-AM394-AO394)</f>
        <v/>
      </c>
      <c r="AQ394" s="6">
        <f>IF(AP394&lt;=490,0,IF(AP394&lt;=600,(AP394-490)*0.05,IF(AP394&lt;=730,5.5+(AP394-600)*0.10,IF(AP394&lt;=3896.67,18.5+(AP394-730)*0.175,IF(AP394&lt;=19896.67,572.67+(AP394-3896.67)*0.25,IF(AP394&lt;=50416.67,4572.67+(AP394-19896.67)*0.30,13728.67+(AP394-50416.67)*0.35))))))</f>
        <v/>
      </c>
      <c r="AR394" s="6">
        <f>SUM(AM394,AQ394,W394,X394,Y394,Z394,AA394,AN394,AO394)</f>
        <v/>
      </c>
      <c r="AS394" s="6">
        <f>AL394-AR394</f>
        <v/>
      </c>
      <c r="AT394" s="6">
        <f>AB394-AC394</f>
        <v/>
      </c>
    </row>
    <row r="395">
      <c r="A395" s="2" t="n"/>
      <c r="B395" s="3" t="n"/>
      <c r="C395" s="4" t="n"/>
      <c r="D395" s="5" t="n"/>
      <c r="E395" s="3" t="n"/>
      <c r="F395" s="4" t="n"/>
      <c r="G395" s="5" t="n"/>
      <c r="H395" s="3" t="n"/>
      <c r="I395" s="4" t="n"/>
      <c r="J395" s="5" t="n"/>
      <c r="K395" s="3" t="n"/>
      <c r="L395" s="4" t="n"/>
      <c r="M395" s="5" t="n"/>
      <c r="N395" s="3" t="n"/>
      <c r="O395" s="4" t="n"/>
      <c r="P395" s="5" t="n"/>
      <c r="Q395" s="3" t="n"/>
      <c r="R395" s="4" t="n"/>
      <c r="S395" s="5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6">
        <f>IF(C395=0,0,IF(E395="",B395*D395/100,E395))</f>
        <v/>
      </c>
      <c r="AE395" s="6">
        <f>IF(F395=0,0,IF(H395="",B395*G395/100,H395))</f>
        <v/>
      </c>
      <c r="AF395" s="6">
        <f>IF(I395=0,0,IF(K395="",B395*J395/100,K395))</f>
        <v/>
      </c>
      <c r="AG395" s="6">
        <f>IF(L395=0,0,IF(N395="",B395*M395/100,N395))</f>
        <v/>
      </c>
      <c r="AH395" s="6">
        <f>IF(O395=0,0,IF(Q395="",B395*P395/100,Q395))</f>
        <v/>
      </c>
      <c r="AI395" s="6">
        <f>IF(R395=0,0,IF(T395="",B395*S395/100,T395))</f>
        <v/>
      </c>
      <c r="AJ395" s="6">
        <f>B395*0.035</f>
        <v/>
      </c>
      <c r="AK395" s="6">
        <f>B395*0.065</f>
        <v/>
      </c>
      <c r="AL395" s="6">
        <f>SUM(B395,AD395,AE395,AF395,AG395,AH395,AI395,U395,V395,AJ395,AK395)</f>
        <v/>
      </c>
      <c r="AM395" s="6">
        <f>B395*0.055</f>
        <v/>
      </c>
      <c r="AN395" s="6">
        <f>B395*0.035</f>
        <v/>
      </c>
      <c r="AO395" s="6">
        <f>B395*0.165</f>
        <v/>
      </c>
      <c r="AP395" s="6">
        <f>MAX(0,AL395-AM395-AO395)</f>
        <v/>
      </c>
      <c r="AQ395" s="6">
        <f>IF(AP395&lt;=490,0,IF(AP395&lt;=600,(AP395-490)*0.05,IF(AP395&lt;=730,5.5+(AP395-600)*0.10,IF(AP395&lt;=3896.67,18.5+(AP395-730)*0.175,IF(AP395&lt;=19896.67,572.67+(AP395-3896.67)*0.25,IF(AP395&lt;=50416.67,4572.67+(AP395-19896.67)*0.30,13728.67+(AP395-50416.67)*0.35))))))</f>
        <v/>
      </c>
      <c r="AR395" s="6">
        <f>SUM(AM395,AQ395,W395,X395,Y395,Z395,AA395,AN395,AO395)</f>
        <v/>
      </c>
      <c r="AS395" s="6">
        <f>AL395-AR395</f>
        <v/>
      </c>
      <c r="AT395" s="6">
        <f>AB395-AC395</f>
        <v/>
      </c>
    </row>
    <row r="396">
      <c r="A396" s="2" t="n"/>
      <c r="B396" s="3" t="n"/>
      <c r="C396" s="4" t="n"/>
      <c r="D396" s="5" t="n"/>
      <c r="E396" s="3" t="n"/>
      <c r="F396" s="4" t="n"/>
      <c r="G396" s="5" t="n"/>
      <c r="H396" s="3" t="n"/>
      <c r="I396" s="4" t="n"/>
      <c r="J396" s="5" t="n"/>
      <c r="K396" s="3" t="n"/>
      <c r="L396" s="4" t="n"/>
      <c r="M396" s="5" t="n"/>
      <c r="N396" s="3" t="n"/>
      <c r="O396" s="4" t="n"/>
      <c r="P396" s="5" t="n"/>
      <c r="Q396" s="3" t="n"/>
      <c r="R396" s="4" t="n"/>
      <c r="S396" s="5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6">
        <f>IF(C396=0,0,IF(E396="",B396*D396/100,E396))</f>
        <v/>
      </c>
      <c r="AE396" s="6">
        <f>IF(F396=0,0,IF(H396="",B396*G396/100,H396))</f>
        <v/>
      </c>
      <c r="AF396" s="6">
        <f>IF(I396=0,0,IF(K396="",B396*J396/100,K396))</f>
        <v/>
      </c>
      <c r="AG396" s="6">
        <f>IF(L396=0,0,IF(N396="",B396*M396/100,N396))</f>
        <v/>
      </c>
      <c r="AH396" s="6">
        <f>IF(O396=0,0,IF(Q396="",B396*P396/100,Q396))</f>
        <v/>
      </c>
      <c r="AI396" s="6">
        <f>IF(R396=0,0,IF(T396="",B396*S396/100,T396))</f>
        <v/>
      </c>
      <c r="AJ396" s="6">
        <f>B396*0.035</f>
        <v/>
      </c>
      <c r="AK396" s="6">
        <f>B396*0.065</f>
        <v/>
      </c>
      <c r="AL396" s="6">
        <f>SUM(B396,AD396,AE396,AF396,AG396,AH396,AI396,U396,V396,AJ396,AK396)</f>
        <v/>
      </c>
      <c r="AM396" s="6">
        <f>B396*0.055</f>
        <v/>
      </c>
      <c r="AN396" s="6">
        <f>B396*0.035</f>
        <v/>
      </c>
      <c r="AO396" s="6">
        <f>B396*0.165</f>
        <v/>
      </c>
      <c r="AP396" s="6">
        <f>MAX(0,AL396-AM396-AO396)</f>
        <v/>
      </c>
      <c r="AQ396" s="6">
        <f>IF(AP396&lt;=490,0,IF(AP396&lt;=600,(AP396-490)*0.05,IF(AP396&lt;=730,5.5+(AP396-600)*0.10,IF(AP396&lt;=3896.67,18.5+(AP396-730)*0.175,IF(AP396&lt;=19896.67,572.67+(AP396-3896.67)*0.25,IF(AP396&lt;=50416.67,4572.67+(AP396-19896.67)*0.30,13728.67+(AP396-50416.67)*0.35))))))</f>
        <v/>
      </c>
      <c r="AR396" s="6">
        <f>SUM(AM396,AQ396,W396,X396,Y396,Z396,AA396,AN396,AO396)</f>
        <v/>
      </c>
      <c r="AS396" s="6">
        <f>AL396-AR396</f>
        <v/>
      </c>
      <c r="AT396" s="6">
        <f>AB396-AC396</f>
        <v/>
      </c>
    </row>
    <row r="397">
      <c r="A397" s="2" t="n"/>
      <c r="B397" s="3" t="n"/>
      <c r="C397" s="4" t="n"/>
      <c r="D397" s="5" t="n"/>
      <c r="E397" s="3" t="n"/>
      <c r="F397" s="4" t="n"/>
      <c r="G397" s="5" t="n"/>
      <c r="H397" s="3" t="n"/>
      <c r="I397" s="4" t="n"/>
      <c r="J397" s="5" t="n"/>
      <c r="K397" s="3" t="n"/>
      <c r="L397" s="4" t="n"/>
      <c r="M397" s="5" t="n"/>
      <c r="N397" s="3" t="n"/>
      <c r="O397" s="4" t="n"/>
      <c r="P397" s="5" t="n"/>
      <c r="Q397" s="3" t="n"/>
      <c r="R397" s="4" t="n"/>
      <c r="S397" s="5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6">
        <f>IF(C397=0,0,IF(E397="",B397*D397/100,E397))</f>
        <v/>
      </c>
      <c r="AE397" s="6">
        <f>IF(F397=0,0,IF(H397="",B397*G397/100,H397))</f>
        <v/>
      </c>
      <c r="AF397" s="6">
        <f>IF(I397=0,0,IF(K397="",B397*J397/100,K397))</f>
        <v/>
      </c>
      <c r="AG397" s="6">
        <f>IF(L397=0,0,IF(N397="",B397*M397/100,N397))</f>
        <v/>
      </c>
      <c r="AH397" s="6">
        <f>IF(O397=0,0,IF(Q397="",B397*P397/100,Q397))</f>
        <v/>
      </c>
      <c r="AI397" s="6">
        <f>IF(R397=0,0,IF(T397="",B397*S397/100,T397))</f>
        <v/>
      </c>
      <c r="AJ397" s="6">
        <f>B397*0.035</f>
        <v/>
      </c>
      <c r="AK397" s="6">
        <f>B397*0.065</f>
        <v/>
      </c>
      <c r="AL397" s="6">
        <f>SUM(B397,AD397,AE397,AF397,AG397,AH397,AI397,U397,V397,AJ397,AK397)</f>
        <v/>
      </c>
      <c r="AM397" s="6">
        <f>B397*0.055</f>
        <v/>
      </c>
      <c r="AN397" s="6">
        <f>B397*0.035</f>
        <v/>
      </c>
      <c r="AO397" s="6">
        <f>B397*0.165</f>
        <v/>
      </c>
      <c r="AP397" s="6">
        <f>MAX(0,AL397-AM397-AO397)</f>
        <v/>
      </c>
      <c r="AQ397" s="6">
        <f>IF(AP397&lt;=490,0,IF(AP397&lt;=600,(AP397-490)*0.05,IF(AP397&lt;=730,5.5+(AP397-600)*0.10,IF(AP397&lt;=3896.67,18.5+(AP397-730)*0.175,IF(AP397&lt;=19896.67,572.67+(AP397-3896.67)*0.25,IF(AP397&lt;=50416.67,4572.67+(AP397-19896.67)*0.30,13728.67+(AP397-50416.67)*0.35))))))</f>
        <v/>
      </c>
      <c r="AR397" s="6">
        <f>SUM(AM397,AQ397,W397,X397,Y397,Z397,AA397,AN397,AO397)</f>
        <v/>
      </c>
      <c r="AS397" s="6">
        <f>AL397-AR397</f>
        <v/>
      </c>
      <c r="AT397" s="6">
        <f>AB397-AC397</f>
        <v/>
      </c>
    </row>
    <row r="398">
      <c r="A398" s="2" t="n"/>
      <c r="B398" s="3" t="n"/>
      <c r="C398" s="4" t="n"/>
      <c r="D398" s="5" t="n"/>
      <c r="E398" s="3" t="n"/>
      <c r="F398" s="4" t="n"/>
      <c r="G398" s="5" t="n"/>
      <c r="H398" s="3" t="n"/>
      <c r="I398" s="4" t="n"/>
      <c r="J398" s="5" t="n"/>
      <c r="K398" s="3" t="n"/>
      <c r="L398" s="4" t="n"/>
      <c r="M398" s="5" t="n"/>
      <c r="N398" s="3" t="n"/>
      <c r="O398" s="4" t="n"/>
      <c r="P398" s="5" t="n"/>
      <c r="Q398" s="3" t="n"/>
      <c r="R398" s="4" t="n"/>
      <c r="S398" s="5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6">
        <f>IF(C398=0,0,IF(E398="",B398*D398/100,E398))</f>
        <v/>
      </c>
      <c r="AE398" s="6">
        <f>IF(F398=0,0,IF(H398="",B398*G398/100,H398))</f>
        <v/>
      </c>
      <c r="AF398" s="6">
        <f>IF(I398=0,0,IF(K398="",B398*J398/100,K398))</f>
        <v/>
      </c>
      <c r="AG398" s="6">
        <f>IF(L398=0,0,IF(N398="",B398*M398/100,N398))</f>
        <v/>
      </c>
      <c r="AH398" s="6">
        <f>IF(O398=0,0,IF(Q398="",B398*P398/100,Q398))</f>
        <v/>
      </c>
      <c r="AI398" s="6">
        <f>IF(R398=0,0,IF(T398="",B398*S398/100,T398))</f>
        <v/>
      </c>
      <c r="AJ398" s="6">
        <f>B398*0.035</f>
        <v/>
      </c>
      <c r="AK398" s="6">
        <f>B398*0.065</f>
        <v/>
      </c>
      <c r="AL398" s="6">
        <f>SUM(B398,AD398,AE398,AF398,AG398,AH398,AI398,U398,V398,AJ398,AK398)</f>
        <v/>
      </c>
      <c r="AM398" s="6">
        <f>B398*0.055</f>
        <v/>
      </c>
      <c r="AN398" s="6">
        <f>B398*0.035</f>
        <v/>
      </c>
      <c r="AO398" s="6">
        <f>B398*0.165</f>
        <v/>
      </c>
      <c r="AP398" s="6">
        <f>MAX(0,AL398-AM398-AO398)</f>
        <v/>
      </c>
      <c r="AQ398" s="6">
        <f>IF(AP398&lt;=490,0,IF(AP398&lt;=600,(AP398-490)*0.05,IF(AP398&lt;=730,5.5+(AP398-600)*0.10,IF(AP398&lt;=3896.67,18.5+(AP398-730)*0.175,IF(AP398&lt;=19896.67,572.67+(AP398-3896.67)*0.25,IF(AP398&lt;=50416.67,4572.67+(AP398-19896.67)*0.30,13728.67+(AP398-50416.67)*0.35))))))</f>
        <v/>
      </c>
      <c r="AR398" s="6">
        <f>SUM(AM398,AQ398,W398,X398,Y398,Z398,AA398,AN398,AO398)</f>
        <v/>
      </c>
      <c r="AS398" s="6">
        <f>AL398-AR398</f>
        <v/>
      </c>
      <c r="AT398" s="6">
        <f>AB398-AC398</f>
        <v/>
      </c>
    </row>
    <row r="399">
      <c r="A399" s="2" t="n"/>
      <c r="B399" s="3" t="n"/>
      <c r="C399" s="4" t="n"/>
      <c r="D399" s="5" t="n"/>
      <c r="E399" s="3" t="n"/>
      <c r="F399" s="4" t="n"/>
      <c r="G399" s="5" t="n"/>
      <c r="H399" s="3" t="n"/>
      <c r="I399" s="4" t="n"/>
      <c r="J399" s="5" t="n"/>
      <c r="K399" s="3" t="n"/>
      <c r="L399" s="4" t="n"/>
      <c r="M399" s="5" t="n"/>
      <c r="N399" s="3" t="n"/>
      <c r="O399" s="4" t="n"/>
      <c r="P399" s="5" t="n"/>
      <c r="Q399" s="3" t="n"/>
      <c r="R399" s="4" t="n"/>
      <c r="S399" s="5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6">
        <f>IF(C399=0,0,IF(E399="",B399*D399/100,E399))</f>
        <v/>
      </c>
      <c r="AE399" s="6">
        <f>IF(F399=0,0,IF(H399="",B399*G399/100,H399))</f>
        <v/>
      </c>
      <c r="AF399" s="6">
        <f>IF(I399=0,0,IF(K399="",B399*J399/100,K399))</f>
        <v/>
      </c>
      <c r="AG399" s="6">
        <f>IF(L399=0,0,IF(N399="",B399*M399/100,N399))</f>
        <v/>
      </c>
      <c r="AH399" s="6">
        <f>IF(O399=0,0,IF(Q399="",B399*P399/100,Q399))</f>
        <v/>
      </c>
      <c r="AI399" s="6">
        <f>IF(R399=0,0,IF(T399="",B399*S399/100,T399))</f>
        <v/>
      </c>
      <c r="AJ399" s="6">
        <f>B399*0.035</f>
        <v/>
      </c>
      <c r="AK399" s="6">
        <f>B399*0.065</f>
        <v/>
      </c>
      <c r="AL399" s="6">
        <f>SUM(B399,AD399,AE399,AF399,AG399,AH399,AI399,U399,V399,AJ399,AK399)</f>
        <v/>
      </c>
      <c r="AM399" s="6">
        <f>B399*0.055</f>
        <v/>
      </c>
      <c r="AN399" s="6">
        <f>B399*0.035</f>
        <v/>
      </c>
      <c r="AO399" s="6">
        <f>B399*0.165</f>
        <v/>
      </c>
      <c r="AP399" s="6">
        <f>MAX(0,AL399-AM399-AO399)</f>
        <v/>
      </c>
      <c r="AQ399" s="6">
        <f>IF(AP399&lt;=490,0,IF(AP399&lt;=600,(AP399-490)*0.05,IF(AP399&lt;=730,5.5+(AP399-600)*0.10,IF(AP399&lt;=3896.67,18.5+(AP399-730)*0.175,IF(AP399&lt;=19896.67,572.67+(AP399-3896.67)*0.25,IF(AP399&lt;=50416.67,4572.67+(AP399-19896.67)*0.30,13728.67+(AP399-50416.67)*0.35))))))</f>
        <v/>
      </c>
      <c r="AR399" s="6">
        <f>SUM(AM399,AQ399,W399,X399,Y399,Z399,AA399,AN399,AO399)</f>
        <v/>
      </c>
      <c r="AS399" s="6">
        <f>AL399-AR399</f>
        <v/>
      </c>
      <c r="AT399" s="6">
        <f>AB399-AC399</f>
        <v/>
      </c>
    </row>
    <row r="400">
      <c r="A400" s="2" t="n"/>
      <c r="B400" s="3" t="n"/>
      <c r="C400" s="4" t="n"/>
      <c r="D400" s="5" t="n"/>
      <c r="E400" s="3" t="n"/>
      <c r="F400" s="4" t="n"/>
      <c r="G400" s="5" t="n"/>
      <c r="H400" s="3" t="n"/>
      <c r="I400" s="4" t="n"/>
      <c r="J400" s="5" t="n"/>
      <c r="K400" s="3" t="n"/>
      <c r="L400" s="4" t="n"/>
      <c r="M400" s="5" t="n"/>
      <c r="N400" s="3" t="n"/>
      <c r="O400" s="4" t="n"/>
      <c r="P400" s="5" t="n"/>
      <c r="Q400" s="3" t="n"/>
      <c r="R400" s="4" t="n"/>
      <c r="S400" s="5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6">
        <f>IF(C400=0,0,IF(E400="",B400*D400/100,E400))</f>
        <v/>
      </c>
      <c r="AE400" s="6">
        <f>IF(F400=0,0,IF(H400="",B400*G400/100,H400))</f>
        <v/>
      </c>
      <c r="AF400" s="6">
        <f>IF(I400=0,0,IF(K400="",B400*J400/100,K400))</f>
        <v/>
      </c>
      <c r="AG400" s="6">
        <f>IF(L400=0,0,IF(N400="",B400*M400/100,N400))</f>
        <v/>
      </c>
      <c r="AH400" s="6">
        <f>IF(O400=0,0,IF(Q400="",B400*P400/100,Q400))</f>
        <v/>
      </c>
      <c r="AI400" s="6">
        <f>IF(R400=0,0,IF(T400="",B400*S400/100,T400))</f>
        <v/>
      </c>
      <c r="AJ400" s="6">
        <f>B400*0.035</f>
        <v/>
      </c>
      <c r="AK400" s="6">
        <f>B400*0.065</f>
        <v/>
      </c>
      <c r="AL400" s="6">
        <f>SUM(B400,AD400,AE400,AF400,AG400,AH400,AI400,U400,V400,AJ400,AK400)</f>
        <v/>
      </c>
      <c r="AM400" s="6">
        <f>B400*0.055</f>
        <v/>
      </c>
      <c r="AN400" s="6">
        <f>B400*0.035</f>
        <v/>
      </c>
      <c r="AO400" s="6">
        <f>B400*0.165</f>
        <v/>
      </c>
      <c r="AP400" s="6">
        <f>MAX(0,AL400-AM400-AO400)</f>
        <v/>
      </c>
      <c r="AQ400" s="6">
        <f>IF(AP400&lt;=490,0,IF(AP400&lt;=600,(AP400-490)*0.05,IF(AP400&lt;=730,5.5+(AP400-600)*0.10,IF(AP400&lt;=3896.67,18.5+(AP400-730)*0.175,IF(AP400&lt;=19896.67,572.67+(AP400-3896.67)*0.25,IF(AP400&lt;=50416.67,4572.67+(AP400-19896.67)*0.30,13728.67+(AP400-50416.67)*0.35))))))</f>
        <v/>
      </c>
      <c r="AR400" s="6">
        <f>SUM(AM400,AQ400,W400,X400,Y400,Z400,AA400,AN400,AO400)</f>
        <v/>
      </c>
      <c r="AS400" s="6">
        <f>AL400-AR400</f>
        <v/>
      </c>
      <c r="AT400" s="6">
        <f>AB400-AC400</f>
        <v/>
      </c>
    </row>
    <row r="401">
      <c r="A401" s="2" t="n"/>
      <c r="B401" s="3" t="n"/>
      <c r="C401" s="4" t="n"/>
      <c r="D401" s="5" t="n"/>
      <c r="E401" s="3" t="n"/>
      <c r="F401" s="4" t="n"/>
      <c r="G401" s="5" t="n"/>
      <c r="H401" s="3" t="n"/>
      <c r="I401" s="4" t="n"/>
      <c r="J401" s="5" t="n"/>
      <c r="K401" s="3" t="n"/>
      <c r="L401" s="4" t="n"/>
      <c r="M401" s="5" t="n"/>
      <c r="N401" s="3" t="n"/>
      <c r="O401" s="4" t="n"/>
      <c r="P401" s="5" t="n"/>
      <c r="Q401" s="3" t="n"/>
      <c r="R401" s="4" t="n"/>
      <c r="S401" s="5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6">
        <f>IF(C401=0,0,IF(E401="",B401*D401/100,E401))</f>
        <v/>
      </c>
      <c r="AE401" s="6">
        <f>IF(F401=0,0,IF(H401="",B401*G401/100,H401))</f>
        <v/>
      </c>
      <c r="AF401" s="6">
        <f>IF(I401=0,0,IF(K401="",B401*J401/100,K401))</f>
        <v/>
      </c>
      <c r="AG401" s="6">
        <f>IF(L401=0,0,IF(N401="",B401*M401/100,N401))</f>
        <v/>
      </c>
      <c r="AH401" s="6">
        <f>IF(O401=0,0,IF(Q401="",B401*P401/100,Q401))</f>
        <v/>
      </c>
      <c r="AI401" s="6">
        <f>IF(R401=0,0,IF(T401="",B401*S401/100,T401))</f>
        <v/>
      </c>
      <c r="AJ401" s="6">
        <f>B401*0.035</f>
        <v/>
      </c>
      <c r="AK401" s="6">
        <f>B401*0.065</f>
        <v/>
      </c>
      <c r="AL401" s="6">
        <f>SUM(B401,AD401,AE401,AF401,AG401,AH401,AI401,U401,V401,AJ401,AK401)</f>
        <v/>
      </c>
      <c r="AM401" s="6">
        <f>B401*0.055</f>
        <v/>
      </c>
      <c r="AN401" s="6">
        <f>B401*0.035</f>
        <v/>
      </c>
      <c r="AO401" s="6">
        <f>B401*0.165</f>
        <v/>
      </c>
      <c r="AP401" s="6">
        <f>MAX(0,AL401-AM401-AO401)</f>
        <v/>
      </c>
      <c r="AQ401" s="6">
        <f>IF(AP401&lt;=490,0,IF(AP401&lt;=600,(AP401-490)*0.05,IF(AP401&lt;=730,5.5+(AP401-600)*0.10,IF(AP401&lt;=3896.67,18.5+(AP401-730)*0.175,IF(AP401&lt;=19896.67,572.67+(AP401-3896.67)*0.25,IF(AP401&lt;=50416.67,4572.67+(AP401-19896.67)*0.30,13728.67+(AP401-50416.67)*0.35))))))</f>
        <v/>
      </c>
      <c r="AR401" s="6">
        <f>SUM(AM401,AQ401,W401,X401,Y401,Z401,AA401,AN401,AO401)</f>
        <v/>
      </c>
      <c r="AS401" s="6">
        <f>AL401-AR401</f>
        <v/>
      </c>
      <c r="AT401" s="6">
        <f>AB401-AC401</f>
        <v/>
      </c>
    </row>
    <row r="402">
      <c r="A402" s="2" t="n"/>
      <c r="B402" s="3" t="n"/>
      <c r="C402" s="4" t="n"/>
      <c r="D402" s="5" t="n"/>
      <c r="E402" s="3" t="n"/>
      <c r="F402" s="4" t="n"/>
      <c r="G402" s="5" t="n"/>
      <c r="H402" s="3" t="n"/>
      <c r="I402" s="4" t="n"/>
      <c r="J402" s="5" t="n"/>
      <c r="K402" s="3" t="n"/>
      <c r="L402" s="4" t="n"/>
      <c r="M402" s="5" t="n"/>
      <c r="N402" s="3" t="n"/>
      <c r="O402" s="4" t="n"/>
      <c r="P402" s="5" t="n"/>
      <c r="Q402" s="3" t="n"/>
      <c r="R402" s="4" t="n"/>
      <c r="S402" s="5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6">
        <f>IF(C402=0,0,IF(E402="",B402*D402/100,E402))</f>
        <v/>
      </c>
      <c r="AE402" s="6">
        <f>IF(F402=0,0,IF(H402="",B402*G402/100,H402))</f>
        <v/>
      </c>
      <c r="AF402" s="6">
        <f>IF(I402=0,0,IF(K402="",B402*J402/100,K402))</f>
        <v/>
      </c>
      <c r="AG402" s="6">
        <f>IF(L402=0,0,IF(N402="",B402*M402/100,N402))</f>
        <v/>
      </c>
      <c r="AH402" s="6">
        <f>IF(O402=0,0,IF(Q402="",B402*P402/100,Q402))</f>
        <v/>
      </c>
      <c r="AI402" s="6">
        <f>IF(R402=0,0,IF(T402="",B402*S402/100,T402))</f>
        <v/>
      </c>
      <c r="AJ402" s="6">
        <f>B402*0.035</f>
        <v/>
      </c>
      <c r="AK402" s="6">
        <f>B402*0.065</f>
        <v/>
      </c>
      <c r="AL402" s="6">
        <f>SUM(B402,AD402,AE402,AF402,AG402,AH402,AI402,U402,V402,AJ402,AK402)</f>
        <v/>
      </c>
      <c r="AM402" s="6">
        <f>B402*0.055</f>
        <v/>
      </c>
      <c r="AN402" s="6">
        <f>B402*0.035</f>
        <v/>
      </c>
      <c r="AO402" s="6">
        <f>B402*0.165</f>
        <v/>
      </c>
      <c r="AP402" s="6">
        <f>MAX(0,AL402-AM402-AO402)</f>
        <v/>
      </c>
      <c r="AQ402" s="6">
        <f>IF(AP402&lt;=490,0,IF(AP402&lt;=600,(AP402-490)*0.05,IF(AP402&lt;=730,5.5+(AP402-600)*0.10,IF(AP402&lt;=3896.67,18.5+(AP402-730)*0.175,IF(AP402&lt;=19896.67,572.67+(AP402-3896.67)*0.25,IF(AP402&lt;=50416.67,4572.67+(AP402-19896.67)*0.30,13728.67+(AP402-50416.67)*0.35))))))</f>
        <v/>
      </c>
      <c r="AR402" s="6">
        <f>SUM(AM402,AQ402,W402,X402,Y402,Z402,AA402,AN402,AO402)</f>
        <v/>
      </c>
      <c r="AS402" s="6">
        <f>AL402-AR402</f>
        <v/>
      </c>
      <c r="AT402" s="6">
        <f>AB402-AC402</f>
        <v/>
      </c>
    </row>
    <row r="403">
      <c r="A403" s="2" t="n"/>
      <c r="B403" s="3" t="n"/>
      <c r="C403" s="4" t="n"/>
      <c r="D403" s="5" t="n"/>
      <c r="E403" s="3" t="n"/>
      <c r="F403" s="4" t="n"/>
      <c r="G403" s="5" t="n"/>
      <c r="H403" s="3" t="n"/>
      <c r="I403" s="4" t="n"/>
      <c r="J403" s="5" t="n"/>
      <c r="K403" s="3" t="n"/>
      <c r="L403" s="4" t="n"/>
      <c r="M403" s="5" t="n"/>
      <c r="N403" s="3" t="n"/>
      <c r="O403" s="4" t="n"/>
      <c r="P403" s="5" t="n"/>
      <c r="Q403" s="3" t="n"/>
      <c r="R403" s="4" t="n"/>
      <c r="S403" s="5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6">
        <f>IF(C403=0,0,IF(E403="",B403*D403/100,E403))</f>
        <v/>
      </c>
      <c r="AE403" s="6">
        <f>IF(F403=0,0,IF(H403="",B403*G403/100,H403))</f>
        <v/>
      </c>
      <c r="AF403" s="6">
        <f>IF(I403=0,0,IF(K403="",B403*J403/100,K403))</f>
        <v/>
      </c>
      <c r="AG403" s="6">
        <f>IF(L403=0,0,IF(N403="",B403*M403/100,N403))</f>
        <v/>
      </c>
      <c r="AH403" s="6">
        <f>IF(O403=0,0,IF(Q403="",B403*P403/100,Q403))</f>
        <v/>
      </c>
      <c r="AI403" s="6">
        <f>IF(R403=0,0,IF(T403="",B403*S403/100,T403))</f>
        <v/>
      </c>
      <c r="AJ403" s="6">
        <f>B403*0.035</f>
        <v/>
      </c>
      <c r="AK403" s="6">
        <f>B403*0.065</f>
        <v/>
      </c>
      <c r="AL403" s="6">
        <f>SUM(B403,AD403,AE403,AF403,AG403,AH403,AI403,U403,V403,AJ403,AK403)</f>
        <v/>
      </c>
      <c r="AM403" s="6">
        <f>B403*0.055</f>
        <v/>
      </c>
      <c r="AN403" s="6">
        <f>B403*0.035</f>
        <v/>
      </c>
      <c r="AO403" s="6">
        <f>B403*0.165</f>
        <v/>
      </c>
      <c r="AP403" s="6">
        <f>MAX(0,AL403-AM403-AO403)</f>
        <v/>
      </c>
      <c r="AQ403" s="6">
        <f>IF(AP403&lt;=490,0,IF(AP403&lt;=600,(AP403-490)*0.05,IF(AP403&lt;=730,5.5+(AP403-600)*0.10,IF(AP403&lt;=3896.67,18.5+(AP403-730)*0.175,IF(AP403&lt;=19896.67,572.67+(AP403-3896.67)*0.25,IF(AP403&lt;=50416.67,4572.67+(AP403-19896.67)*0.30,13728.67+(AP403-50416.67)*0.35))))))</f>
        <v/>
      </c>
      <c r="AR403" s="6">
        <f>SUM(AM403,AQ403,W403,X403,Y403,Z403,AA403,AN403,AO403)</f>
        <v/>
      </c>
      <c r="AS403" s="6">
        <f>AL403-AR403</f>
        <v/>
      </c>
      <c r="AT403" s="6">
        <f>AB403-AC403</f>
        <v/>
      </c>
    </row>
    <row r="404">
      <c r="A404" s="2" t="n"/>
      <c r="B404" s="3" t="n"/>
      <c r="C404" s="4" t="n"/>
      <c r="D404" s="5" t="n"/>
      <c r="E404" s="3" t="n"/>
      <c r="F404" s="4" t="n"/>
      <c r="G404" s="5" t="n"/>
      <c r="H404" s="3" t="n"/>
      <c r="I404" s="4" t="n"/>
      <c r="J404" s="5" t="n"/>
      <c r="K404" s="3" t="n"/>
      <c r="L404" s="4" t="n"/>
      <c r="M404" s="5" t="n"/>
      <c r="N404" s="3" t="n"/>
      <c r="O404" s="4" t="n"/>
      <c r="P404" s="5" t="n"/>
      <c r="Q404" s="3" t="n"/>
      <c r="R404" s="4" t="n"/>
      <c r="S404" s="5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6">
        <f>IF(C404=0,0,IF(E404="",B404*D404/100,E404))</f>
        <v/>
      </c>
      <c r="AE404" s="6">
        <f>IF(F404=0,0,IF(H404="",B404*G404/100,H404))</f>
        <v/>
      </c>
      <c r="AF404" s="6">
        <f>IF(I404=0,0,IF(K404="",B404*J404/100,K404))</f>
        <v/>
      </c>
      <c r="AG404" s="6">
        <f>IF(L404=0,0,IF(N404="",B404*M404/100,N404))</f>
        <v/>
      </c>
      <c r="AH404" s="6">
        <f>IF(O404=0,0,IF(Q404="",B404*P404/100,Q404))</f>
        <v/>
      </c>
      <c r="AI404" s="6">
        <f>IF(R404=0,0,IF(T404="",B404*S404/100,T404))</f>
        <v/>
      </c>
      <c r="AJ404" s="6">
        <f>B404*0.035</f>
        <v/>
      </c>
      <c r="AK404" s="6">
        <f>B404*0.065</f>
        <v/>
      </c>
      <c r="AL404" s="6">
        <f>SUM(B404,AD404,AE404,AF404,AG404,AH404,AI404,U404,V404,AJ404,AK404)</f>
        <v/>
      </c>
      <c r="AM404" s="6">
        <f>B404*0.055</f>
        <v/>
      </c>
      <c r="AN404" s="6">
        <f>B404*0.035</f>
        <v/>
      </c>
      <c r="AO404" s="6">
        <f>B404*0.165</f>
        <v/>
      </c>
      <c r="AP404" s="6">
        <f>MAX(0,AL404-AM404-AO404)</f>
        <v/>
      </c>
      <c r="AQ404" s="6">
        <f>IF(AP404&lt;=490,0,IF(AP404&lt;=600,(AP404-490)*0.05,IF(AP404&lt;=730,5.5+(AP404-600)*0.10,IF(AP404&lt;=3896.67,18.5+(AP404-730)*0.175,IF(AP404&lt;=19896.67,572.67+(AP404-3896.67)*0.25,IF(AP404&lt;=50416.67,4572.67+(AP404-19896.67)*0.30,13728.67+(AP404-50416.67)*0.35))))))</f>
        <v/>
      </c>
      <c r="AR404" s="6">
        <f>SUM(AM404,AQ404,W404,X404,Y404,Z404,AA404,AN404,AO404)</f>
        <v/>
      </c>
      <c r="AS404" s="6">
        <f>AL404-AR404</f>
        <v/>
      </c>
      <c r="AT404" s="6">
        <f>AB404-AC404</f>
        <v/>
      </c>
    </row>
    <row r="405">
      <c r="A405" s="2" t="n"/>
      <c r="B405" s="3" t="n"/>
      <c r="C405" s="4" t="n"/>
      <c r="D405" s="5" t="n"/>
      <c r="E405" s="3" t="n"/>
      <c r="F405" s="4" t="n"/>
      <c r="G405" s="5" t="n"/>
      <c r="H405" s="3" t="n"/>
      <c r="I405" s="4" t="n"/>
      <c r="J405" s="5" t="n"/>
      <c r="K405" s="3" t="n"/>
      <c r="L405" s="4" t="n"/>
      <c r="M405" s="5" t="n"/>
      <c r="N405" s="3" t="n"/>
      <c r="O405" s="4" t="n"/>
      <c r="P405" s="5" t="n"/>
      <c r="Q405" s="3" t="n"/>
      <c r="R405" s="4" t="n"/>
      <c r="S405" s="5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6">
        <f>IF(C405=0,0,IF(E405="",B405*D405/100,E405))</f>
        <v/>
      </c>
      <c r="AE405" s="6">
        <f>IF(F405=0,0,IF(H405="",B405*G405/100,H405))</f>
        <v/>
      </c>
      <c r="AF405" s="6">
        <f>IF(I405=0,0,IF(K405="",B405*J405/100,K405))</f>
        <v/>
      </c>
      <c r="AG405" s="6">
        <f>IF(L405=0,0,IF(N405="",B405*M405/100,N405))</f>
        <v/>
      </c>
      <c r="AH405" s="6">
        <f>IF(O405=0,0,IF(Q405="",B405*P405/100,Q405))</f>
        <v/>
      </c>
      <c r="AI405" s="6">
        <f>IF(R405=0,0,IF(T405="",B405*S405/100,T405))</f>
        <v/>
      </c>
      <c r="AJ405" s="6">
        <f>B405*0.035</f>
        <v/>
      </c>
      <c r="AK405" s="6">
        <f>B405*0.065</f>
        <v/>
      </c>
      <c r="AL405" s="6">
        <f>SUM(B405,AD405,AE405,AF405,AG405,AH405,AI405,U405,V405,AJ405,AK405)</f>
        <v/>
      </c>
      <c r="AM405" s="6">
        <f>B405*0.055</f>
        <v/>
      </c>
      <c r="AN405" s="6">
        <f>B405*0.035</f>
        <v/>
      </c>
      <c r="AO405" s="6">
        <f>B405*0.165</f>
        <v/>
      </c>
      <c r="AP405" s="6">
        <f>MAX(0,AL405-AM405-AO405)</f>
        <v/>
      </c>
      <c r="AQ405" s="6">
        <f>IF(AP405&lt;=490,0,IF(AP405&lt;=600,(AP405-490)*0.05,IF(AP405&lt;=730,5.5+(AP405-600)*0.10,IF(AP405&lt;=3896.67,18.5+(AP405-730)*0.175,IF(AP405&lt;=19896.67,572.67+(AP405-3896.67)*0.25,IF(AP405&lt;=50416.67,4572.67+(AP405-19896.67)*0.30,13728.67+(AP405-50416.67)*0.35))))))</f>
        <v/>
      </c>
      <c r="AR405" s="6">
        <f>SUM(AM405,AQ405,W405,X405,Y405,Z405,AA405,AN405,AO405)</f>
        <v/>
      </c>
      <c r="AS405" s="6">
        <f>AL405-AR405</f>
        <v/>
      </c>
      <c r="AT405" s="6">
        <f>AB405-AC405</f>
        <v/>
      </c>
    </row>
    <row r="406">
      <c r="A406" s="2" t="n"/>
      <c r="B406" s="3" t="n"/>
      <c r="C406" s="4" t="n"/>
      <c r="D406" s="5" t="n"/>
      <c r="E406" s="3" t="n"/>
      <c r="F406" s="4" t="n"/>
      <c r="G406" s="5" t="n"/>
      <c r="H406" s="3" t="n"/>
      <c r="I406" s="4" t="n"/>
      <c r="J406" s="5" t="n"/>
      <c r="K406" s="3" t="n"/>
      <c r="L406" s="4" t="n"/>
      <c r="M406" s="5" t="n"/>
      <c r="N406" s="3" t="n"/>
      <c r="O406" s="4" t="n"/>
      <c r="P406" s="5" t="n"/>
      <c r="Q406" s="3" t="n"/>
      <c r="R406" s="4" t="n"/>
      <c r="S406" s="5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6">
        <f>IF(C406=0,0,IF(E406="",B406*D406/100,E406))</f>
        <v/>
      </c>
      <c r="AE406" s="6">
        <f>IF(F406=0,0,IF(H406="",B406*G406/100,H406))</f>
        <v/>
      </c>
      <c r="AF406" s="6">
        <f>IF(I406=0,0,IF(K406="",B406*J406/100,K406))</f>
        <v/>
      </c>
      <c r="AG406" s="6">
        <f>IF(L406=0,0,IF(N406="",B406*M406/100,N406))</f>
        <v/>
      </c>
      <c r="AH406" s="6">
        <f>IF(O406=0,0,IF(Q406="",B406*P406/100,Q406))</f>
        <v/>
      </c>
      <c r="AI406" s="6">
        <f>IF(R406=0,0,IF(T406="",B406*S406/100,T406))</f>
        <v/>
      </c>
      <c r="AJ406" s="6">
        <f>B406*0.035</f>
        <v/>
      </c>
      <c r="AK406" s="6">
        <f>B406*0.065</f>
        <v/>
      </c>
      <c r="AL406" s="6">
        <f>SUM(B406,AD406,AE406,AF406,AG406,AH406,AI406,U406,V406,AJ406,AK406)</f>
        <v/>
      </c>
      <c r="AM406" s="6">
        <f>B406*0.055</f>
        <v/>
      </c>
      <c r="AN406" s="6">
        <f>B406*0.035</f>
        <v/>
      </c>
      <c r="AO406" s="6">
        <f>B406*0.165</f>
        <v/>
      </c>
      <c r="AP406" s="6">
        <f>MAX(0,AL406-AM406-AO406)</f>
        <v/>
      </c>
      <c r="AQ406" s="6">
        <f>IF(AP406&lt;=490,0,IF(AP406&lt;=600,(AP406-490)*0.05,IF(AP406&lt;=730,5.5+(AP406-600)*0.10,IF(AP406&lt;=3896.67,18.5+(AP406-730)*0.175,IF(AP406&lt;=19896.67,572.67+(AP406-3896.67)*0.25,IF(AP406&lt;=50416.67,4572.67+(AP406-19896.67)*0.30,13728.67+(AP406-50416.67)*0.35))))))</f>
        <v/>
      </c>
      <c r="AR406" s="6">
        <f>SUM(AM406,AQ406,W406,X406,Y406,Z406,AA406,AN406,AO406)</f>
        <v/>
      </c>
      <c r="AS406" s="6">
        <f>AL406-AR406</f>
        <v/>
      </c>
      <c r="AT406" s="6">
        <f>AB406-AC406</f>
        <v/>
      </c>
    </row>
    <row r="407">
      <c r="A407" s="2" t="n"/>
      <c r="B407" s="3" t="n"/>
      <c r="C407" s="4" t="n"/>
      <c r="D407" s="5" t="n"/>
      <c r="E407" s="3" t="n"/>
      <c r="F407" s="4" t="n"/>
      <c r="G407" s="5" t="n"/>
      <c r="H407" s="3" t="n"/>
      <c r="I407" s="4" t="n"/>
      <c r="J407" s="5" t="n"/>
      <c r="K407" s="3" t="n"/>
      <c r="L407" s="4" t="n"/>
      <c r="M407" s="5" t="n"/>
      <c r="N407" s="3" t="n"/>
      <c r="O407" s="4" t="n"/>
      <c r="P407" s="5" t="n"/>
      <c r="Q407" s="3" t="n"/>
      <c r="R407" s="4" t="n"/>
      <c r="S407" s="5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6">
        <f>IF(C407=0,0,IF(E407="",B407*D407/100,E407))</f>
        <v/>
      </c>
      <c r="AE407" s="6">
        <f>IF(F407=0,0,IF(H407="",B407*G407/100,H407))</f>
        <v/>
      </c>
      <c r="AF407" s="6">
        <f>IF(I407=0,0,IF(K407="",B407*J407/100,K407))</f>
        <v/>
      </c>
      <c r="AG407" s="6">
        <f>IF(L407=0,0,IF(N407="",B407*M407/100,N407))</f>
        <v/>
      </c>
      <c r="AH407" s="6">
        <f>IF(O407=0,0,IF(Q407="",B407*P407/100,Q407))</f>
        <v/>
      </c>
      <c r="AI407" s="6">
        <f>IF(R407=0,0,IF(T407="",B407*S407/100,T407))</f>
        <v/>
      </c>
      <c r="AJ407" s="6">
        <f>B407*0.035</f>
        <v/>
      </c>
      <c r="AK407" s="6">
        <f>B407*0.065</f>
        <v/>
      </c>
      <c r="AL407" s="6">
        <f>SUM(B407,AD407,AE407,AF407,AG407,AH407,AI407,U407,V407,AJ407,AK407)</f>
        <v/>
      </c>
      <c r="AM407" s="6">
        <f>B407*0.055</f>
        <v/>
      </c>
      <c r="AN407" s="6">
        <f>B407*0.035</f>
        <v/>
      </c>
      <c r="AO407" s="6">
        <f>B407*0.165</f>
        <v/>
      </c>
      <c r="AP407" s="6">
        <f>MAX(0,AL407-AM407-AO407)</f>
        <v/>
      </c>
      <c r="AQ407" s="6">
        <f>IF(AP407&lt;=490,0,IF(AP407&lt;=600,(AP407-490)*0.05,IF(AP407&lt;=730,5.5+(AP407-600)*0.10,IF(AP407&lt;=3896.67,18.5+(AP407-730)*0.175,IF(AP407&lt;=19896.67,572.67+(AP407-3896.67)*0.25,IF(AP407&lt;=50416.67,4572.67+(AP407-19896.67)*0.30,13728.67+(AP407-50416.67)*0.35))))))</f>
        <v/>
      </c>
      <c r="AR407" s="6">
        <f>SUM(AM407,AQ407,W407,X407,Y407,Z407,AA407,AN407,AO407)</f>
        <v/>
      </c>
      <c r="AS407" s="6">
        <f>AL407-AR407</f>
        <v/>
      </c>
      <c r="AT407" s="6">
        <f>AB407-AC407</f>
        <v/>
      </c>
    </row>
    <row r="408">
      <c r="A408" s="2" t="n"/>
      <c r="B408" s="3" t="n"/>
      <c r="C408" s="4" t="n"/>
      <c r="D408" s="5" t="n"/>
      <c r="E408" s="3" t="n"/>
      <c r="F408" s="4" t="n"/>
      <c r="G408" s="5" t="n"/>
      <c r="H408" s="3" t="n"/>
      <c r="I408" s="4" t="n"/>
      <c r="J408" s="5" t="n"/>
      <c r="K408" s="3" t="n"/>
      <c r="L408" s="4" t="n"/>
      <c r="M408" s="5" t="n"/>
      <c r="N408" s="3" t="n"/>
      <c r="O408" s="4" t="n"/>
      <c r="P408" s="5" t="n"/>
      <c r="Q408" s="3" t="n"/>
      <c r="R408" s="4" t="n"/>
      <c r="S408" s="5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6">
        <f>IF(C408=0,0,IF(E408="",B408*D408/100,E408))</f>
        <v/>
      </c>
      <c r="AE408" s="6">
        <f>IF(F408=0,0,IF(H408="",B408*G408/100,H408))</f>
        <v/>
      </c>
      <c r="AF408" s="6">
        <f>IF(I408=0,0,IF(K408="",B408*J408/100,K408))</f>
        <v/>
      </c>
      <c r="AG408" s="6">
        <f>IF(L408=0,0,IF(N408="",B408*M408/100,N408))</f>
        <v/>
      </c>
      <c r="AH408" s="6">
        <f>IF(O408=0,0,IF(Q408="",B408*P408/100,Q408))</f>
        <v/>
      </c>
      <c r="AI408" s="6">
        <f>IF(R408=0,0,IF(T408="",B408*S408/100,T408))</f>
        <v/>
      </c>
      <c r="AJ408" s="6">
        <f>B408*0.035</f>
        <v/>
      </c>
      <c r="AK408" s="6">
        <f>B408*0.065</f>
        <v/>
      </c>
      <c r="AL408" s="6">
        <f>SUM(B408,AD408,AE408,AF408,AG408,AH408,AI408,U408,V408,AJ408,AK408)</f>
        <v/>
      </c>
      <c r="AM408" s="6">
        <f>B408*0.055</f>
        <v/>
      </c>
      <c r="AN408" s="6">
        <f>B408*0.035</f>
        <v/>
      </c>
      <c r="AO408" s="6">
        <f>B408*0.165</f>
        <v/>
      </c>
      <c r="AP408" s="6">
        <f>MAX(0,AL408-AM408-AO408)</f>
        <v/>
      </c>
      <c r="AQ408" s="6">
        <f>IF(AP408&lt;=490,0,IF(AP408&lt;=600,(AP408-490)*0.05,IF(AP408&lt;=730,5.5+(AP408-600)*0.10,IF(AP408&lt;=3896.67,18.5+(AP408-730)*0.175,IF(AP408&lt;=19896.67,572.67+(AP408-3896.67)*0.25,IF(AP408&lt;=50416.67,4572.67+(AP408-19896.67)*0.30,13728.67+(AP408-50416.67)*0.35))))))</f>
        <v/>
      </c>
      <c r="AR408" s="6">
        <f>SUM(AM408,AQ408,W408,X408,Y408,Z408,AA408,AN408,AO408)</f>
        <v/>
      </c>
      <c r="AS408" s="6">
        <f>AL408-AR408</f>
        <v/>
      </c>
      <c r="AT408" s="6">
        <f>AB408-AC408</f>
        <v/>
      </c>
    </row>
    <row r="409">
      <c r="A409" s="2" t="n"/>
      <c r="B409" s="3" t="n"/>
      <c r="C409" s="4" t="n"/>
      <c r="D409" s="5" t="n"/>
      <c r="E409" s="3" t="n"/>
      <c r="F409" s="4" t="n"/>
      <c r="G409" s="5" t="n"/>
      <c r="H409" s="3" t="n"/>
      <c r="I409" s="4" t="n"/>
      <c r="J409" s="5" t="n"/>
      <c r="K409" s="3" t="n"/>
      <c r="L409" s="4" t="n"/>
      <c r="M409" s="5" t="n"/>
      <c r="N409" s="3" t="n"/>
      <c r="O409" s="4" t="n"/>
      <c r="P409" s="5" t="n"/>
      <c r="Q409" s="3" t="n"/>
      <c r="R409" s="4" t="n"/>
      <c r="S409" s="5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6">
        <f>IF(C409=0,0,IF(E409="",B409*D409/100,E409))</f>
        <v/>
      </c>
      <c r="AE409" s="6">
        <f>IF(F409=0,0,IF(H409="",B409*G409/100,H409))</f>
        <v/>
      </c>
      <c r="AF409" s="6">
        <f>IF(I409=0,0,IF(K409="",B409*J409/100,K409))</f>
        <v/>
      </c>
      <c r="AG409" s="6">
        <f>IF(L409=0,0,IF(N409="",B409*M409/100,N409))</f>
        <v/>
      </c>
      <c r="AH409" s="6">
        <f>IF(O409=0,0,IF(Q409="",B409*P409/100,Q409))</f>
        <v/>
      </c>
      <c r="AI409" s="6">
        <f>IF(R409=0,0,IF(T409="",B409*S409/100,T409))</f>
        <v/>
      </c>
      <c r="AJ409" s="6">
        <f>B409*0.035</f>
        <v/>
      </c>
      <c r="AK409" s="6">
        <f>B409*0.065</f>
        <v/>
      </c>
      <c r="AL409" s="6">
        <f>SUM(B409,AD409,AE409,AF409,AG409,AH409,AI409,U409,V409,AJ409,AK409)</f>
        <v/>
      </c>
      <c r="AM409" s="6">
        <f>B409*0.055</f>
        <v/>
      </c>
      <c r="AN409" s="6">
        <f>B409*0.035</f>
        <v/>
      </c>
      <c r="AO409" s="6">
        <f>B409*0.165</f>
        <v/>
      </c>
      <c r="AP409" s="6">
        <f>MAX(0,AL409-AM409-AO409)</f>
        <v/>
      </c>
      <c r="AQ409" s="6">
        <f>IF(AP409&lt;=490,0,IF(AP409&lt;=600,(AP409-490)*0.05,IF(AP409&lt;=730,5.5+(AP409-600)*0.10,IF(AP409&lt;=3896.67,18.5+(AP409-730)*0.175,IF(AP409&lt;=19896.67,572.67+(AP409-3896.67)*0.25,IF(AP409&lt;=50416.67,4572.67+(AP409-19896.67)*0.30,13728.67+(AP409-50416.67)*0.35))))))</f>
        <v/>
      </c>
      <c r="AR409" s="6">
        <f>SUM(AM409,AQ409,W409,X409,Y409,Z409,AA409,AN409,AO409)</f>
        <v/>
      </c>
      <c r="AS409" s="6">
        <f>AL409-AR409</f>
        <v/>
      </c>
      <c r="AT409" s="6">
        <f>AB409-AC409</f>
        <v/>
      </c>
    </row>
    <row r="410">
      <c r="A410" s="2" t="n"/>
      <c r="B410" s="3" t="n"/>
      <c r="C410" s="4" t="n"/>
      <c r="D410" s="5" t="n"/>
      <c r="E410" s="3" t="n"/>
      <c r="F410" s="4" t="n"/>
      <c r="G410" s="5" t="n"/>
      <c r="H410" s="3" t="n"/>
      <c r="I410" s="4" t="n"/>
      <c r="J410" s="5" t="n"/>
      <c r="K410" s="3" t="n"/>
      <c r="L410" s="4" t="n"/>
      <c r="M410" s="5" t="n"/>
      <c r="N410" s="3" t="n"/>
      <c r="O410" s="4" t="n"/>
      <c r="P410" s="5" t="n"/>
      <c r="Q410" s="3" t="n"/>
      <c r="R410" s="4" t="n"/>
      <c r="S410" s="5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6">
        <f>IF(C410=0,0,IF(E410="",B410*D410/100,E410))</f>
        <v/>
      </c>
      <c r="AE410" s="6">
        <f>IF(F410=0,0,IF(H410="",B410*G410/100,H410))</f>
        <v/>
      </c>
      <c r="AF410" s="6">
        <f>IF(I410=0,0,IF(K410="",B410*J410/100,K410))</f>
        <v/>
      </c>
      <c r="AG410" s="6">
        <f>IF(L410=0,0,IF(N410="",B410*M410/100,N410))</f>
        <v/>
      </c>
      <c r="AH410" s="6">
        <f>IF(O410=0,0,IF(Q410="",B410*P410/100,Q410))</f>
        <v/>
      </c>
      <c r="AI410" s="6">
        <f>IF(R410=0,0,IF(T410="",B410*S410/100,T410))</f>
        <v/>
      </c>
      <c r="AJ410" s="6">
        <f>B410*0.035</f>
        <v/>
      </c>
      <c r="AK410" s="6">
        <f>B410*0.065</f>
        <v/>
      </c>
      <c r="AL410" s="6">
        <f>SUM(B410,AD410,AE410,AF410,AG410,AH410,AI410,U410,V410,AJ410,AK410)</f>
        <v/>
      </c>
      <c r="AM410" s="6">
        <f>B410*0.055</f>
        <v/>
      </c>
      <c r="AN410" s="6">
        <f>B410*0.035</f>
        <v/>
      </c>
      <c r="AO410" s="6">
        <f>B410*0.165</f>
        <v/>
      </c>
      <c r="AP410" s="6">
        <f>MAX(0,AL410-AM410-AO410)</f>
        <v/>
      </c>
      <c r="AQ410" s="6">
        <f>IF(AP410&lt;=490,0,IF(AP410&lt;=600,(AP410-490)*0.05,IF(AP410&lt;=730,5.5+(AP410-600)*0.10,IF(AP410&lt;=3896.67,18.5+(AP410-730)*0.175,IF(AP410&lt;=19896.67,572.67+(AP410-3896.67)*0.25,IF(AP410&lt;=50416.67,4572.67+(AP410-19896.67)*0.30,13728.67+(AP410-50416.67)*0.35))))))</f>
        <v/>
      </c>
      <c r="AR410" s="6">
        <f>SUM(AM410,AQ410,W410,X410,Y410,Z410,AA410,AN410,AO410)</f>
        <v/>
      </c>
      <c r="AS410" s="6">
        <f>AL410-AR410</f>
        <v/>
      </c>
      <c r="AT410" s="6">
        <f>AB410-AC410</f>
        <v/>
      </c>
    </row>
    <row r="411">
      <c r="A411" s="2" t="n"/>
      <c r="B411" s="3" t="n"/>
      <c r="C411" s="4" t="n"/>
      <c r="D411" s="5" t="n"/>
      <c r="E411" s="3" t="n"/>
      <c r="F411" s="4" t="n"/>
      <c r="G411" s="5" t="n"/>
      <c r="H411" s="3" t="n"/>
      <c r="I411" s="4" t="n"/>
      <c r="J411" s="5" t="n"/>
      <c r="K411" s="3" t="n"/>
      <c r="L411" s="4" t="n"/>
      <c r="M411" s="5" t="n"/>
      <c r="N411" s="3" t="n"/>
      <c r="O411" s="4" t="n"/>
      <c r="P411" s="5" t="n"/>
      <c r="Q411" s="3" t="n"/>
      <c r="R411" s="4" t="n"/>
      <c r="S411" s="5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6">
        <f>IF(C411=0,0,IF(E411="",B411*D411/100,E411))</f>
        <v/>
      </c>
      <c r="AE411" s="6">
        <f>IF(F411=0,0,IF(H411="",B411*G411/100,H411))</f>
        <v/>
      </c>
      <c r="AF411" s="6">
        <f>IF(I411=0,0,IF(K411="",B411*J411/100,K411))</f>
        <v/>
      </c>
      <c r="AG411" s="6">
        <f>IF(L411=0,0,IF(N411="",B411*M411/100,N411))</f>
        <v/>
      </c>
      <c r="AH411" s="6">
        <f>IF(O411=0,0,IF(Q411="",B411*P411/100,Q411))</f>
        <v/>
      </c>
      <c r="AI411" s="6">
        <f>IF(R411=0,0,IF(T411="",B411*S411/100,T411))</f>
        <v/>
      </c>
      <c r="AJ411" s="6">
        <f>B411*0.035</f>
        <v/>
      </c>
      <c r="AK411" s="6">
        <f>B411*0.065</f>
        <v/>
      </c>
      <c r="AL411" s="6">
        <f>SUM(B411,AD411,AE411,AF411,AG411,AH411,AI411,U411,V411,AJ411,AK411)</f>
        <v/>
      </c>
      <c r="AM411" s="6">
        <f>B411*0.055</f>
        <v/>
      </c>
      <c r="AN411" s="6">
        <f>B411*0.035</f>
        <v/>
      </c>
      <c r="AO411" s="6">
        <f>B411*0.165</f>
        <v/>
      </c>
      <c r="AP411" s="6">
        <f>MAX(0,AL411-AM411-AO411)</f>
        <v/>
      </c>
      <c r="AQ411" s="6">
        <f>IF(AP411&lt;=490,0,IF(AP411&lt;=600,(AP411-490)*0.05,IF(AP411&lt;=730,5.5+(AP411-600)*0.10,IF(AP411&lt;=3896.67,18.5+(AP411-730)*0.175,IF(AP411&lt;=19896.67,572.67+(AP411-3896.67)*0.25,IF(AP411&lt;=50416.67,4572.67+(AP411-19896.67)*0.30,13728.67+(AP411-50416.67)*0.35))))))</f>
        <v/>
      </c>
      <c r="AR411" s="6">
        <f>SUM(AM411,AQ411,W411,X411,Y411,Z411,AA411,AN411,AO411)</f>
        <v/>
      </c>
      <c r="AS411" s="6">
        <f>AL411-AR411</f>
        <v/>
      </c>
      <c r="AT411" s="6">
        <f>AB411-AC411</f>
        <v/>
      </c>
    </row>
    <row r="412">
      <c r="A412" s="2" t="n"/>
      <c r="B412" s="3" t="n"/>
      <c r="C412" s="4" t="n"/>
      <c r="D412" s="5" t="n"/>
      <c r="E412" s="3" t="n"/>
      <c r="F412" s="4" t="n"/>
      <c r="G412" s="5" t="n"/>
      <c r="H412" s="3" t="n"/>
      <c r="I412" s="4" t="n"/>
      <c r="J412" s="5" t="n"/>
      <c r="K412" s="3" t="n"/>
      <c r="L412" s="4" t="n"/>
      <c r="M412" s="5" t="n"/>
      <c r="N412" s="3" t="n"/>
      <c r="O412" s="4" t="n"/>
      <c r="P412" s="5" t="n"/>
      <c r="Q412" s="3" t="n"/>
      <c r="R412" s="4" t="n"/>
      <c r="S412" s="5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6">
        <f>IF(C412=0,0,IF(E412="",B412*D412/100,E412))</f>
        <v/>
      </c>
      <c r="AE412" s="6">
        <f>IF(F412=0,0,IF(H412="",B412*G412/100,H412))</f>
        <v/>
      </c>
      <c r="AF412" s="6">
        <f>IF(I412=0,0,IF(K412="",B412*J412/100,K412))</f>
        <v/>
      </c>
      <c r="AG412" s="6">
        <f>IF(L412=0,0,IF(N412="",B412*M412/100,N412))</f>
        <v/>
      </c>
      <c r="AH412" s="6">
        <f>IF(O412=0,0,IF(Q412="",B412*P412/100,Q412))</f>
        <v/>
      </c>
      <c r="AI412" s="6">
        <f>IF(R412=0,0,IF(T412="",B412*S412/100,T412))</f>
        <v/>
      </c>
      <c r="AJ412" s="6">
        <f>B412*0.035</f>
        <v/>
      </c>
      <c r="AK412" s="6">
        <f>B412*0.065</f>
        <v/>
      </c>
      <c r="AL412" s="6">
        <f>SUM(B412,AD412,AE412,AF412,AG412,AH412,AI412,U412,V412,AJ412,AK412)</f>
        <v/>
      </c>
      <c r="AM412" s="6">
        <f>B412*0.055</f>
        <v/>
      </c>
      <c r="AN412" s="6">
        <f>B412*0.035</f>
        <v/>
      </c>
      <c r="AO412" s="6">
        <f>B412*0.165</f>
        <v/>
      </c>
      <c r="AP412" s="6">
        <f>MAX(0,AL412-AM412-AO412)</f>
        <v/>
      </c>
      <c r="AQ412" s="6">
        <f>IF(AP412&lt;=490,0,IF(AP412&lt;=600,(AP412-490)*0.05,IF(AP412&lt;=730,5.5+(AP412-600)*0.10,IF(AP412&lt;=3896.67,18.5+(AP412-730)*0.175,IF(AP412&lt;=19896.67,572.67+(AP412-3896.67)*0.25,IF(AP412&lt;=50416.67,4572.67+(AP412-19896.67)*0.30,13728.67+(AP412-50416.67)*0.35))))))</f>
        <v/>
      </c>
      <c r="AR412" s="6">
        <f>SUM(AM412,AQ412,W412,X412,Y412,Z412,AA412,AN412,AO412)</f>
        <v/>
      </c>
      <c r="AS412" s="6">
        <f>AL412-AR412</f>
        <v/>
      </c>
      <c r="AT412" s="6">
        <f>AB412-AC412</f>
        <v/>
      </c>
    </row>
    <row r="413">
      <c r="A413" s="2" t="n"/>
      <c r="B413" s="3" t="n"/>
      <c r="C413" s="4" t="n"/>
      <c r="D413" s="5" t="n"/>
      <c r="E413" s="3" t="n"/>
      <c r="F413" s="4" t="n"/>
      <c r="G413" s="5" t="n"/>
      <c r="H413" s="3" t="n"/>
      <c r="I413" s="4" t="n"/>
      <c r="J413" s="5" t="n"/>
      <c r="K413" s="3" t="n"/>
      <c r="L413" s="4" t="n"/>
      <c r="M413" s="5" t="n"/>
      <c r="N413" s="3" t="n"/>
      <c r="O413" s="4" t="n"/>
      <c r="P413" s="5" t="n"/>
      <c r="Q413" s="3" t="n"/>
      <c r="R413" s="4" t="n"/>
      <c r="S413" s="5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6">
        <f>IF(C413=0,0,IF(E413="",B413*D413/100,E413))</f>
        <v/>
      </c>
      <c r="AE413" s="6">
        <f>IF(F413=0,0,IF(H413="",B413*G413/100,H413))</f>
        <v/>
      </c>
      <c r="AF413" s="6">
        <f>IF(I413=0,0,IF(K413="",B413*J413/100,K413))</f>
        <v/>
      </c>
      <c r="AG413" s="6">
        <f>IF(L413=0,0,IF(N413="",B413*M413/100,N413))</f>
        <v/>
      </c>
      <c r="AH413" s="6">
        <f>IF(O413=0,0,IF(Q413="",B413*P413/100,Q413))</f>
        <v/>
      </c>
      <c r="AI413" s="6">
        <f>IF(R413=0,0,IF(T413="",B413*S413/100,T413))</f>
        <v/>
      </c>
      <c r="AJ413" s="6">
        <f>B413*0.035</f>
        <v/>
      </c>
      <c r="AK413" s="6">
        <f>B413*0.065</f>
        <v/>
      </c>
      <c r="AL413" s="6">
        <f>SUM(B413,AD413,AE413,AF413,AG413,AH413,AI413,U413,V413,AJ413,AK413)</f>
        <v/>
      </c>
      <c r="AM413" s="6">
        <f>B413*0.055</f>
        <v/>
      </c>
      <c r="AN413" s="6">
        <f>B413*0.035</f>
        <v/>
      </c>
      <c r="AO413" s="6">
        <f>B413*0.165</f>
        <v/>
      </c>
      <c r="AP413" s="6">
        <f>MAX(0,AL413-AM413-AO413)</f>
        <v/>
      </c>
      <c r="AQ413" s="6">
        <f>IF(AP413&lt;=490,0,IF(AP413&lt;=600,(AP413-490)*0.05,IF(AP413&lt;=730,5.5+(AP413-600)*0.10,IF(AP413&lt;=3896.67,18.5+(AP413-730)*0.175,IF(AP413&lt;=19896.67,572.67+(AP413-3896.67)*0.25,IF(AP413&lt;=50416.67,4572.67+(AP413-19896.67)*0.30,13728.67+(AP413-50416.67)*0.35))))))</f>
        <v/>
      </c>
      <c r="AR413" s="6">
        <f>SUM(AM413,AQ413,W413,X413,Y413,Z413,AA413,AN413,AO413)</f>
        <v/>
      </c>
      <c r="AS413" s="6">
        <f>AL413-AR413</f>
        <v/>
      </c>
      <c r="AT413" s="6">
        <f>AB413-AC413</f>
        <v/>
      </c>
    </row>
    <row r="414">
      <c r="A414" s="2" t="n"/>
      <c r="B414" s="3" t="n"/>
      <c r="C414" s="4" t="n"/>
      <c r="D414" s="5" t="n"/>
      <c r="E414" s="3" t="n"/>
      <c r="F414" s="4" t="n"/>
      <c r="G414" s="5" t="n"/>
      <c r="H414" s="3" t="n"/>
      <c r="I414" s="4" t="n"/>
      <c r="J414" s="5" t="n"/>
      <c r="K414" s="3" t="n"/>
      <c r="L414" s="4" t="n"/>
      <c r="M414" s="5" t="n"/>
      <c r="N414" s="3" t="n"/>
      <c r="O414" s="4" t="n"/>
      <c r="P414" s="5" t="n"/>
      <c r="Q414" s="3" t="n"/>
      <c r="R414" s="4" t="n"/>
      <c r="S414" s="5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6">
        <f>IF(C414=0,0,IF(E414="",B414*D414/100,E414))</f>
        <v/>
      </c>
      <c r="AE414" s="6">
        <f>IF(F414=0,0,IF(H414="",B414*G414/100,H414))</f>
        <v/>
      </c>
      <c r="AF414" s="6">
        <f>IF(I414=0,0,IF(K414="",B414*J414/100,K414))</f>
        <v/>
      </c>
      <c r="AG414" s="6">
        <f>IF(L414=0,0,IF(N414="",B414*M414/100,N414))</f>
        <v/>
      </c>
      <c r="AH414" s="6">
        <f>IF(O414=0,0,IF(Q414="",B414*P414/100,Q414))</f>
        <v/>
      </c>
      <c r="AI414" s="6">
        <f>IF(R414=0,0,IF(T414="",B414*S414/100,T414))</f>
        <v/>
      </c>
      <c r="AJ414" s="6">
        <f>B414*0.035</f>
        <v/>
      </c>
      <c r="AK414" s="6">
        <f>B414*0.065</f>
        <v/>
      </c>
      <c r="AL414" s="6">
        <f>SUM(B414,AD414,AE414,AF414,AG414,AH414,AI414,U414,V414,AJ414,AK414)</f>
        <v/>
      </c>
      <c r="AM414" s="6">
        <f>B414*0.055</f>
        <v/>
      </c>
      <c r="AN414" s="6">
        <f>B414*0.035</f>
        <v/>
      </c>
      <c r="AO414" s="6">
        <f>B414*0.165</f>
        <v/>
      </c>
      <c r="AP414" s="6">
        <f>MAX(0,AL414-AM414-AO414)</f>
        <v/>
      </c>
      <c r="AQ414" s="6">
        <f>IF(AP414&lt;=490,0,IF(AP414&lt;=600,(AP414-490)*0.05,IF(AP414&lt;=730,5.5+(AP414-600)*0.10,IF(AP414&lt;=3896.67,18.5+(AP414-730)*0.175,IF(AP414&lt;=19896.67,572.67+(AP414-3896.67)*0.25,IF(AP414&lt;=50416.67,4572.67+(AP414-19896.67)*0.30,13728.67+(AP414-50416.67)*0.35))))))</f>
        <v/>
      </c>
      <c r="AR414" s="6">
        <f>SUM(AM414,AQ414,W414,X414,Y414,Z414,AA414,AN414,AO414)</f>
        <v/>
      </c>
      <c r="AS414" s="6">
        <f>AL414-AR414</f>
        <v/>
      </c>
      <c r="AT414" s="6">
        <f>AB414-AC414</f>
        <v/>
      </c>
    </row>
    <row r="415">
      <c r="A415" s="2" t="n"/>
      <c r="B415" s="3" t="n"/>
      <c r="C415" s="4" t="n"/>
      <c r="D415" s="5" t="n"/>
      <c r="E415" s="3" t="n"/>
      <c r="F415" s="4" t="n"/>
      <c r="G415" s="5" t="n"/>
      <c r="H415" s="3" t="n"/>
      <c r="I415" s="4" t="n"/>
      <c r="J415" s="5" t="n"/>
      <c r="K415" s="3" t="n"/>
      <c r="L415" s="4" t="n"/>
      <c r="M415" s="5" t="n"/>
      <c r="N415" s="3" t="n"/>
      <c r="O415" s="4" t="n"/>
      <c r="P415" s="5" t="n"/>
      <c r="Q415" s="3" t="n"/>
      <c r="R415" s="4" t="n"/>
      <c r="S415" s="5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6">
        <f>IF(C415=0,0,IF(E415="",B415*D415/100,E415))</f>
        <v/>
      </c>
      <c r="AE415" s="6">
        <f>IF(F415=0,0,IF(H415="",B415*G415/100,H415))</f>
        <v/>
      </c>
      <c r="AF415" s="6">
        <f>IF(I415=0,0,IF(K415="",B415*J415/100,K415))</f>
        <v/>
      </c>
      <c r="AG415" s="6">
        <f>IF(L415=0,0,IF(N415="",B415*M415/100,N415))</f>
        <v/>
      </c>
      <c r="AH415" s="6">
        <f>IF(O415=0,0,IF(Q415="",B415*P415/100,Q415))</f>
        <v/>
      </c>
      <c r="AI415" s="6">
        <f>IF(R415=0,0,IF(T415="",B415*S415/100,T415))</f>
        <v/>
      </c>
      <c r="AJ415" s="6">
        <f>B415*0.035</f>
        <v/>
      </c>
      <c r="AK415" s="6">
        <f>B415*0.065</f>
        <v/>
      </c>
      <c r="AL415" s="6">
        <f>SUM(B415,AD415,AE415,AF415,AG415,AH415,AI415,U415,V415,AJ415,AK415)</f>
        <v/>
      </c>
      <c r="AM415" s="6">
        <f>B415*0.055</f>
        <v/>
      </c>
      <c r="AN415" s="6">
        <f>B415*0.035</f>
        <v/>
      </c>
      <c r="AO415" s="6">
        <f>B415*0.165</f>
        <v/>
      </c>
      <c r="AP415" s="6">
        <f>MAX(0,AL415-AM415-AO415)</f>
        <v/>
      </c>
      <c r="AQ415" s="6">
        <f>IF(AP415&lt;=490,0,IF(AP415&lt;=600,(AP415-490)*0.05,IF(AP415&lt;=730,5.5+(AP415-600)*0.10,IF(AP415&lt;=3896.67,18.5+(AP415-730)*0.175,IF(AP415&lt;=19896.67,572.67+(AP415-3896.67)*0.25,IF(AP415&lt;=50416.67,4572.67+(AP415-19896.67)*0.30,13728.67+(AP415-50416.67)*0.35))))))</f>
        <v/>
      </c>
      <c r="AR415" s="6">
        <f>SUM(AM415,AQ415,W415,X415,Y415,Z415,AA415,AN415,AO415)</f>
        <v/>
      </c>
      <c r="AS415" s="6">
        <f>AL415-AR415</f>
        <v/>
      </c>
      <c r="AT415" s="6">
        <f>AB415-AC415</f>
        <v/>
      </c>
    </row>
    <row r="416">
      <c r="A416" s="2" t="n"/>
      <c r="B416" s="3" t="n"/>
      <c r="C416" s="4" t="n"/>
      <c r="D416" s="5" t="n"/>
      <c r="E416" s="3" t="n"/>
      <c r="F416" s="4" t="n"/>
      <c r="G416" s="5" t="n"/>
      <c r="H416" s="3" t="n"/>
      <c r="I416" s="4" t="n"/>
      <c r="J416" s="5" t="n"/>
      <c r="K416" s="3" t="n"/>
      <c r="L416" s="4" t="n"/>
      <c r="M416" s="5" t="n"/>
      <c r="N416" s="3" t="n"/>
      <c r="O416" s="4" t="n"/>
      <c r="P416" s="5" t="n"/>
      <c r="Q416" s="3" t="n"/>
      <c r="R416" s="4" t="n"/>
      <c r="S416" s="5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6">
        <f>IF(C416=0,0,IF(E416="",B416*D416/100,E416))</f>
        <v/>
      </c>
      <c r="AE416" s="6">
        <f>IF(F416=0,0,IF(H416="",B416*G416/100,H416))</f>
        <v/>
      </c>
      <c r="AF416" s="6">
        <f>IF(I416=0,0,IF(K416="",B416*J416/100,K416))</f>
        <v/>
      </c>
      <c r="AG416" s="6">
        <f>IF(L416=0,0,IF(N416="",B416*M416/100,N416))</f>
        <v/>
      </c>
      <c r="AH416" s="6">
        <f>IF(O416=0,0,IF(Q416="",B416*P416/100,Q416))</f>
        <v/>
      </c>
      <c r="AI416" s="6">
        <f>IF(R416=0,0,IF(T416="",B416*S416/100,T416))</f>
        <v/>
      </c>
      <c r="AJ416" s="6">
        <f>B416*0.035</f>
        <v/>
      </c>
      <c r="AK416" s="6">
        <f>B416*0.065</f>
        <v/>
      </c>
      <c r="AL416" s="6">
        <f>SUM(B416,AD416,AE416,AF416,AG416,AH416,AI416,U416,V416,AJ416,AK416)</f>
        <v/>
      </c>
      <c r="AM416" s="6">
        <f>B416*0.055</f>
        <v/>
      </c>
      <c r="AN416" s="6">
        <f>B416*0.035</f>
        <v/>
      </c>
      <c r="AO416" s="6">
        <f>B416*0.165</f>
        <v/>
      </c>
      <c r="AP416" s="6">
        <f>MAX(0,AL416-AM416-AO416)</f>
        <v/>
      </c>
      <c r="AQ416" s="6">
        <f>IF(AP416&lt;=490,0,IF(AP416&lt;=600,(AP416-490)*0.05,IF(AP416&lt;=730,5.5+(AP416-600)*0.10,IF(AP416&lt;=3896.67,18.5+(AP416-730)*0.175,IF(AP416&lt;=19896.67,572.67+(AP416-3896.67)*0.25,IF(AP416&lt;=50416.67,4572.67+(AP416-19896.67)*0.30,13728.67+(AP416-50416.67)*0.35))))))</f>
        <v/>
      </c>
      <c r="AR416" s="6">
        <f>SUM(AM416,AQ416,W416,X416,Y416,Z416,AA416,AN416,AO416)</f>
        <v/>
      </c>
      <c r="AS416" s="6">
        <f>AL416-AR416</f>
        <v/>
      </c>
      <c r="AT416" s="6">
        <f>AB416-AC416</f>
        <v/>
      </c>
    </row>
    <row r="417">
      <c r="A417" s="2" t="n"/>
      <c r="B417" s="3" t="n"/>
      <c r="C417" s="4" t="n"/>
      <c r="D417" s="5" t="n"/>
      <c r="E417" s="3" t="n"/>
      <c r="F417" s="4" t="n"/>
      <c r="G417" s="5" t="n"/>
      <c r="H417" s="3" t="n"/>
      <c r="I417" s="4" t="n"/>
      <c r="J417" s="5" t="n"/>
      <c r="K417" s="3" t="n"/>
      <c r="L417" s="4" t="n"/>
      <c r="M417" s="5" t="n"/>
      <c r="N417" s="3" t="n"/>
      <c r="O417" s="4" t="n"/>
      <c r="P417" s="5" t="n"/>
      <c r="Q417" s="3" t="n"/>
      <c r="R417" s="4" t="n"/>
      <c r="S417" s="5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6">
        <f>IF(C417=0,0,IF(E417="",B417*D417/100,E417))</f>
        <v/>
      </c>
      <c r="AE417" s="6">
        <f>IF(F417=0,0,IF(H417="",B417*G417/100,H417))</f>
        <v/>
      </c>
      <c r="AF417" s="6">
        <f>IF(I417=0,0,IF(K417="",B417*J417/100,K417))</f>
        <v/>
      </c>
      <c r="AG417" s="6">
        <f>IF(L417=0,0,IF(N417="",B417*M417/100,N417))</f>
        <v/>
      </c>
      <c r="AH417" s="6">
        <f>IF(O417=0,0,IF(Q417="",B417*P417/100,Q417))</f>
        <v/>
      </c>
      <c r="AI417" s="6">
        <f>IF(R417=0,0,IF(T417="",B417*S417/100,T417))</f>
        <v/>
      </c>
      <c r="AJ417" s="6">
        <f>B417*0.035</f>
        <v/>
      </c>
      <c r="AK417" s="6">
        <f>B417*0.065</f>
        <v/>
      </c>
      <c r="AL417" s="6">
        <f>SUM(B417,AD417,AE417,AF417,AG417,AH417,AI417,U417,V417,AJ417,AK417)</f>
        <v/>
      </c>
      <c r="AM417" s="6">
        <f>B417*0.055</f>
        <v/>
      </c>
      <c r="AN417" s="6">
        <f>B417*0.035</f>
        <v/>
      </c>
      <c r="AO417" s="6">
        <f>B417*0.165</f>
        <v/>
      </c>
      <c r="AP417" s="6">
        <f>MAX(0,AL417-AM417-AO417)</f>
        <v/>
      </c>
      <c r="AQ417" s="6">
        <f>IF(AP417&lt;=490,0,IF(AP417&lt;=600,(AP417-490)*0.05,IF(AP417&lt;=730,5.5+(AP417-600)*0.10,IF(AP417&lt;=3896.67,18.5+(AP417-730)*0.175,IF(AP417&lt;=19896.67,572.67+(AP417-3896.67)*0.25,IF(AP417&lt;=50416.67,4572.67+(AP417-19896.67)*0.30,13728.67+(AP417-50416.67)*0.35))))))</f>
        <v/>
      </c>
      <c r="AR417" s="6">
        <f>SUM(AM417,AQ417,W417,X417,Y417,Z417,AA417,AN417,AO417)</f>
        <v/>
      </c>
      <c r="AS417" s="6">
        <f>AL417-AR417</f>
        <v/>
      </c>
      <c r="AT417" s="6">
        <f>AB417-AC417</f>
        <v/>
      </c>
    </row>
    <row r="418">
      <c r="A418" s="2" t="n"/>
      <c r="B418" s="3" t="n"/>
      <c r="C418" s="4" t="n"/>
      <c r="D418" s="5" t="n"/>
      <c r="E418" s="3" t="n"/>
      <c r="F418" s="4" t="n"/>
      <c r="G418" s="5" t="n"/>
      <c r="H418" s="3" t="n"/>
      <c r="I418" s="4" t="n"/>
      <c r="J418" s="5" t="n"/>
      <c r="K418" s="3" t="n"/>
      <c r="L418" s="4" t="n"/>
      <c r="M418" s="5" t="n"/>
      <c r="N418" s="3" t="n"/>
      <c r="O418" s="4" t="n"/>
      <c r="P418" s="5" t="n"/>
      <c r="Q418" s="3" t="n"/>
      <c r="R418" s="4" t="n"/>
      <c r="S418" s="5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6">
        <f>IF(C418=0,0,IF(E418="",B418*D418/100,E418))</f>
        <v/>
      </c>
      <c r="AE418" s="6">
        <f>IF(F418=0,0,IF(H418="",B418*G418/100,H418))</f>
        <v/>
      </c>
      <c r="AF418" s="6">
        <f>IF(I418=0,0,IF(K418="",B418*J418/100,K418))</f>
        <v/>
      </c>
      <c r="AG418" s="6">
        <f>IF(L418=0,0,IF(N418="",B418*M418/100,N418))</f>
        <v/>
      </c>
      <c r="AH418" s="6">
        <f>IF(O418=0,0,IF(Q418="",B418*P418/100,Q418))</f>
        <v/>
      </c>
      <c r="AI418" s="6">
        <f>IF(R418=0,0,IF(T418="",B418*S418/100,T418))</f>
        <v/>
      </c>
      <c r="AJ418" s="6">
        <f>B418*0.035</f>
        <v/>
      </c>
      <c r="AK418" s="6">
        <f>B418*0.065</f>
        <v/>
      </c>
      <c r="AL418" s="6">
        <f>SUM(B418,AD418,AE418,AF418,AG418,AH418,AI418,U418,V418,AJ418,AK418)</f>
        <v/>
      </c>
      <c r="AM418" s="6">
        <f>B418*0.055</f>
        <v/>
      </c>
      <c r="AN418" s="6">
        <f>B418*0.035</f>
        <v/>
      </c>
      <c r="AO418" s="6">
        <f>B418*0.165</f>
        <v/>
      </c>
      <c r="AP418" s="6">
        <f>MAX(0,AL418-AM418-AO418)</f>
        <v/>
      </c>
      <c r="AQ418" s="6">
        <f>IF(AP418&lt;=490,0,IF(AP418&lt;=600,(AP418-490)*0.05,IF(AP418&lt;=730,5.5+(AP418-600)*0.10,IF(AP418&lt;=3896.67,18.5+(AP418-730)*0.175,IF(AP418&lt;=19896.67,572.67+(AP418-3896.67)*0.25,IF(AP418&lt;=50416.67,4572.67+(AP418-19896.67)*0.30,13728.67+(AP418-50416.67)*0.35))))))</f>
        <v/>
      </c>
      <c r="AR418" s="6">
        <f>SUM(AM418,AQ418,W418,X418,Y418,Z418,AA418,AN418,AO418)</f>
        <v/>
      </c>
      <c r="AS418" s="6">
        <f>AL418-AR418</f>
        <v/>
      </c>
      <c r="AT418" s="6">
        <f>AB418-AC418</f>
        <v/>
      </c>
    </row>
    <row r="419">
      <c r="A419" s="2" t="n"/>
      <c r="B419" s="3" t="n"/>
      <c r="C419" s="4" t="n"/>
      <c r="D419" s="5" t="n"/>
      <c r="E419" s="3" t="n"/>
      <c r="F419" s="4" t="n"/>
      <c r="G419" s="5" t="n"/>
      <c r="H419" s="3" t="n"/>
      <c r="I419" s="4" t="n"/>
      <c r="J419" s="5" t="n"/>
      <c r="K419" s="3" t="n"/>
      <c r="L419" s="4" t="n"/>
      <c r="M419" s="5" t="n"/>
      <c r="N419" s="3" t="n"/>
      <c r="O419" s="4" t="n"/>
      <c r="P419" s="5" t="n"/>
      <c r="Q419" s="3" t="n"/>
      <c r="R419" s="4" t="n"/>
      <c r="S419" s="5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6">
        <f>IF(C419=0,0,IF(E419="",B419*D419/100,E419))</f>
        <v/>
      </c>
      <c r="AE419" s="6">
        <f>IF(F419=0,0,IF(H419="",B419*G419/100,H419))</f>
        <v/>
      </c>
      <c r="AF419" s="6">
        <f>IF(I419=0,0,IF(K419="",B419*J419/100,K419))</f>
        <v/>
      </c>
      <c r="AG419" s="6">
        <f>IF(L419=0,0,IF(N419="",B419*M419/100,N419))</f>
        <v/>
      </c>
      <c r="AH419" s="6">
        <f>IF(O419=0,0,IF(Q419="",B419*P419/100,Q419))</f>
        <v/>
      </c>
      <c r="AI419" s="6">
        <f>IF(R419=0,0,IF(T419="",B419*S419/100,T419))</f>
        <v/>
      </c>
      <c r="AJ419" s="6">
        <f>B419*0.035</f>
        <v/>
      </c>
      <c r="AK419" s="6">
        <f>B419*0.065</f>
        <v/>
      </c>
      <c r="AL419" s="6">
        <f>SUM(B419,AD419,AE419,AF419,AG419,AH419,AI419,U419,V419,AJ419,AK419)</f>
        <v/>
      </c>
      <c r="AM419" s="6">
        <f>B419*0.055</f>
        <v/>
      </c>
      <c r="AN419" s="6">
        <f>B419*0.035</f>
        <v/>
      </c>
      <c r="AO419" s="6">
        <f>B419*0.165</f>
        <v/>
      </c>
      <c r="AP419" s="6">
        <f>MAX(0,AL419-AM419-AO419)</f>
        <v/>
      </c>
      <c r="AQ419" s="6">
        <f>IF(AP419&lt;=490,0,IF(AP419&lt;=600,(AP419-490)*0.05,IF(AP419&lt;=730,5.5+(AP419-600)*0.10,IF(AP419&lt;=3896.67,18.5+(AP419-730)*0.175,IF(AP419&lt;=19896.67,572.67+(AP419-3896.67)*0.25,IF(AP419&lt;=50416.67,4572.67+(AP419-19896.67)*0.30,13728.67+(AP419-50416.67)*0.35))))))</f>
        <v/>
      </c>
      <c r="AR419" s="6">
        <f>SUM(AM419,AQ419,W419,X419,Y419,Z419,AA419,AN419,AO419)</f>
        <v/>
      </c>
      <c r="AS419" s="6">
        <f>AL419-AR419</f>
        <v/>
      </c>
      <c r="AT419" s="6">
        <f>AB419-AC419</f>
        <v/>
      </c>
    </row>
    <row r="420">
      <c r="A420" s="2" t="n"/>
      <c r="B420" s="3" t="n"/>
      <c r="C420" s="4" t="n"/>
      <c r="D420" s="5" t="n"/>
      <c r="E420" s="3" t="n"/>
      <c r="F420" s="4" t="n"/>
      <c r="G420" s="5" t="n"/>
      <c r="H420" s="3" t="n"/>
      <c r="I420" s="4" t="n"/>
      <c r="J420" s="5" t="n"/>
      <c r="K420" s="3" t="n"/>
      <c r="L420" s="4" t="n"/>
      <c r="M420" s="5" t="n"/>
      <c r="N420" s="3" t="n"/>
      <c r="O420" s="4" t="n"/>
      <c r="P420" s="5" t="n"/>
      <c r="Q420" s="3" t="n"/>
      <c r="R420" s="4" t="n"/>
      <c r="S420" s="5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6">
        <f>IF(C420=0,0,IF(E420="",B420*D420/100,E420))</f>
        <v/>
      </c>
      <c r="AE420" s="6">
        <f>IF(F420=0,0,IF(H420="",B420*G420/100,H420))</f>
        <v/>
      </c>
      <c r="AF420" s="6">
        <f>IF(I420=0,0,IF(K420="",B420*J420/100,K420))</f>
        <v/>
      </c>
      <c r="AG420" s="6">
        <f>IF(L420=0,0,IF(N420="",B420*M420/100,N420))</f>
        <v/>
      </c>
      <c r="AH420" s="6">
        <f>IF(O420=0,0,IF(Q420="",B420*P420/100,Q420))</f>
        <v/>
      </c>
      <c r="AI420" s="6">
        <f>IF(R420=0,0,IF(T420="",B420*S420/100,T420))</f>
        <v/>
      </c>
      <c r="AJ420" s="6">
        <f>B420*0.035</f>
        <v/>
      </c>
      <c r="AK420" s="6">
        <f>B420*0.065</f>
        <v/>
      </c>
      <c r="AL420" s="6">
        <f>SUM(B420,AD420,AE420,AF420,AG420,AH420,AI420,U420,V420,AJ420,AK420)</f>
        <v/>
      </c>
      <c r="AM420" s="6">
        <f>B420*0.055</f>
        <v/>
      </c>
      <c r="AN420" s="6">
        <f>B420*0.035</f>
        <v/>
      </c>
      <c r="AO420" s="6">
        <f>B420*0.165</f>
        <v/>
      </c>
      <c r="AP420" s="6">
        <f>MAX(0,AL420-AM420-AO420)</f>
        <v/>
      </c>
      <c r="AQ420" s="6">
        <f>IF(AP420&lt;=490,0,IF(AP420&lt;=600,(AP420-490)*0.05,IF(AP420&lt;=730,5.5+(AP420-600)*0.10,IF(AP420&lt;=3896.67,18.5+(AP420-730)*0.175,IF(AP420&lt;=19896.67,572.67+(AP420-3896.67)*0.25,IF(AP420&lt;=50416.67,4572.67+(AP420-19896.67)*0.30,13728.67+(AP420-50416.67)*0.35))))))</f>
        <v/>
      </c>
      <c r="AR420" s="6">
        <f>SUM(AM420,AQ420,W420,X420,Y420,Z420,AA420,AN420,AO420)</f>
        <v/>
      </c>
      <c r="AS420" s="6">
        <f>AL420-AR420</f>
        <v/>
      </c>
      <c r="AT420" s="6">
        <f>AB420-AC420</f>
        <v/>
      </c>
    </row>
    <row r="421">
      <c r="A421" s="2" t="n"/>
      <c r="B421" s="3" t="n"/>
      <c r="C421" s="4" t="n"/>
      <c r="D421" s="5" t="n"/>
      <c r="E421" s="3" t="n"/>
      <c r="F421" s="4" t="n"/>
      <c r="G421" s="5" t="n"/>
      <c r="H421" s="3" t="n"/>
      <c r="I421" s="4" t="n"/>
      <c r="J421" s="5" t="n"/>
      <c r="K421" s="3" t="n"/>
      <c r="L421" s="4" t="n"/>
      <c r="M421" s="5" t="n"/>
      <c r="N421" s="3" t="n"/>
      <c r="O421" s="4" t="n"/>
      <c r="P421" s="5" t="n"/>
      <c r="Q421" s="3" t="n"/>
      <c r="R421" s="4" t="n"/>
      <c r="S421" s="5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6">
        <f>IF(C421=0,0,IF(E421="",B421*D421/100,E421))</f>
        <v/>
      </c>
      <c r="AE421" s="6">
        <f>IF(F421=0,0,IF(H421="",B421*G421/100,H421))</f>
        <v/>
      </c>
      <c r="AF421" s="6">
        <f>IF(I421=0,0,IF(K421="",B421*J421/100,K421))</f>
        <v/>
      </c>
      <c r="AG421" s="6">
        <f>IF(L421=0,0,IF(N421="",B421*M421/100,N421))</f>
        <v/>
      </c>
      <c r="AH421" s="6">
        <f>IF(O421=0,0,IF(Q421="",B421*P421/100,Q421))</f>
        <v/>
      </c>
      <c r="AI421" s="6">
        <f>IF(R421=0,0,IF(T421="",B421*S421/100,T421))</f>
        <v/>
      </c>
      <c r="AJ421" s="6">
        <f>B421*0.035</f>
        <v/>
      </c>
      <c r="AK421" s="6">
        <f>B421*0.065</f>
        <v/>
      </c>
      <c r="AL421" s="6">
        <f>SUM(B421,AD421,AE421,AF421,AG421,AH421,AI421,U421,V421,AJ421,AK421)</f>
        <v/>
      </c>
      <c r="AM421" s="6">
        <f>B421*0.055</f>
        <v/>
      </c>
      <c r="AN421" s="6">
        <f>B421*0.035</f>
        <v/>
      </c>
      <c r="AO421" s="6">
        <f>B421*0.165</f>
        <v/>
      </c>
      <c r="AP421" s="6">
        <f>MAX(0,AL421-AM421-AO421)</f>
        <v/>
      </c>
      <c r="AQ421" s="6">
        <f>IF(AP421&lt;=490,0,IF(AP421&lt;=600,(AP421-490)*0.05,IF(AP421&lt;=730,5.5+(AP421-600)*0.10,IF(AP421&lt;=3896.67,18.5+(AP421-730)*0.175,IF(AP421&lt;=19896.67,572.67+(AP421-3896.67)*0.25,IF(AP421&lt;=50416.67,4572.67+(AP421-19896.67)*0.30,13728.67+(AP421-50416.67)*0.35))))))</f>
        <v/>
      </c>
      <c r="AR421" s="6">
        <f>SUM(AM421,AQ421,W421,X421,Y421,Z421,AA421,AN421,AO421)</f>
        <v/>
      </c>
      <c r="AS421" s="6">
        <f>AL421-AR421</f>
        <v/>
      </c>
      <c r="AT421" s="6">
        <f>AB421-AC421</f>
        <v/>
      </c>
    </row>
    <row r="422">
      <c r="A422" s="2" t="n"/>
      <c r="B422" s="3" t="n"/>
      <c r="C422" s="4" t="n"/>
      <c r="D422" s="5" t="n"/>
      <c r="E422" s="3" t="n"/>
      <c r="F422" s="4" t="n"/>
      <c r="G422" s="5" t="n"/>
      <c r="H422" s="3" t="n"/>
      <c r="I422" s="4" t="n"/>
      <c r="J422" s="5" t="n"/>
      <c r="K422" s="3" t="n"/>
      <c r="L422" s="4" t="n"/>
      <c r="M422" s="5" t="n"/>
      <c r="N422" s="3" t="n"/>
      <c r="O422" s="4" t="n"/>
      <c r="P422" s="5" t="n"/>
      <c r="Q422" s="3" t="n"/>
      <c r="R422" s="4" t="n"/>
      <c r="S422" s="5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6">
        <f>IF(C422=0,0,IF(E422="",B422*D422/100,E422))</f>
        <v/>
      </c>
      <c r="AE422" s="6">
        <f>IF(F422=0,0,IF(H422="",B422*G422/100,H422))</f>
        <v/>
      </c>
      <c r="AF422" s="6">
        <f>IF(I422=0,0,IF(K422="",B422*J422/100,K422))</f>
        <v/>
      </c>
      <c r="AG422" s="6">
        <f>IF(L422=0,0,IF(N422="",B422*M422/100,N422))</f>
        <v/>
      </c>
      <c r="AH422" s="6">
        <f>IF(O422=0,0,IF(Q422="",B422*P422/100,Q422))</f>
        <v/>
      </c>
      <c r="AI422" s="6">
        <f>IF(R422=0,0,IF(T422="",B422*S422/100,T422))</f>
        <v/>
      </c>
      <c r="AJ422" s="6">
        <f>B422*0.035</f>
        <v/>
      </c>
      <c r="AK422" s="6">
        <f>B422*0.065</f>
        <v/>
      </c>
      <c r="AL422" s="6">
        <f>SUM(B422,AD422,AE422,AF422,AG422,AH422,AI422,U422,V422,AJ422,AK422)</f>
        <v/>
      </c>
      <c r="AM422" s="6">
        <f>B422*0.055</f>
        <v/>
      </c>
      <c r="AN422" s="6">
        <f>B422*0.035</f>
        <v/>
      </c>
      <c r="AO422" s="6">
        <f>B422*0.165</f>
        <v/>
      </c>
      <c r="AP422" s="6">
        <f>MAX(0,AL422-AM422-AO422)</f>
        <v/>
      </c>
      <c r="AQ422" s="6">
        <f>IF(AP422&lt;=490,0,IF(AP422&lt;=600,(AP422-490)*0.05,IF(AP422&lt;=730,5.5+(AP422-600)*0.10,IF(AP422&lt;=3896.67,18.5+(AP422-730)*0.175,IF(AP422&lt;=19896.67,572.67+(AP422-3896.67)*0.25,IF(AP422&lt;=50416.67,4572.67+(AP422-19896.67)*0.30,13728.67+(AP422-50416.67)*0.35))))))</f>
        <v/>
      </c>
      <c r="AR422" s="6">
        <f>SUM(AM422,AQ422,W422,X422,Y422,Z422,AA422,AN422,AO422)</f>
        <v/>
      </c>
      <c r="AS422" s="6">
        <f>AL422-AR422</f>
        <v/>
      </c>
      <c r="AT422" s="6">
        <f>AB422-AC422</f>
        <v/>
      </c>
    </row>
    <row r="423">
      <c r="A423" s="2" t="n"/>
      <c r="B423" s="3" t="n"/>
      <c r="C423" s="4" t="n"/>
      <c r="D423" s="5" t="n"/>
      <c r="E423" s="3" t="n"/>
      <c r="F423" s="4" t="n"/>
      <c r="G423" s="5" t="n"/>
      <c r="H423" s="3" t="n"/>
      <c r="I423" s="4" t="n"/>
      <c r="J423" s="5" t="n"/>
      <c r="K423" s="3" t="n"/>
      <c r="L423" s="4" t="n"/>
      <c r="M423" s="5" t="n"/>
      <c r="N423" s="3" t="n"/>
      <c r="O423" s="4" t="n"/>
      <c r="P423" s="5" t="n"/>
      <c r="Q423" s="3" t="n"/>
      <c r="R423" s="4" t="n"/>
      <c r="S423" s="5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6">
        <f>IF(C423=0,0,IF(E423="",B423*D423/100,E423))</f>
        <v/>
      </c>
      <c r="AE423" s="6">
        <f>IF(F423=0,0,IF(H423="",B423*G423/100,H423))</f>
        <v/>
      </c>
      <c r="AF423" s="6">
        <f>IF(I423=0,0,IF(K423="",B423*J423/100,K423))</f>
        <v/>
      </c>
      <c r="AG423" s="6">
        <f>IF(L423=0,0,IF(N423="",B423*M423/100,N423))</f>
        <v/>
      </c>
      <c r="AH423" s="6">
        <f>IF(O423=0,0,IF(Q423="",B423*P423/100,Q423))</f>
        <v/>
      </c>
      <c r="AI423" s="6">
        <f>IF(R423=0,0,IF(T423="",B423*S423/100,T423))</f>
        <v/>
      </c>
      <c r="AJ423" s="6">
        <f>B423*0.035</f>
        <v/>
      </c>
      <c r="AK423" s="6">
        <f>B423*0.065</f>
        <v/>
      </c>
      <c r="AL423" s="6">
        <f>SUM(B423,AD423,AE423,AF423,AG423,AH423,AI423,U423,V423,AJ423,AK423)</f>
        <v/>
      </c>
      <c r="AM423" s="6">
        <f>B423*0.055</f>
        <v/>
      </c>
      <c r="AN423" s="6">
        <f>B423*0.035</f>
        <v/>
      </c>
      <c r="AO423" s="6">
        <f>B423*0.165</f>
        <v/>
      </c>
      <c r="AP423" s="6">
        <f>MAX(0,AL423-AM423-AO423)</f>
        <v/>
      </c>
      <c r="AQ423" s="6">
        <f>IF(AP423&lt;=490,0,IF(AP423&lt;=600,(AP423-490)*0.05,IF(AP423&lt;=730,5.5+(AP423-600)*0.10,IF(AP423&lt;=3896.67,18.5+(AP423-730)*0.175,IF(AP423&lt;=19896.67,572.67+(AP423-3896.67)*0.25,IF(AP423&lt;=50416.67,4572.67+(AP423-19896.67)*0.30,13728.67+(AP423-50416.67)*0.35))))))</f>
        <v/>
      </c>
      <c r="AR423" s="6">
        <f>SUM(AM423,AQ423,W423,X423,Y423,Z423,AA423,AN423,AO423)</f>
        <v/>
      </c>
      <c r="AS423" s="6">
        <f>AL423-AR423</f>
        <v/>
      </c>
      <c r="AT423" s="6">
        <f>AB423-AC423</f>
        <v/>
      </c>
    </row>
    <row r="424">
      <c r="A424" s="2" t="n"/>
      <c r="B424" s="3" t="n"/>
      <c r="C424" s="4" t="n"/>
      <c r="D424" s="5" t="n"/>
      <c r="E424" s="3" t="n"/>
      <c r="F424" s="4" t="n"/>
      <c r="G424" s="5" t="n"/>
      <c r="H424" s="3" t="n"/>
      <c r="I424" s="4" t="n"/>
      <c r="J424" s="5" t="n"/>
      <c r="K424" s="3" t="n"/>
      <c r="L424" s="4" t="n"/>
      <c r="M424" s="5" t="n"/>
      <c r="N424" s="3" t="n"/>
      <c r="O424" s="4" t="n"/>
      <c r="P424" s="5" t="n"/>
      <c r="Q424" s="3" t="n"/>
      <c r="R424" s="4" t="n"/>
      <c r="S424" s="5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6">
        <f>IF(C424=0,0,IF(E424="",B424*D424/100,E424))</f>
        <v/>
      </c>
      <c r="AE424" s="6">
        <f>IF(F424=0,0,IF(H424="",B424*G424/100,H424))</f>
        <v/>
      </c>
      <c r="AF424" s="6">
        <f>IF(I424=0,0,IF(K424="",B424*J424/100,K424))</f>
        <v/>
      </c>
      <c r="AG424" s="6">
        <f>IF(L424=0,0,IF(N424="",B424*M424/100,N424))</f>
        <v/>
      </c>
      <c r="AH424" s="6">
        <f>IF(O424=0,0,IF(Q424="",B424*P424/100,Q424))</f>
        <v/>
      </c>
      <c r="AI424" s="6">
        <f>IF(R424=0,0,IF(T424="",B424*S424/100,T424))</f>
        <v/>
      </c>
      <c r="AJ424" s="6">
        <f>B424*0.035</f>
        <v/>
      </c>
      <c r="AK424" s="6">
        <f>B424*0.065</f>
        <v/>
      </c>
      <c r="AL424" s="6">
        <f>SUM(B424,AD424,AE424,AF424,AG424,AH424,AI424,U424,V424,AJ424,AK424)</f>
        <v/>
      </c>
      <c r="AM424" s="6">
        <f>B424*0.055</f>
        <v/>
      </c>
      <c r="AN424" s="6">
        <f>B424*0.035</f>
        <v/>
      </c>
      <c r="AO424" s="6">
        <f>B424*0.165</f>
        <v/>
      </c>
      <c r="AP424" s="6">
        <f>MAX(0,AL424-AM424-AO424)</f>
        <v/>
      </c>
      <c r="AQ424" s="6">
        <f>IF(AP424&lt;=490,0,IF(AP424&lt;=600,(AP424-490)*0.05,IF(AP424&lt;=730,5.5+(AP424-600)*0.10,IF(AP424&lt;=3896.67,18.5+(AP424-730)*0.175,IF(AP424&lt;=19896.67,572.67+(AP424-3896.67)*0.25,IF(AP424&lt;=50416.67,4572.67+(AP424-19896.67)*0.30,13728.67+(AP424-50416.67)*0.35))))))</f>
        <v/>
      </c>
      <c r="AR424" s="6">
        <f>SUM(AM424,AQ424,W424,X424,Y424,Z424,AA424,AN424,AO424)</f>
        <v/>
      </c>
      <c r="AS424" s="6">
        <f>AL424-AR424</f>
        <v/>
      </c>
      <c r="AT424" s="6">
        <f>AB424-AC424</f>
        <v/>
      </c>
    </row>
    <row r="425">
      <c r="A425" s="2" t="n"/>
      <c r="B425" s="3" t="n"/>
      <c r="C425" s="4" t="n"/>
      <c r="D425" s="5" t="n"/>
      <c r="E425" s="3" t="n"/>
      <c r="F425" s="4" t="n"/>
      <c r="G425" s="5" t="n"/>
      <c r="H425" s="3" t="n"/>
      <c r="I425" s="4" t="n"/>
      <c r="J425" s="5" t="n"/>
      <c r="K425" s="3" t="n"/>
      <c r="L425" s="4" t="n"/>
      <c r="M425" s="5" t="n"/>
      <c r="N425" s="3" t="n"/>
      <c r="O425" s="4" t="n"/>
      <c r="P425" s="5" t="n"/>
      <c r="Q425" s="3" t="n"/>
      <c r="R425" s="4" t="n"/>
      <c r="S425" s="5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6">
        <f>IF(C425=0,0,IF(E425="",B425*D425/100,E425))</f>
        <v/>
      </c>
      <c r="AE425" s="6">
        <f>IF(F425=0,0,IF(H425="",B425*G425/100,H425))</f>
        <v/>
      </c>
      <c r="AF425" s="6">
        <f>IF(I425=0,0,IF(K425="",B425*J425/100,K425))</f>
        <v/>
      </c>
      <c r="AG425" s="6">
        <f>IF(L425=0,0,IF(N425="",B425*M425/100,N425))</f>
        <v/>
      </c>
      <c r="AH425" s="6">
        <f>IF(O425=0,0,IF(Q425="",B425*P425/100,Q425))</f>
        <v/>
      </c>
      <c r="AI425" s="6">
        <f>IF(R425=0,0,IF(T425="",B425*S425/100,T425))</f>
        <v/>
      </c>
      <c r="AJ425" s="6">
        <f>B425*0.035</f>
        <v/>
      </c>
      <c r="AK425" s="6">
        <f>B425*0.065</f>
        <v/>
      </c>
      <c r="AL425" s="6">
        <f>SUM(B425,AD425,AE425,AF425,AG425,AH425,AI425,U425,V425,AJ425,AK425)</f>
        <v/>
      </c>
      <c r="AM425" s="6">
        <f>B425*0.055</f>
        <v/>
      </c>
      <c r="AN425" s="6">
        <f>B425*0.035</f>
        <v/>
      </c>
      <c r="AO425" s="6">
        <f>B425*0.165</f>
        <v/>
      </c>
      <c r="AP425" s="6">
        <f>MAX(0,AL425-AM425-AO425)</f>
        <v/>
      </c>
      <c r="AQ425" s="6">
        <f>IF(AP425&lt;=490,0,IF(AP425&lt;=600,(AP425-490)*0.05,IF(AP425&lt;=730,5.5+(AP425-600)*0.10,IF(AP425&lt;=3896.67,18.5+(AP425-730)*0.175,IF(AP425&lt;=19896.67,572.67+(AP425-3896.67)*0.25,IF(AP425&lt;=50416.67,4572.67+(AP425-19896.67)*0.30,13728.67+(AP425-50416.67)*0.35))))))</f>
        <v/>
      </c>
      <c r="AR425" s="6">
        <f>SUM(AM425,AQ425,W425,X425,Y425,Z425,AA425,AN425,AO425)</f>
        <v/>
      </c>
      <c r="AS425" s="6">
        <f>AL425-AR425</f>
        <v/>
      </c>
      <c r="AT425" s="6">
        <f>AB425-AC425</f>
        <v/>
      </c>
    </row>
    <row r="426">
      <c r="A426" s="2" t="n"/>
      <c r="B426" s="3" t="n"/>
      <c r="C426" s="4" t="n"/>
      <c r="D426" s="5" t="n"/>
      <c r="E426" s="3" t="n"/>
      <c r="F426" s="4" t="n"/>
      <c r="G426" s="5" t="n"/>
      <c r="H426" s="3" t="n"/>
      <c r="I426" s="4" t="n"/>
      <c r="J426" s="5" t="n"/>
      <c r="K426" s="3" t="n"/>
      <c r="L426" s="4" t="n"/>
      <c r="M426" s="5" t="n"/>
      <c r="N426" s="3" t="n"/>
      <c r="O426" s="4" t="n"/>
      <c r="P426" s="5" t="n"/>
      <c r="Q426" s="3" t="n"/>
      <c r="R426" s="4" t="n"/>
      <c r="S426" s="5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6">
        <f>IF(C426=0,0,IF(E426="",B426*D426/100,E426))</f>
        <v/>
      </c>
      <c r="AE426" s="6">
        <f>IF(F426=0,0,IF(H426="",B426*G426/100,H426))</f>
        <v/>
      </c>
      <c r="AF426" s="6">
        <f>IF(I426=0,0,IF(K426="",B426*J426/100,K426))</f>
        <v/>
      </c>
      <c r="AG426" s="6">
        <f>IF(L426=0,0,IF(N426="",B426*M426/100,N426))</f>
        <v/>
      </c>
      <c r="AH426" s="6">
        <f>IF(O426=0,0,IF(Q426="",B426*P426/100,Q426))</f>
        <v/>
      </c>
      <c r="AI426" s="6">
        <f>IF(R426=0,0,IF(T426="",B426*S426/100,T426))</f>
        <v/>
      </c>
      <c r="AJ426" s="6">
        <f>B426*0.035</f>
        <v/>
      </c>
      <c r="AK426" s="6">
        <f>B426*0.065</f>
        <v/>
      </c>
      <c r="AL426" s="6">
        <f>SUM(B426,AD426,AE426,AF426,AG426,AH426,AI426,U426,V426,AJ426,AK426)</f>
        <v/>
      </c>
      <c r="AM426" s="6">
        <f>B426*0.055</f>
        <v/>
      </c>
      <c r="AN426" s="6">
        <f>B426*0.035</f>
        <v/>
      </c>
      <c r="AO426" s="6">
        <f>B426*0.165</f>
        <v/>
      </c>
      <c r="AP426" s="6">
        <f>MAX(0,AL426-AM426-AO426)</f>
        <v/>
      </c>
      <c r="AQ426" s="6">
        <f>IF(AP426&lt;=490,0,IF(AP426&lt;=600,(AP426-490)*0.05,IF(AP426&lt;=730,5.5+(AP426-600)*0.10,IF(AP426&lt;=3896.67,18.5+(AP426-730)*0.175,IF(AP426&lt;=19896.67,572.67+(AP426-3896.67)*0.25,IF(AP426&lt;=50416.67,4572.67+(AP426-19896.67)*0.30,13728.67+(AP426-50416.67)*0.35))))))</f>
        <v/>
      </c>
      <c r="AR426" s="6">
        <f>SUM(AM426,AQ426,W426,X426,Y426,Z426,AA426,AN426,AO426)</f>
        <v/>
      </c>
      <c r="AS426" s="6">
        <f>AL426-AR426</f>
        <v/>
      </c>
      <c r="AT426" s="6">
        <f>AB426-AC426</f>
        <v/>
      </c>
    </row>
    <row r="427">
      <c r="A427" s="2" t="n"/>
      <c r="B427" s="3" t="n"/>
      <c r="C427" s="4" t="n"/>
      <c r="D427" s="5" t="n"/>
      <c r="E427" s="3" t="n"/>
      <c r="F427" s="4" t="n"/>
      <c r="G427" s="5" t="n"/>
      <c r="H427" s="3" t="n"/>
      <c r="I427" s="4" t="n"/>
      <c r="J427" s="5" t="n"/>
      <c r="K427" s="3" t="n"/>
      <c r="L427" s="4" t="n"/>
      <c r="M427" s="5" t="n"/>
      <c r="N427" s="3" t="n"/>
      <c r="O427" s="4" t="n"/>
      <c r="P427" s="5" t="n"/>
      <c r="Q427" s="3" t="n"/>
      <c r="R427" s="4" t="n"/>
      <c r="S427" s="5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6">
        <f>IF(C427=0,0,IF(E427="",B427*D427/100,E427))</f>
        <v/>
      </c>
      <c r="AE427" s="6">
        <f>IF(F427=0,0,IF(H427="",B427*G427/100,H427))</f>
        <v/>
      </c>
      <c r="AF427" s="6">
        <f>IF(I427=0,0,IF(K427="",B427*J427/100,K427))</f>
        <v/>
      </c>
      <c r="AG427" s="6">
        <f>IF(L427=0,0,IF(N427="",B427*M427/100,N427))</f>
        <v/>
      </c>
      <c r="AH427" s="6">
        <f>IF(O427=0,0,IF(Q427="",B427*P427/100,Q427))</f>
        <v/>
      </c>
      <c r="AI427" s="6">
        <f>IF(R427=0,0,IF(T427="",B427*S427/100,T427))</f>
        <v/>
      </c>
      <c r="AJ427" s="6">
        <f>B427*0.035</f>
        <v/>
      </c>
      <c r="AK427" s="6">
        <f>B427*0.065</f>
        <v/>
      </c>
      <c r="AL427" s="6">
        <f>SUM(B427,AD427,AE427,AF427,AG427,AH427,AI427,U427,V427,AJ427,AK427)</f>
        <v/>
      </c>
      <c r="AM427" s="6">
        <f>B427*0.055</f>
        <v/>
      </c>
      <c r="AN427" s="6">
        <f>B427*0.035</f>
        <v/>
      </c>
      <c r="AO427" s="6">
        <f>B427*0.165</f>
        <v/>
      </c>
      <c r="AP427" s="6">
        <f>MAX(0,AL427-AM427-AO427)</f>
        <v/>
      </c>
      <c r="AQ427" s="6">
        <f>IF(AP427&lt;=490,0,IF(AP427&lt;=600,(AP427-490)*0.05,IF(AP427&lt;=730,5.5+(AP427-600)*0.10,IF(AP427&lt;=3896.67,18.5+(AP427-730)*0.175,IF(AP427&lt;=19896.67,572.67+(AP427-3896.67)*0.25,IF(AP427&lt;=50416.67,4572.67+(AP427-19896.67)*0.30,13728.67+(AP427-50416.67)*0.35))))))</f>
        <v/>
      </c>
      <c r="AR427" s="6">
        <f>SUM(AM427,AQ427,W427,X427,Y427,Z427,AA427,AN427,AO427)</f>
        <v/>
      </c>
      <c r="AS427" s="6">
        <f>AL427-AR427</f>
        <v/>
      </c>
      <c r="AT427" s="6">
        <f>AB427-AC427</f>
        <v/>
      </c>
    </row>
    <row r="428">
      <c r="A428" s="2" t="n"/>
      <c r="B428" s="3" t="n"/>
      <c r="C428" s="4" t="n"/>
      <c r="D428" s="5" t="n"/>
      <c r="E428" s="3" t="n"/>
      <c r="F428" s="4" t="n"/>
      <c r="G428" s="5" t="n"/>
      <c r="H428" s="3" t="n"/>
      <c r="I428" s="4" t="n"/>
      <c r="J428" s="5" t="n"/>
      <c r="K428" s="3" t="n"/>
      <c r="L428" s="4" t="n"/>
      <c r="M428" s="5" t="n"/>
      <c r="N428" s="3" t="n"/>
      <c r="O428" s="4" t="n"/>
      <c r="P428" s="5" t="n"/>
      <c r="Q428" s="3" t="n"/>
      <c r="R428" s="4" t="n"/>
      <c r="S428" s="5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6">
        <f>IF(C428=0,0,IF(E428="",B428*D428/100,E428))</f>
        <v/>
      </c>
      <c r="AE428" s="6">
        <f>IF(F428=0,0,IF(H428="",B428*G428/100,H428))</f>
        <v/>
      </c>
      <c r="AF428" s="6">
        <f>IF(I428=0,0,IF(K428="",B428*J428/100,K428))</f>
        <v/>
      </c>
      <c r="AG428" s="6">
        <f>IF(L428=0,0,IF(N428="",B428*M428/100,N428))</f>
        <v/>
      </c>
      <c r="AH428" s="6">
        <f>IF(O428=0,0,IF(Q428="",B428*P428/100,Q428))</f>
        <v/>
      </c>
      <c r="AI428" s="6">
        <f>IF(R428=0,0,IF(T428="",B428*S428/100,T428))</f>
        <v/>
      </c>
      <c r="AJ428" s="6">
        <f>B428*0.035</f>
        <v/>
      </c>
      <c r="AK428" s="6">
        <f>B428*0.065</f>
        <v/>
      </c>
      <c r="AL428" s="6">
        <f>SUM(B428,AD428,AE428,AF428,AG428,AH428,AI428,U428,V428,AJ428,AK428)</f>
        <v/>
      </c>
      <c r="AM428" s="6">
        <f>B428*0.055</f>
        <v/>
      </c>
      <c r="AN428" s="6">
        <f>B428*0.035</f>
        <v/>
      </c>
      <c r="AO428" s="6">
        <f>B428*0.165</f>
        <v/>
      </c>
      <c r="AP428" s="6">
        <f>MAX(0,AL428-AM428-AO428)</f>
        <v/>
      </c>
      <c r="AQ428" s="6">
        <f>IF(AP428&lt;=490,0,IF(AP428&lt;=600,(AP428-490)*0.05,IF(AP428&lt;=730,5.5+(AP428-600)*0.10,IF(AP428&lt;=3896.67,18.5+(AP428-730)*0.175,IF(AP428&lt;=19896.67,572.67+(AP428-3896.67)*0.25,IF(AP428&lt;=50416.67,4572.67+(AP428-19896.67)*0.30,13728.67+(AP428-50416.67)*0.35))))))</f>
        <v/>
      </c>
      <c r="AR428" s="6">
        <f>SUM(AM428,AQ428,W428,X428,Y428,Z428,AA428,AN428,AO428)</f>
        <v/>
      </c>
      <c r="AS428" s="6">
        <f>AL428-AR428</f>
        <v/>
      </c>
      <c r="AT428" s="6">
        <f>AB428-AC428</f>
        <v/>
      </c>
    </row>
    <row r="429">
      <c r="A429" s="2" t="n"/>
      <c r="B429" s="3" t="n"/>
      <c r="C429" s="4" t="n"/>
      <c r="D429" s="5" t="n"/>
      <c r="E429" s="3" t="n"/>
      <c r="F429" s="4" t="n"/>
      <c r="G429" s="5" t="n"/>
      <c r="H429" s="3" t="n"/>
      <c r="I429" s="4" t="n"/>
      <c r="J429" s="5" t="n"/>
      <c r="K429" s="3" t="n"/>
      <c r="L429" s="4" t="n"/>
      <c r="M429" s="5" t="n"/>
      <c r="N429" s="3" t="n"/>
      <c r="O429" s="4" t="n"/>
      <c r="P429" s="5" t="n"/>
      <c r="Q429" s="3" t="n"/>
      <c r="R429" s="4" t="n"/>
      <c r="S429" s="5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6">
        <f>IF(C429=0,0,IF(E429="",B429*D429/100,E429))</f>
        <v/>
      </c>
      <c r="AE429" s="6">
        <f>IF(F429=0,0,IF(H429="",B429*G429/100,H429))</f>
        <v/>
      </c>
      <c r="AF429" s="6">
        <f>IF(I429=0,0,IF(K429="",B429*J429/100,K429))</f>
        <v/>
      </c>
      <c r="AG429" s="6">
        <f>IF(L429=0,0,IF(N429="",B429*M429/100,N429))</f>
        <v/>
      </c>
      <c r="AH429" s="6">
        <f>IF(O429=0,0,IF(Q429="",B429*P429/100,Q429))</f>
        <v/>
      </c>
      <c r="AI429" s="6">
        <f>IF(R429=0,0,IF(T429="",B429*S429/100,T429))</f>
        <v/>
      </c>
      <c r="AJ429" s="6">
        <f>B429*0.035</f>
        <v/>
      </c>
      <c r="AK429" s="6">
        <f>B429*0.065</f>
        <v/>
      </c>
      <c r="AL429" s="6">
        <f>SUM(B429,AD429,AE429,AF429,AG429,AH429,AI429,U429,V429,AJ429,AK429)</f>
        <v/>
      </c>
      <c r="AM429" s="6">
        <f>B429*0.055</f>
        <v/>
      </c>
      <c r="AN429" s="6">
        <f>B429*0.035</f>
        <v/>
      </c>
      <c r="AO429" s="6">
        <f>B429*0.165</f>
        <v/>
      </c>
      <c r="AP429" s="6">
        <f>MAX(0,AL429-AM429-AO429)</f>
        <v/>
      </c>
      <c r="AQ429" s="6">
        <f>IF(AP429&lt;=490,0,IF(AP429&lt;=600,(AP429-490)*0.05,IF(AP429&lt;=730,5.5+(AP429-600)*0.10,IF(AP429&lt;=3896.67,18.5+(AP429-730)*0.175,IF(AP429&lt;=19896.67,572.67+(AP429-3896.67)*0.25,IF(AP429&lt;=50416.67,4572.67+(AP429-19896.67)*0.30,13728.67+(AP429-50416.67)*0.35))))))</f>
        <v/>
      </c>
      <c r="AR429" s="6">
        <f>SUM(AM429,AQ429,W429,X429,Y429,Z429,AA429,AN429,AO429)</f>
        <v/>
      </c>
      <c r="AS429" s="6">
        <f>AL429-AR429</f>
        <v/>
      </c>
      <c r="AT429" s="6">
        <f>AB429-AC429</f>
        <v/>
      </c>
    </row>
    <row r="430">
      <c r="A430" s="2" t="n"/>
      <c r="B430" s="3" t="n"/>
      <c r="C430" s="4" t="n"/>
      <c r="D430" s="5" t="n"/>
      <c r="E430" s="3" t="n"/>
      <c r="F430" s="4" t="n"/>
      <c r="G430" s="5" t="n"/>
      <c r="H430" s="3" t="n"/>
      <c r="I430" s="4" t="n"/>
      <c r="J430" s="5" t="n"/>
      <c r="K430" s="3" t="n"/>
      <c r="L430" s="4" t="n"/>
      <c r="M430" s="5" t="n"/>
      <c r="N430" s="3" t="n"/>
      <c r="O430" s="4" t="n"/>
      <c r="P430" s="5" t="n"/>
      <c r="Q430" s="3" t="n"/>
      <c r="R430" s="4" t="n"/>
      <c r="S430" s="5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6">
        <f>IF(C430=0,0,IF(E430="",B430*D430/100,E430))</f>
        <v/>
      </c>
      <c r="AE430" s="6">
        <f>IF(F430=0,0,IF(H430="",B430*G430/100,H430))</f>
        <v/>
      </c>
      <c r="AF430" s="6">
        <f>IF(I430=0,0,IF(K430="",B430*J430/100,K430))</f>
        <v/>
      </c>
      <c r="AG430" s="6">
        <f>IF(L430=0,0,IF(N430="",B430*M430/100,N430))</f>
        <v/>
      </c>
      <c r="AH430" s="6">
        <f>IF(O430=0,0,IF(Q430="",B430*P430/100,Q430))</f>
        <v/>
      </c>
      <c r="AI430" s="6">
        <f>IF(R430=0,0,IF(T430="",B430*S430/100,T430))</f>
        <v/>
      </c>
      <c r="AJ430" s="6">
        <f>B430*0.035</f>
        <v/>
      </c>
      <c r="AK430" s="6">
        <f>B430*0.065</f>
        <v/>
      </c>
      <c r="AL430" s="6">
        <f>SUM(B430,AD430,AE430,AF430,AG430,AH430,AI430,U430,V430,AJ430,AK430)</f>
        <v/>
      </c>
      <c r="AM430" s="6">
        <f>B430*0.055</f>
        <v/>
      </c>
      <c r="AN430" s="6">
        <f>B430*0.035</f>
        <v/>
      </c>
      <c r="AO430" s="6">
        <f>B430*0.165</f>
        <v/>
      </c>
      <c r="AP430" s="6">
        <f>MAX(0,AL430-AM430-AO430)</f>
        <v/>
      </c>
      <c r="AQ430" s="6">
        <f>IF(AP430&lt;=490,0,IF(AP430&lt;=600,(AP430-490)*0.05,IF(AP430&lt;=730,5.5+(AP430-600)*0.10,IF(AP430&lt;=3896.67,18.5+(AP430-730)*0.175,IF(AP430&lt;=19896.67,572.67+(AP430-3896.67)*0.25,IF(AP430&lt;=50416.67,4572.67+(AP430-19896.67)*0.30,13728.67+(AP430-50416.67)*0.35))))))</f>
        <v/>
      </c>
      <c r="AR430" s="6">
        <f>SUM(AM430,AQ430,W430,X430,Y430,Z430,AA430,AN430,AO430)</f>
        <v/>
      </c>
      <c r="AS430" s="6">
        <f>AL430-AR430</f>
        <v/>
      </c>
      <c r="AT430" s="6">
        <f>AB430-AC430</f>
        <v/>
      </c>
    </row>
    <row r="431">
      <c r="A431" s="2" t="n"/>
      <c r="B431" s="3" t="n"/>
      <c r="C431" s="4" t="n"/>
      <c r="D431" s="5" t="n"/>
      <c r="E431" s="3" t="n"/>
      <c r="F431" s="4" t="n"/>
      <c r="G431" s="5" t="n"/>
      <c r="H431" s="3" t="n"/>
      <c r="I431" s="4" t="n"/>
      <c r="J431" s="5" t="n"/>
      <c r="K431" s="3" t="n"/>
      <c r="L431" s="4" t="n"/>
      <c r="M431" s="5" t="n"/>
      <c r="N431" s="3" t="n"/>
      <c r="O431" s="4" t="n"/>
      <c r="P431" s="5" t="n"/>
      <c r="Q431" s="3" t="n"/>
      <c r="R431" s="4" t="n"/>
      <c r="S431" s="5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6">
        <f>IF(C431=0,0,IF(E431="",B431*D431/100,E431))</f>
        <v/>
      </c>
      <c r="AE431" s="6">
        <f>IF(F431=0,0,IF(H431="",B431*G431/100,H431))</f>
        <v/>
      </c>
      <c r="AF431" s="6">
        <f>IF(I431=0,0,IF(K431="",B431*J431/100,K431))</f>
        <v/>
      </c>
      <c r="AG431" s="6">
        <f>IF(L431=0,0,IF(N431="",B431*M431/100,N431))</f>
        <v/>
      </c>
      <c r="AH431" s="6">
        <f>IF(O431=0,0,IF(Q431="",B431*P431/100,Q431))</f>
        <v/>
      </c>
      <c r="AI431" s="6">
        <f>IF(R431=0,0,IF(T431="",B431*S431/100,T431))</f>
        <v/>
      </c>
      <c r="AJ431" s="6">
        <f>B431*0.035</f>
        <v/>
      </c>
      <c r="AK431" s="6">
        <f>B431*0.065</f>
        <v/>
      </c>
      <c r="AL431" s="6">
        <f>SUM(B431,AD431,AE431,AF431,AG431,AH431,AI431,U431,V431,AJ431,AK431)</f>
        <v/>
      </c>
      <c r="AM431" s="6">
        <f>B431*0.055</f>
        <v/>
      </c>
      <c r="AN431" s="6">
        <f>B431*0.035</f>
        <v/>
      </c>
      <c r="AO431" s="6">
        <f>B431*0.165</f>
        <v/>
      </c>
      <c r="AP431" s="6">
        <f>MAX(0,AL431-AM431-AO431)</f>
        <v/>
      </c>
      <c r="AQ431" s="6">
        <f>IF(AP431&lt;=490,0,IF(AP431&lt;=600,(AP431-490)*0.05,IF(AP431&lt;=730,5.5+(AP431-600)*0.10,IF(AP431&lt;=3896.67,18.5+(AP431-730)*0.175,IF(AP431&lt;=19896.67,572.67+(AP431-3896.67)*0.25,IF(AP431&lt;=50416.67,4572.67+(AP431-19896.67)*0.30,13728.67+(AP431-50416.67)*0.35))))))</f>
        <v/>
      </c>
      <c r="AR431" s="6">
        <f>SUM(AM431,AQ431,W431,X431,Y431,Z431,AA431,AN431,AO431)</f>
        <v/>
      </c>
      <c r="AS431" s="6">
        <f>AL431-AR431</f>
        <v/>
      </c>
      <c r="AT431" s="6">
        <f>AB431-AC431</f>
        <v/>
      </c>
    </row>
    <row r="432">
      <c r="A432" s="2" t="n"/>
      <c r="B432" s="3" t="n"/>
      <c r="C432" s="4" t="n"/>
      <c r="D432" s="5" t="n"/>
      <c r="E432" s="3" t="n"/>
      <c r="F432" s="4" t="n"/>
      <c r="G432" s="5" t="n"/>
      <c r="H432" s="3" t="n"/>
      <c r="I432" s="4" t="n"/>
      <c r="J432" s="5" t="n"/>
      <c r="K432" s="3" t="n"/>
      <c r="L432" s="4" t="n"/>
      <c r="M432" s="5" t="n"/>
      <c r="N432" s="3" t="n"/>
      <c r="O432" s="4" t="n"/>
      <c r="P432" s="5" t="n"/>
      <c r="Q432" s="3" t="n"/>
      <c r="R432" s="4" t="n"/>
      <c r="S432" s="5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6">
        <f>IF(C432=0,0,IF(E432="",B432*D432/100,E432))</f>
        <v/>
      </c>
      <c r="AE432" s="6">
        <f>IF(F432=0,0,IF(H432="",B432*G432/100,H432))</f>
        <v/>
      </c>
      <c r="AF432" s="6">
        <f>IF(I432=0,0,IF(K432="",B432*J432/100,K432))</f>
        <v/>
      </c>
      <c r="AG432" s="6">
        <f>IF(L432=0,0,IF(N432="",B432*M432/100,N432))</f>
        <v/>
      </c>
      <c r="AH432" s="6">
        <f>IF(O432=0,0,IF(Q432="",B432*P432/100,Q432))</f>
        <v/>
      </c>
      <c r="AI432" s="6">
        <f>IF(R432=0,0,IF(T432="",B432*S432/100,T432))</f>
        <v/>
      </c>
      <c r="AJ432" s="6">
        <f>B432*0.035</f>
        <v/>
      </c>
      <c r="AK432" s="6">
        <f>B432*0.065</f>
        <v/>
      </c>
      <c r="AL432" s="6">
        <f>SUM(B432,AD432,AE432,AF432,AG432,AH432,AI432,U432,V432,AJ432,AK432)</f>
        <v/>
      </c>
      <c r="AM432" s="6">
        <f>B432*0.055</f>
        <v/>
      </c>
      <c r="AN432" s="6">
        <f>B432*0.035</f>
        <v/>
      </c>
      <c r="AO432" s="6">
        <f>B432*0.165</f>
        <v/>
      </c>
      <c r="AP432" s="6">
        <f>MAX(0,AL432-AM432-AO432)</f>
        <v/>
      </c>
      <c r="AQ432" s="6">
        <f>IF(AP432&lt;=490,0,IF(AP432&lt;=600,(AP432-490)*0.05,IF(AP432&lt;=730,5.5+(AP432-600)*0.10,IF(AP432&lt;=3896.67,18.5+(AP432-730)*0.175,IF(AP432&lt;=19896.67,572.67+(AP432-3896.67)*0.25,IF(AP432&lt;=50416.67,4572.67+(AP432-19896.67)*0.30,13728.67+(AP432-50416.67)*0.35))))))</f>
        <v/>
      </c>
      <c r="AR432" s="6">
        <f>SUM(AM432,AQ432,W432,X432,Y432,Z432,AA432,AN432,AO432)</f>
        <v/>
      </c>
      <c r="AS432" s="6">
        <f>AL432-AR432</f>
        <v/>
      </c>
      <c r="AT432" s="6">
        <f>AB432-AC432</f>
        <v/>
      </c>
    </row>
    <row r="433">
      <c r="A433" s="2" t="n"/>
      <c r="B433" s="3" t="n"/>
      <c r="C433" s="4" t="n"/>
      <c r="D433" s="5" t="n"/>
      <c r="E433" s="3" t="n"/>
      <c r="F433" s="4" t="n"/>
      <c r="G433" s="5" t="n"/>
      <c r="H433" s="3" t="n"/>
      <c r="I433" s="4" t="n"/>
      <c r="J433" s="5" t="n"/>
      <c r="K433" s="3" t="n"/>
      <c r="L433" s="4" t="n"/>
      <c r="M433" s="5" t="n"/>
      <c r="N433" s="3" t="n"/>
      <c r="O433" s="4" t="n"/>
      <c r="P433" s="5" t="n"/>
      <c r="Q433" s="3" t="n"/>
      <c r="R433" s="4" t="n"/>
      <c r="S433" s="5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6">
        <f>IF(C433=0,0,IF(E433="",B433*D433/100,E433))</f>
        <v/>
      </c>
      <c r="AE433" s="6">
        <f>IF(F433=0,0,IF(H433="",B433*G433/100,H433))</f>
        <v/>
      </c>
      <c r="AF433" s="6">
        <f>IF(I433=0,0,IF(K433="",B433*J433/100,K433))</f>
        <v/>
      </c>
      <c r="AG433" s="6">
        <f>IF(L433=0,0,IF(N433="",B433*M433/100,N433))</f>
        <v/>
      </c>
      <c r="AH433" s="6">
        <f>IF(O433=0,0,IF(Q433="",B433*P433/100,Q433))</f>
        <v/>
      </c>
      <c r="AI433" s="6">
        <f>IF(R433=0,0,IF(T433="",B433*S433/100,T433))</f>
        <v/>
      </c>
      <c r="AJ433" s="6">
        <f>B433*0.035</f>
        <v/>
      </c>
      <c r="AK433" s="6">
        <f>B433*0.065</f>
        <v/>
      </c>
      <c r="AL433" s="6">
        <f>SUM(B433,AD433,AE433,AF433,AG433,AH433,AI433,U433,V433,AJ433,AK433)</f>
        <v/>
      </c>
      <c r="AM433" s="6">
        <f>B433*0.055</f>
        <v/>
      </c>
      <c r="AN433" s="6">
        <f>B433*0.035</f>
        <v/>
      </c>
      <c r="AO433" s="6">
        <f>B433*0.165</f>
        <v/>
      </c>
      <c r="AP433" s="6">
        <f>MAX(0,AL433-AM433-AO433)</f>
        <v/>
      </c>
      <c r="AQ433" s="6">
        <f>IF(AP433&lt;=490,0,IF(AP433&lt;=600,(AP433-490)*0.05,IF(AP433&lt;=730,5.5+(AP433-600)*0.10,IF(AP433&lt;=3896.67,18.5+(AP433-730)*0.175,IF(AP433&lt;=19896.67,572.67+(AP433-3896.67)*0.25,IF(AP433&lt;=50416.67,4572.67+(AP433-19896.67)*0.30,13728.67+(AP433-50416.67)*0.35))))))</f>
        <v/>
      </c>
      <c r="AR433" s="6">
        <f>SUM(AM433,AQ433,W433,X433,Y433,Z433,AA433,AN433,AO433)</f>
        <v/>
      </c>
      <c r="AS433" s="6">
        <f>AL433-AR433</f>
        <v/>
      </c>
      <c r="AT433" s="6">
        <f>AB433-AC433</f>
        <v/>
      </c>
    </row>
    <row r="434">
      <c r="A434" s="2" t="n"/>
      <c r="B434" s="3" t="n"/>
      <c r="C434" s="4" t="n"/>
      <c r="D434" s="5" t="n"/>
      <c r="E434" s="3" t="n"/>
      <c r="F434" s="4" t="n"/>
      <c r="G434" s="5" t="n"/>
      <c r="H434" s="3" t="n"/>
      <c r="I434" s="4" t="n"/>
      <c r="J434" s="5" t="n"/>
      <c r="K434" s="3" t="n"/>
      <c r="L434" s="4" t="n"/>
      <c r="M434" s="5" t="n"/>
      <c r="N434" s="3" t="n"/>
      <c r="O434" s="4" t="n"/>
      <c r="P434" s="5" t="n"/>
      <c r="Q434" s="3" t="n"/>
      <c r="R434" s="4" t="n"/>
      <c r="S434" s="5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6">
        <f>IF(C434=0,0,IF(E434="",B434*D434/100,E434))</f>
        <v/>
      </c>
      <c r="AE434" s="6">
        <f>IF(F434=0,0,IF(H434="",B434*G434/100,H434))</f>
        <v/>
      </c>
      <c r="AF434" s="6">
        <f>IF(I434=0,0,IF(K434="",B434*J434/100,K434))</f>
        <v/>
      </c>
      <c r="AG434" s="6">
        <f>IF(L434=0,0,IF(N434="",B434*M434/100,N434))</f>
        <v/>
      </c>
      <c r="AH434" s="6">
        <f>IF(O434=0,0,IF(Q434="",B434*P434/100,Q434))</f>
        <v/>
      </c>
      <c r="AI434" s="6">
        <f>IF(R434=0,0,IF(T434="",B434*S434/100,T434))</f>
        <v/>
      </c>
      <c r="AJ434" s="6">
        <f>B434*0.035</f>
        <v/>
      </c>
      <c r="AK434" s="6">
        <f>B434*0.065</f>
        <v/>
      </c>
      <c r="AL434" s="6">
        <f>SUM(B434,AD434,AE434,AF434,AG434,AH434,AI434,U434,V434,AJ434,AK434)</f>
        <v/>
      </c>
      <c r="AM434" s="6">
        <f>B434*0.055</f>
        <v/>
      </c>
      <c r="AN434" s="6">
        <f>B434*0.035</f>
        <v/>
      </c>
      <c r="AO434" s="6">
        <f>B434*0.165</f>
        <v/>
      </c>
      <c r="AP434" s="6">
        <f>MAX(0,AL434-AM434-AO434)</f>
        <v/>
      </c>
      <c r="AQ434" s="6">
        <f>IF(AP434&lt;=490,0,IF(AP434&lt;=600,(AP434-490)*0.05,IF(AP434&lt;=730,5.5+(AP434-600)*0.10,IF(AP434&lt;=3896.67,18.5+(AP434-730)*0.175,IF(AP434&lt;=19896.67,572.67+(AP434-3896.67)*0.25,IF(AP434&lt;=50416.67,4572.67+(AP434-19896.67)*0.30,13728.67+(AP434-50416.67)*0.35))))))</f>
        <v/>
      </c>
      <c r="AR434" s="6">
        <f>SUM(AM434,AQ434,W434,X434,Y434,Z434,AA434,AN434,AO434)</f>
        <v/>
      </c>
      <c r="AS434" s="6">
        <f>AL434-AR434</f>
        <v/>
      </c>
      <c r="AT434" s="6">
        <f>AB434-AC434</f>
        <v/>
      </c>
    </row>
    <row r="435">
      <c r="A435" s="2" t="n"/>
      <c r="B435" s="3" t="n"/>
      <c r="C435" s="4" t="n"/>
      <c r="D435" s="5" t="n"/>
      <c r="E435" s="3" t="n"/>
      <c r="F435" s="4" t="n"/>
      <c r="G435" s="5" t="n"/>
      <c r="H435" s="3" t="n"/>
      <c r="I435" s="4" t="n"/>
      <c r="J435" s="5" t="n"/>
      <c r="K435" s="3" t="n"/>
      <c r="L435" s="4" t="n"/>
      <c r="M435" s="5" t="n"/>
      <c r="N435" s="3" t="n"/>
      <c r="O435" s="4" t="n"/>
      <c r="P435" s="5" t="n"/>
      <c r="Q435" s="3" t="n"/>
      <c r="R435" s="4" t="n"/>
      <c r="S435" s="5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6">
        <f>IF(C435=0,0,IF(E435="",B435*D435/100,E435))</f>
        <v/>
      </c>
      <c r="AE435" s="6">
        <f>IF(F435=0,0,IF(H435="",B435*G435/100,H435))</f>
        <v/>
      </c>
      <c r="AF435" s="6">
        <f>IF(I435=0,0,IF(K435="",B435*J435/100,K435))</f>
        <v/>
      </c>
      <c r="AG435" s="6">
        <f>IF(L435=0,0,IF(N435="",B435*M435/100,N435))</f>
        <v/>
      </c>
      <c r="AH435" s="6">
        <f>IF(O435=0,0,IF(Q435="",B435*P435/100,Q435))</f>
        <v/>
      </c>
      <c r="AI435" s="6">
        <f>IF(R435=0,0,IF(T435="",B435*S435/100,T435))</f>
        <v/>
      </c>
      <c r="AJ435" s="6">
        <f>B435*0.035</f>
        <v/>
      </c>
      <c r="AK435" s="6">
        <f>B435*0.065</f>
        <v/>
      </c>
      <c r="AL435" s="6">
        <f>SUM(B435,AD435,AE435,AF435,AG435,AH435,AI435,U435,V435,AJ435,AK435)</f>
        <v/>
      </c>
      <c r="AM435" s="6">
        <f>B435*0.055</f>
        <v/>
      </c>
      <c r="AN435" s="6">
        <f>B435*0.035</f>
        <v/>
      </c>
      <c r="AO435" s="6">
        <f>B435*0.165</f>
        <v/>
      </c>
      <c r="AP435" s="6">
        <f>MAX(0,AL435-AM435-AO435)</f>
        <v/>
      </c>
      <c r="AQ435" s="6">
        <f>IF(AP435&lt;=490,0,IF(AP435&lt;=600,(AP435-490)*0.05,IF(AP435&lt;=730,5.5+(AP435-600)*0.10,IF(AP435&lt;=3896.67,18.5+(AP435-730)*0.175,IF(AP435&lt;=19896.67,572.67+(AP435-3896.67)*0.25,IF(AP435&lt;=50416.67,4572.67+(AP435-19896.67)*0.30,13728.67+(AP435-50416.67)*0.35))))))</f>
        <v/>
      </c>
      <c r="AR435" s="6">
        <f>SUM(AM435,AQ435,W435,X435,Y435,Z435,AA435,AN435,AO435)</f>
        <v/>
      </c>
      <c r="AS435" s="6">
        <f>AL435-AR435</f>
        <v/>
      </c>
      <c r="AT435" s="6">
        <f>AB435-AC435</f>
        <v/>
      </c>
    </row>
    <row r="436">
      <c r="A436" s="2" t="n"/>
      <c r="B436" s="3" t="n"/>
      <c r="C436" s="4" t="n"/>
      <c r="D436" s="5" t="n"/>
      <c r="E436" s="3" t="n"/>
      <c r="F436" s="4" t="n"/>
      <c r="G436" s="5" t="n"/>
      <c r="H436" s="3" t="n"/>
      <c r="I436" s="4" t="n"/>
      <c r="J436" s="5" t="n"/>
      <c r="K436" s="3" t="n"/>
      <c r="L436" s="4" t="n"/>
      <c r="M436" s="5" t="n"/>
      <c r="N436" s="3" t="n"/>
      <c r="O436" s="4" t="n"/>
      <c r="P436" s="5" t="n"/>
      <c r="Q436" s="3" t="n"/>
      <c r="R436" s="4" t="n"/>
      <c r="S436" s="5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6">
        <f>IF(C436=0,0,IF(E436="",B436*D436/100,E436))</f>
        <v/>
      </c>
      <c r="AE436" s="6">
        <f>IF(F436=0,0,IF(H436="",B436*G436/100,H436))</f>
        <v/>
      </c>
      <c r="AF436" s="6">
        <f>IF(I436=0,0,IF(K436="",B436*J436/100,K436))</f>
        <v/>
      </c>
      <c r="AG436" s="6">
        <f>IF(L436=0,0,IF(N436="",B436*M436/100,N436))</f>
        <v/>
      </c>
      <c r="AH436" s="6">
        <f>IF(O436=0,0,IF(Q436="",B436*P436/100,Q436))</f>
        <v/>
      </c>
      <c r="AI436" s="6">
        <f>IF(R436=0,0,IF(T436="",B436*S436/100,T436))</f>
        <v/>
      </c>
      <c r="AJ436" s="6">
        <f>B436*0.035</f>
        <v/>
      </c>
      <c r="AK436" s="6">
        <f>B436*0.065</f>
        <v/>
      </c>
      <c r="AL436" s="6">
        <f>SUM(B436,AD436,AE436,AF436,AG436,AH436,AI436,U436,V436,AJ436,AK436)</f>
        <v/>
      </c>
      <c r="AM436" s="6">
        <f>B436*0.055</f>
        <v/>
      </c>
      <c r="AN436" s="6">
        <f>B436*0.035</f>
        <v/>
      </c>
      <c r="AO436" s="6">
        <f>B436*0.165</f>
        <v/>
      </c>
      <c r="AP436" s="6">
        <f>MAX(0,AL436-AM436-AO436)</f>
        <v/>
      </c>
      <c r="AQ436" s="6">
        <f>IF(AP436&lt;=490,0,IF(AP436&lt;=600,(AP436-490)*0.05,IF(AP436&lt;=730,5.5+(AP436-600)*0.10,IF(AP436&lt;=3896.67,18.5+(AP436-730)*0.175,IF(AP436&lt;=19896.67,572.67+(AP436-3896.67)*0.25,IF(AP436&lt;=50416.67,4572.67+(AP436-19896.67)*0.30,13728.67+(AP436-50416.67)*0.35))))))</f>
        <v/>
      </c>
      <c r="AR436" s="6">
        <f>SUM(AM436,AQ436,W436,X436,Y436,Z436,AA436,AN436,AO436)</f>
        <v/>
      </c>
      <c r="AS436" s="6">
        <f>AL436-AR436</f>
        <v/>
      </c>
      <c r="AT436" s="6">
        <f>AB436-AC436</f>
        <v/>
      </c>
    </row>
    <row r="437">
      <c r="A437" s="2" t="n"/>
      <c r="B437" s="3" t="n"/>
      <c r="C437" s="4" t="n"/>
      <c r="D437" s="5" t="n"/>
      <c r="E437" s="3" t="n"/>
      <c r="F437" s="4" t="n"/>
      <c r="G437" s="5" t="n"/>
      <c r="H437" s="3" t="n"/>
      <c r="I437" s="4" t="n"/>
      <c r="J437" s="5" t="n"/>
      <c r="K437" s="3" t="n"/>
      <c r="L437" s="4" t="n"/>
      <c r="M437" s="5" t="n"/>
      <c r="N437" s="3" t="n"/>
      <c r="O437" s="4" t="n"/>
      <c r="P437" s="5" t="n"/>
      <c r="Q437" s="3" t="n"/>
      <c r="R437" s="4" t="n"/>
      <c r="S437" s="5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6">
        <f>IF(C437=0,0,IF(E437="",B437*D437/100,E437))</f>
        <v/>
      </c>
      <c r="AE437" s="6">
        <f>IF(F437=0,0,IF(H437="",B437*G437/100,H437))</f>
        <v/>
      </c>
      <c r="AF437" s="6">
        <f>IF(I437=0,0,IF(K437="",B437*J437/100,K437))</f>
        <v/>
      </c>
      <c r="AG437" s="6">
        <f>IF(L437=0,0,IF(N437="",B437*M437/100,N437))</f>
        <v/>
      </c>
      <c r="AH437" s="6">
        <f>IF(O437=0,0,IF(Q437="",B437*P437/100,Q437))</f>
        <v/>
      </c>
      <c r="AI437" s="6">
        <f>IF(R437=0,0,IF(T437="",B437*S437/100,T437))</f>
        <v/>
      </c>
      <c r="AJ437" s="6">
        <f>B437*0.035</f>
        <v/>
      </c>
      <c r="AK437" s="6">
        <f>B437*0.065</f>
        <v/>
      </c>
      <c r="AL437" s="6">
        <f>SUM(B437,AD437,AE437,AF437,AG437,AH437,AI437,U437,V437,AJ437,AK437)</f>
        <v/>
      </c>
      <c r="AM437" s="6">
        <f>B437*0.055</f>
        <v/>
      </c>
      <c r="AN437" s="6">
        <f>B437*0.035</f>
        <v/>
      </c>
      <c r="AO437" s="6">
        <f>B437*0.165</f>
        <v/>
      </c>
      <c r="AP437" s="6">
        <f>MAX(0,AL437-AM437-AO437)</f>
        <v/>
      </c>
      <c r="AQ437" s="6">
        <f>IF(AP437&lt;=490,0,IF(AP437&lt;=600,(AP437-490)*0.05,IF(AP437&lt;=730,5.5+(AP437-600)*0.10,IF(AP437&lt;=3896.67,18.5+(AP437-730)*0.175,IF(AP437&lt;=19896.67,572.67+(AP437-3896.67)*0.25,IF(AP437&lt;=50416.67,4572.67+(AP437-19896.67)*0.30,13728.67+(AP437-50416.67)*0.35))))))</f>
        <v/>
      </c>
      <c r="AR437" s="6">
        <f>SUM(AM437,AQ437,W437,X437,Y437,Z437,AA437,AN437,AO437)</f>
        <v/>
      </c>
      <c r="AS437" s="6">
        <f>AL437-AR437</f>
        <v/>
      </c>
      <c r="AT437" s="6">
        <f>AB437-AC437</f>
        <v/>
      </c>
    </row>
    <row r="438">
      <c r="A438" s="2" t="n"/>
      <c r="B438" s="3" t="n"/>
      <c r="C438" s="4" t="n"/>
      <c r="D438" s="5" t="n"/>
      <c r="E438" s="3" t="n"/>
      <c r="F438" s="4" t="n"/>
      <c r="G438" s="5" t="n"/>
      <c r="H438" s="3" t="n"/>
      <c r="I438" s="4" t="n"/>
      <c r="J438" s="5" t="n"/>
      <c r="K438" s="3" t="n"/>
      <c r="L438" s="4" t="n"/>
      <c r="M438" s="5" t="n"/>
      <c r="N438" s="3" t="n"/>
      <c r="O438" s="4" t="n"/>
      <c r="P438" s="5" t="n"/>
      <c r="Q438" s="3" t="n"/>
      <c r="R438" s="4" t="n"/>
      <c r="S438" s="5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6">
        <f>IF(C438=0,0,IF(E438="",B438*D438/100,E438))</f>
        <v/>
      </c>
      <c r="AE438" s="6">
        <f>IF(F438=0,0,IF(H438="",B438*G438/100,H438))</f>
        <v/>
      </c>
      <c r="AF438" s="6">
        <f>IF(I438=0,0,IF(K438="",B438*J438/100,K438))</f>
        <v/>
      </c>
      <c r="AG438" s="6">
        <f>IF(L438=0,0,IF(N438="",B438*M438/100,N438))</f>
        <v/>
      </c>
      <c r="AH438" s="6">
        <f>IF(O438=0,0,IF(Q438="",B438*P438/100,Q438))</f>
        <v/>
      </c>
      <c r="AI438" s="6">
        <f>IF(R438=0,0,IF(T438="",B438*S438/100,T438))</f>
        <v/>
      </c>
      <c r="AJ438" s="6">
        <f>B438*0.035</f>
        <v/>
      </c>
      <c r="AK438" s="6">
        <f>B438*0.065</f>
        <v/>
      </c>
      <c r="AL438" s="6">
        <f>SUM(B438,AD438,AE438,AF438,AG438,AH438,AI438,U438,V438,AJ438,AK438)</f>
        <v/>
      </c>
      <c r="AM438" s="6">
        <f>B438*0.055</f>
        <v/>
      </c>
      <c r="AN438" s="6">
        <f>B438*0.035</f>
        <v/>
      </c>
      <c r="AO438" s="6">
        <f>B438*0.165</f>
        <v/>
      </c>
      <c r="AP438" s="6">
        <f>MAX(0,AL438-AM438-AO438)</f>
        <v/>
      </c>
      <c r="AQ438" s="6">
        <f>IF(AP438&lt;=490,0,IF(AP438&lt;=600,(AP438-490)*0.05,IF(AP438&lt;=730,5.5+(AP438-600)*0.10,IF(AP438&lt;=3896.67,18.5+(AP438-730)*0.175,IF(AP438&lt;=19896.67,572.67+(AP438-3896.67)*0.25,IF(AP438&lt;=50416.67,4572.67+(AP438-19896.67)*0.30,13728.67+(AP438-50416.67)*0.35))))))</f>
        <v/>
      </c>
      <c r="AR438" s="6">
        <f>SUM(AM438,AQ438,W438,X438,Y438,Z438,AA438,AN438,AO438)</f>
        <v/>
      </c>
      <c r="AS438" s="6">
        <f>AL438-AR438</f>
        <v/>
      </c>
      <c r="AT438" s="6">
        <f>AB438-AC438</f>
        <v/>
      </c>
    </row>
    <row r="439">
      <c r="A439" s="2" t="n"/>
      <c r="B439" s="3" t="n"/>
      <c r="C439" s="4" t="n"/>
      <c r="D439" s="5" t="n"/>
      <c r="E439" s="3" t="n"/>
      <c r="F439" s="4" t="n"/>
      <c r="G439" s="5" t="n"/>
      <c r="H439" s="3" t="n"/>
      <c r="I439" s="4" t="n"/>
      <c r="J439" s="5" t="n"/>
      <c r="K439" s="3" t="n"/>
      <c r="L439" s="4" t="n"/>
      <c r="M439" s="5" t="n"/>
      <c r="N439" s="3" t="n"/>
      <c r="O439" s="4" t="n"/>
      <c r="P439" s="5" t="n"/>
      <c r="Q439" s="3" t="n"/>
      <c r="R439" s="4" t="n"/>
      <c r="S439" s="5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6">
        <f>IF(C439=0,0,IF(E439="",B439*D439/100,E439))</f>
        <v/>
      </c>
      <c r="AE439" s="6">
        <f>IF(F439=0,0,IF(H439="",B439*G439/100,H439))</f>
        <v/>
      </c>
      <c r="AF439" s="6">
        <f>IF(I439=0,0,IF(K439="",B439*J439/100,K439))</f>
        <v/>
      </c>
      <c r="AG439" s="6">
        <f>IF(L439=0,0,IF(N439="",B439*M439/100,N439))</f>
        <v/>
      </c>
      <c r="AH439" s="6">
        <f>IF(O439=0,0,IF(Q439="",B439*P439/100,Q439))</f>
        <v/>
      </c>
      <c r="AI439" s="6">
        <f>IF(R439=0,0,IF(T439="",B439*S439/100,T439))</f>
        <v/>
      </c>
      <c r="AJ439" s="6">
        <f>B439*0.035</f>
        <v/>
      </c>
      <c r="AK439" s="6">
        <f>B439*0.065</f>
        <v/>
      </c>
      <c r="AL439" s="6">
        <f>SUM(B439,AD439,AE439,AF439,AG439,AH439,AI439,U439,V439,AJ439,AK439)</f>
        <v/>
      </c>
      <c r="AM439" s="6">
        <f>B439*0.055</f>
        <v/>
      </c>
      <c r="AN439" s="6">
        <f>B439*0.035</f>
        <v/>
      </c>
      <c r="AO439" s="6">
        <f>B439*0.165</f>
        <v/>
      </c>
      <c r="AP439" s="6">
        <f>MAX(0,AL439-AM439-AO439)</f>
        <v/>
      </c>
      <c r="AQ439" s="6">
        <f>IF(AP439&lt;=490,0,IF(AP439&lt;=600,(AP439-490)*0.05,IF(AP439&lt;=730,5.5+(AP439-600)*0.10,IF(AP439&lt;=3896.67,18.5+(AP439-730)*0.175,IF(AP439&lt;=19896.67,572.67+(AP439-3896.67)*0.25,IF(AP439&lt;=50416.67,4572.67+(AP439-19896.67)*0.30,13728.67+(AP439-50416.67)*0.35))))))</f>
        <v/>
      </c>
      <c r="AR439" s="6">
        <f>SUM(AM439,AQ439,W439,X439,Y439,Z439,AA439,AN439,AO439)</f>
        <v/>
      </c>
      <c r="AS439" s="6">
        <f>AL439-AR439</f>
        <v/>
      </c>
      <c r="AT439" s="6">
        <f>AB439-AC439</f>
        <v/>
      </c>
    </row>
    <row r="440">
      <c r="A440" s="2" t="n"/>
      <c r="B440" s="3" t="n"/>
      <c r="C440" s="4" t="n"/>
      <c r="D440" s="5" t="n"/>
      <c r="E440" s="3" t="n"/>
      <c r="F440" s="4" t="n"/>
      <c r="G440" s="5" t="n"/>
      <c r="H440" s="3" t="n"/>
      <c r="I440" s="4" t="n"/>
      <c r="J440" s="5" t="n"/>
      <c r="K440" s="3" t="n"/>
      <c r="L440" s="4" t="n"/>
      <c r="M440" s="5" t="n"/>
      <c r="N440" s="3" t="n"/>
      <c r="O440" s="4" t="n"/>
      <c r="P440" s="5" t="n"/>
      <c r="Q440" s="3" t="n"/>
      <c r="R440" s="4" t="n"/>
      <c r="S440" s="5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6">
        <f>IF(C440=0,0,IF(E440="",B440*D440/100,E440))</f>
        <v/>
      </c>
      <c r="AE440" s="6">
        <f>IF(F440=0,0,IF(H440="",B440*G440/100,H440))</f>
        <v/>
      </c>
      <c r="AF440" s="6">
        <f>IF(I440=0,0,IF(K440="",B440*J440/100,K440))</f>
        <v/>
      </c>
      <c r="AG440" s="6">
        <f>IF(L440=0,0,IF(N440="",B440*M440/100,N440))</f>
        <v/>
      </c>
      <c r="AH440" s="6">
        <f>IF(O440=0,0,IF(Q440="",B440*P440/100,Q440))</f>
        <v/>
      </c>
      <c r="AI440" s="6">
        <f>IF(R440=0,0,IF(T440="",B440*S440/100,T440))</f>
        <v/>
      </c>
      <c r="AJ440" s="6">
        <f>B440*0.035</f>
        <v/>
      </c>
      <c r="AK440" s="6">
        <f>B440*0.065</f>
        <v/>
      </c>
      <c r="AL440" s="6">
        <f>SUM(B440,AD440,AE440,AF440,AG440,AH440,AI440,U440,V440,AJ440,AK440)</f>
        <v/>
      </c>
      <c r="AM440" s="6">
        <f>B440*0.055</f>
        <v/>
      </c>
      <c r="AN440" s="6">
        <f>B440*0.035</f>
        <v/>
      </c>
      <c r="AO440" s="6">
        <f>B440*0.165</f>
        <v/>
      </c>
      <c r="AP440" s="6">
        <f>MAX(0,AL440-AM440-AO440)</f>
        <v/>
      </c>
      <c r="AQ440" s="6">
        <f>IF(AP440&lt;=490,0,IF(AP440&lt;=600,(AP440-490)*0.05,IF(AP440&lt;=730,5.5+(AP440-600)*0.10,IF(AP440&lt;=3896.67,18.5+(AP440-730)*0.175,IF(AP440&lt;=19896.67,572.67+(AP440-3896.67)*0.25,IF(AP440&lt;=50416.67,4572.67+(AP440-19896.67)*0.30,13728.67+(AP440-50416.67)*0.35))))))</f>
        <v/>
      </c>
      <c r="AR440" s="6">
        <f>SUM(AM440,AQ440,W440,X440,Y440,Z440,AA440,AN440,AO440)</f>
        <v/>
      </c>
      <c r="AS440" s="6">
        <f>AL440-AR440</f>
        <v/>
      </c>
      <c r="AT440" s="6">
        <f>AB440-AC440</f>
        <v/>
      </c>
    </row>
    <row r="441">
      <c r="A441" s="2" t="n"/>
      <c r="B441" s="3" t="n"/>
      <c r="C441" s="4" t="n"/>
      <c r="D441" s="5" t="n"/>
      <c r="E441" s="3" t="n"/>
      <c r="F441" s="4" t="n"/>
      <c r="G441" s="5" t="n"/>
      <c r="H441" s="3" t="n"/>
      <c r="I441" s="4" t="n"/>
      <c r="J441" s="5" t="n"/>
      <c r="K441" s="3" t="n"/>
      <c r="L441" s="4" t="n"/>
      <c r="M441" s="5" t="n"/>
      <c r="N441" s="3" t="n"/>
      <c r="O441" s="4" t="n"/>
      <c r="P441" s="5" t="n"/>
      <c r="Q441" s="3" t="n"/>
      <c r="R441" s="4" t="n"/>
      <c r="S441" s="5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6">
        <f>IF(C441=0,0,IF(E441="",B441*D441/100,E441))</f>
        <v/>
      </c>
      <c r="AE441" s="6">
        <f>IF(F441=0,0,IF(H441="",B441*G441/100,H441))</f>
        <v/>
      </c>
      <c r="AF441" s="6">
        <f>IF(I441=0,0,IF(K441="",B441*J441/100,K441))</f>
        <v/>
      </c>
      <c r="AG441" s="6">
        <f>IF(L441=0,0,IF(N441="",B441*M441/100,N441))</f>
        <v/>
      </c>
      <c r="AH441" s="6">
        <f>IF(O441=0,0,IF(Q441="",B441*P441/100,Q441))</f>
        <v/>
      </c>
      <c r="AI441" s="6">
        <f>IF(R441=0,0,IF(T441="",B441*S441/100,T441))</f>
        <v/>
      </c>
      <c r="AJ441" s="6">
        <f>B441*0.035</f>
        <v/>
      </c>
      <c r="AK441" s="6">
        <f>B441*0.065</f>
        <v/>
      </c>
      <c r="AL441" s="6">
        <f>SUM(B441,AD441,AE441,AF441,AG441,AH441,AI441,U441,V441,AJ441,AK441)</f>
        <v/>
      </c>
      <c r="AM441" s="6">
        <f>B441*0.055</f>
        <v/>
      </c>
      <c r="AN441" s="6">
        <f>B441*0.035</f>
        <v/>
      </c>
      <c r="AO441" s="6">
        <f>B441*0.165</f>
        <v/>
      </c>
      <c r="AP441" s="6">
        <f>MAX(0,AL441-AM441-AO441)</f>
        <v/>
      </c>
      <c r="AQ441" s="6">
        <f>IF(AP441&lt;=490,0,IF(AP441&lt;=600,(AP441-490)*0.05,IF(AP441&lt;=730,5.5+(AP441-600)*0.10,IF(AP441&lt;=3896.67,18.5+(AP441-730)*0.175,IF(AP441&lt;=19896.67,572.67+(AP441-3896.67)*0.25,IF(AP441&lt;=50416.67,4572.67+(AP441-19896.67)*0.30,13728.67+(AP441-50416.67)*0.35))))))</f>
        <v/>
      </c>
      <c r="AR441" s="6">
        <f>SUM(AM441,AQ441,W441,X441,Y441,Z441,AA441,AN441,AO441)</f>
        <v/>
      </c>
      <c r="AS441" s="6">
        <f>AL441-AR441</f>
        <v/>
      </c>
      <c r="AT441" s="6">
        <f>AB441-AC441</f>
        <v/>
      </c>
    </row>
    <row r="442">
      <c r="A442" s="2" t="n"/>
      <c r="B442" s="3" t="n"/>
      <c r="C442" s="4" t="n"/>
      <c r="D442" s="5" t="n"/>
      <c r="E442" s="3" t="n"/>
      <c r="F442" s="4" t="n"/>
      <c r="G442" s="5" t="n"/>
      <c r="H442" s="3" t="n"/>
      <c r="I442" s="4" t="n"/>
      <c r="J442" s="5" t="n"/>
      <c r="K442" s="3" t="n"/>
      <c r="L442" s="4" t="n"/>
      <c r="M442" s="5" t="n"/>
      <c r="N442" s="3" t="n"/>
      <c r="O442" s="4" t="n"/>
      <c r="P442" s="5" t="n"/>
      <c r="Q442" s="3" t="n"/>
      <c r="R442" s="4" t="n"/>
      <c r="S442" s="5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6">
        <f>IF(C442=0,0,IF(E442="",B442*D442/100,E442))</f>
        <v/>
      </c>
      <c r="AE442" s="6">
        <f>IF(F442=0,0,IF(H442="",B442*G442/100,H442))</f>
        <v/>
      </c>
      <c r="AF442" s="6">
        <f>IF(I442=0,0,IF(K442="",B442*J442/100,K442))</f>
        <v/>
      </c>
      <c r="AG442" s="6">
        <f>IF(L442=0,0,IF(N442="",B442*M442/100,N442))</f>
        <v/>
      </c>
      <c r="AH442" s="6">
        <f>IF(O442=0,0,IF(Q442="",B442*P442/100,Q442))</f>
        <v/>
      </c>
      <c r="AI442" s="6">
        <f>IF(R442=0,0,IF(T442="",B442*S442/100,T442))</f>
        <v/>
      </c>
      <c r="AJ442" s="6">
        <f>B442*0.035</f>
        <v/>
      </c>
      <c r="AK442" s="6">
        <f>B442*0.065</f>
        <v/>
      </c>
      <c r="AL442" s="6">
        <f>SUM(B442,AD442,AE442,AF442,AG442,AH442,AI442,U442,V442,AJ442,AK442)</f>
        <v/>
      </c>
      <c r="AM442" s="6">
        <f>B442*0.055</f>
        <v/>
      </c>
      <c r="AN442" s="6">
        <f>B442*0.035</f>
        <v/>
      </c>
      <c r="AO442" s="6">
        <f>B442*0.165</f>
        <v/>
      </c>
      <c r="AP442" s="6">
        <f>MAX(0,AL442-AM442-AO442)</f>
        <v/>
      </c>
      <c r="AQ442" s="6">
        <f>IF(AP442&lt;=490,0,IF(AP442&lt;=600,(AP442-490)*0.05,IF(AP442&lt;=730,5.5+(AP442-600)*0.10,IF(AP442&lt;=3896.67,18.5+(AP442-730)*0.175,IF(AP442&lt;=19896.67,572.67+(AP442-3896.67)*0.25,IF(AP442&lt;=50416.67,4572.67+(AP442-19896.67)*0.30,13728.67+(AP442-50416.67)*0.35))))))</f>
        <v/>
      </c>
      <c r="AR442" s="6">
        <f>SUM(AM442,AQ442,W442,X442,Y442,Z442,AA442,AN442,AO442)</f>
        <v/>
      </c>
      <c r="AS442" s="6">
        <f>AL442-AR442</f>
        <v/>
      </c>
      <c r="AT442" s="6">
        <f>AB442-AC442</f>
        <v/>
      </c>
    </row>
    <row r="443">
      <c r="A443" s="2" t="n"/>
      <c r="B443" s="3" t="n"/>
      <c r="C443" s="4" t="n"/>
      <c r="D443" s="5" t="n"/>
      <c r="E443" s="3" t="n"/>
      <c r="F443" s="4" t="n"/>
      <c r="G443" s="5" t="n"/>
      <c r="H443" s="3" t="n"/>
      <c r="I443" s="4" t="n"/>
      <c r="J443" s="5" t="n"/>
      <c r="K443" s="3" t="n"/>
      <c r="L443" s="4" t="n"/>
      <c r="M443" s="5" t="n"/>
      <c r="N443" s="3" t="n"/>
      <c r="O443" s="4" t="n"/>
      <c r="P443" s="5" t="n"/>
      <c r="Q443" s="3" t="n"/>
      <c r="R443" s="4" t="n"/>
      <c r="S443" s="5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6">
        <f>IF(C443=0,0,IF(E443="",B443*D443/100,E443))</f>
        <v/>
      </c>
      <c r="AE443" s="6">
        <f>IF(F443=0,0,IF(H443="",B443*G443/100,H443))</f>
        <v/>
      </c>
      <c r="AF443" s="6">
        <f>IF(I443=0,0,IF(K443="",B443*J443/100,K443))</f>
        <v/>
      </c>
      <c r="AG443" s="6">
        <f>IF(L443=0,0,IF(N443="",B443*M443/100,N443))</f>
        <v/>
      </c>
      <c r="AH443" s="6">
        <f>IF(O443=0,0,IF(Q443="",B443*P443/100,Q443))</f>
        <v/>
      </c>
      <c r="AI443" s="6">
        <f>IF(R443=0,0,IF(T443="",B443*S443/100,T443))</f>
        <v/>
      </c>
      <c r="AJ443" s="6">
        <f>B443*0.035</f>
        <v/>
      </c>
      <c r="AK443" s="6">
        <f>B443*0.065</f>
        <v/>
      </c>
      <c r="AL443" s="6">
        <f>SUM(B443,AD443,AE443,AF443,AG443,AH443,AI443,U443,V443,AJ443,AK443)</f>
        <v/>
      </c>
      <c r="AM443" s="6">
        <f>B443*0.055</f>
        <v/>
      </c>
      <c r="AN443" s="6">
        <f>B443*0.035</f>
        <v/>
      </c>
      <c r="AO443" s="6">
        <f>B443*0.165</f>
        <v/>
      </c>
      <c r="AP443" s="6">
        <f>MAX(0,AL443-AM443-AO443)</f>
        <v/>
      </c>
      <c r="AQ443" s="6">
        <f>IF(AP443&lt;=490,0,IF(AP443&lt;=600,(AP443-490)*0.05,IF(AP443&lt;=730,5.5+(AP443-600)*0.10,IF(AP443&lt;=3896.67,18.5+(AP443-730)*0.175,IF(AP443&lt;=19896.67,572.67+(AP443-3896.67)*0.25,IF(AP443&lt;=50416.67,4572.67+(AP443-19896.67)*0.30,13728.67+(AP443-50416.67)*0.35))))))</f>
        <v/>
      </c>
      <c r="AR443" s="6">
        <f>SUM(AM443,AQ443,W443,X443,Y443,Z443,AA443,AN443,AO443)</f>
        <v/>
      </c>
      <c r="AS443" s="6">
        <f>AL443-AR443</f>
        <v/>
      </c>
      <c r="AT443" s="6">
        <f>AB443-AC443</f>
        <v/>
      </c>
    </row>
    <row r="444">
      <c r="A444" s="2" t="n"/>
      <c r="B444" s="3" t="n"/>
      <c r="C444" s="4" t="n"/>
      <c r="D444" s="5" t="n"/>
      <c r="E444" s="3" t="n"/>
      <c r="F444" s="4" t="n"/>
      <c r="G444" s="5" t="n"/>
      <c r="H444" s="3" t="n"/>
      <c r="I444" s="4" t="n"/>
      <c r="J444" s="5" t="n"/>
      <c r="K444" s="3" t="n"/>
      <c r="L444" s="4" t="n"/>
      <c r="M444" s="5" t="n"/>
      <c r="N444" s="3" t="n"/>
      <c r="O444" s="4" t="n"/>
      <c r="P444" s="5" t="n"/>
      <c r="Q444" s="3" t="n"/>
      <c r="R444" s="4" t="n"/>
      <c r="S444" s="5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6">
        <f>IF(C444=0,0,IF(E444="",B444*D444/100,E444))</f>
        <v/>
      </c>
      <c r="AE444" s="6">
        <f>IF(F444=0,0,IF(H444="",B444*G444/100,H444))</f>
        <v/>
      </c>
      <c r="AF444" s="6">
        <f>IF(I444=0,0,IF(K444="",B444*J444/100,K444))</f>
        <v/>
      </c>
      <c r="AG444" s="6">
        <f>IF(L444=0,0,IF(N444="",B444*M444/100,N444))</f>
        <v/>
      </c>
      <c r="AH444" s="6">
        <f>IF(O444=0,0,IF(Q444="",B444*P444/100,Q444))</f>
        <v/>
      </c>
      <c r="AI444" s="6">
        <f>IF(R444=0,0,IF(T444="",B444*S444/100,T444))</f>
        <v/>
      </c>
      <c r="AJ444" s="6">
        <f>B444*0.035</f>
        <v/>
      </c>
      <c r="AK444" s="6">
        <f>B444*0.065</f>
        <v/>
      </c>
      <c r="AL444" s="6">
        <f>SUM(B444,AD444,AE444,AF444,AG444,AH444,AI444,U444,V444,AJ444,AK444)</f>
        <v/>
      </c>
      <c r="AM444" s="6">
        <f>B444*0.055</f>
        <v/>
      </c>
      <c r="AN444" s="6">
        <f>B444*0.035</f>
        <v/>
      </c>
      <c r="AO444" s="6">
        <f>B444*0.165</f>
        <v/>
      </c>
      <c r="AP444" s="6">
        <f>MAX(0,AL444-AM444-AO444)</f>
        <v/>
      </c>
      <c r="AQ444" s="6">
        <f>IF(AP444&lt;=490,0,IF(AP444&lt;=600,(AP444-490)*0.05,IF(AP444&lt;=730,5.5+(AP444-600)*0.10,IF(AP444&lt;=3896.67,18.5+(AP444-730)*0.175,IF(AP444&lt;=19896.67,572.67+(AP444-3896.67)*0.25,IF(AP444&lt;=50416.67,4572.67+(AP444-19896.67)*0.30,13728.67+(AP444-50416.67)*0.35))))))</f>
        <v/>
      </c>
      <c r="AR444" s="6">
        <f>SUM(AM444,AQ444,W444,X444,Y444,Z444,AA444,AN444,AO444)</f>
        <v/>
      </c>
      <c r="AS444" s="6">
        <f>AL444-AR444</f>
        <v/>
      </c>
      <c r="AT444" s="6">
        <f>AB444-AC444</f>
        <v/>
      </c>
    </row>
    <row r="445">
      <c r="A445" s="2" t="n"/>
      <c r="B445" s="3" t="n"/>
      <c r="C445" s="4" t="n"/>
      <c r="D445" s="5" t="n"/>
      <c r="E445" s="3" t="n"/>
      <c r="F445" s="4" t="n"/>
      <c r="G445" s="5" t="n"/>
      <c r="H445" s="3" t="n"/>
      <c r="I445" s="4" t="n"/>
      <c r="J445" s="5" t="n"/>
      <c r="K445" s="3" t="n"/>
      <c r="L445" s="4" t="n"/>
      <c r="M445" s="5" t="n"/>
      <c r="N445" s="3" t="n"/>
      <c r="O445" s="4" t="n"/>
      <c r="P445" s="5" t="n"/>
      <c r="Q445" s="3" t="n"/>
      <c r="R445" s="4" t="n"/>
      <c r="S445" s="5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6">
        <f>IF(C445=0,0,IF(E445="",B445*D445/100,E445))</f>
        <v/>
      </c>
      <c r="AE445" s="6">
        <f>IF(F445=0,0,IF(H445="",B445*G445/100,H445))</f>
        <v/>
      </c>
      <c r="AF445" s="6">
        <f>IF(I445=0,0,IF(K445="",B445*J445/100,K445))</f>
        <v/>
      </c>
      <c r="AG445" s="6">
        <f>IF(L445=0,0,IF(N445="",B445*M445/100,N445))</f>
        <v/>
      </c>
      <c r="AH445" s="6">
        <f>IF(O445=0,0,IF(Q445="",B445*P445/100,Q445))</f>
        <v/>
      </c>
      <c r="AI445" s="6">
        <f>IF(R445=0,0,IF(T445="",B445*S445/100,T445))</f>
        <v/>
      </c>
      <c r="AJ445" s="6">
        <f>B445*0.035</f>
        <v/>
      </c>
      <c r="AK445" s="6">
        <f>B445*0.065</f>
        <v/>
      </c>
      <c r="AL445" s="6">
        <f>SUM(B445,AD445,AE445,AF445,AG445,AH445,AI445,U445,V445,AJ445,AK445)</f>
        <v/>
      </c>
      <c r="AM445" s="6">
        <f>B445*0.055</f>
        <v/>
      </c>
      <c r="AN445" s="6">
        <f>B445*0.035</f>
        <v/>
      </c>
      <c r="AO445" s="6">
        <f>B445*0.165</f>
        <v/>
      </c>
      <c r="AP445" s="6">
        <f>MAX(0,AL445-AM445-AO445)</f>
        <v/>
      </c>
      <c r="AQ445" s="6">
        <f>IF(AP445&lt;=490,0,IF(AP445&lt;=600,(AP445-490)*0.05,IF(AP445&lt;=730,5.5+(AP445-600)*0.10,IF(AP445&lt;=3896.67,18.5+(AP445-730)*0.175,IF(AP445&lt;=19896.67,572.67+(AP445-3896.67)*0.25,IF(AP445&lt;=50416.67,4572.67+(AP445-19896.67)*0.30,13728.67+(AP445-50416.67)*0.35))))))</f>
        <v/>
      </c>
      <c r="AR445" s="6">
        <f>SUM(AM445,AQ445,W445,X445,Y445,Z445,AA445,AN445,AO445)</f>
        <v/>
      </c>
      <c r="AS445" s="6">
        <f>AL445-AR445</f>
        <v/>
      </c>
      <c r="AT445" s="6">
        <f>AB445-AC445</f>
        <v/>
      </c>
    </row>
    <row r="446">
      <c r="A446" s="2" t="n"/>
      <c r="B446" s="3" t="n"/>
      <c r="C446" s="4" t="n"/>
      <c r="D446" s="5" t="n"/>
      <c r="E446" s="3" t="n"/>
      <c r="F446" s="4" t="n"/>
      <c r="G446" s="5" t="n"/>
      <c r="H446" s="3" t="n"/>
      <c r="I446" s="4" t="n"/>
      <c r="J446" s="5" t="n"/>
      <c r="K446" s="3" t="n"/>
      <c r="L446" s="4" t="n"/>
      <c r="M446" s="5" t="n"/>
      <c r="N446" s="3" t="n"/>
      <c r="O446" s="4" t="n"/>
      <c r="P446" s="5" t="n"/>
      <c r="Q446" s="3" t="n"/>
      <c r="R446" s="4" t="n"/>
      <c r="S446" s="5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6">
        <f>IF(C446=0,0,IF(E446="",B446*D446/100,E446))</f>
        <v/>
      </c>
      <c r="AE446" s="6">
        <f>IF(F446=0,0,IF(H446="",B446*G446/100,H446))</f>
        <v/>
      </c>
      <c r="AF446" s="6">
        <f>IF(I446=0,0,IF(K446="",B446*J446/100,K446))</f>
        <v/>
      </c>
      <c r="AG446" s="6">
        <f>IF(L446=0,0,IF(N446="",B446*M446/100,N446))</f>
        <v/>
      </c>
      <c r="AH446" s="6">
        <f>IF(O446=0,0,IF(Q446="",B446*P446/100,Q446))</f>
        <v/>
      </c>
      <c r="AI446" s="6">
        <f>IF(R446=0,0,IF(T446="",B446*S446/100,T446))</f>
        <v/>
      </c>
      <c r="AJ446" s="6">
        <f>B446*0.035</f>
        <v/>
      </c>
      <c r="AK446" s="6">
        <f>B446*0.065</f>
        <v/>
      </c>
      <c r="AL446" s="6">
        <f>SUM(B446,AD446,AE446,AF446,AG446,AH446,AI446,U446,V446,AJ446,AK446)</f>
        <v/>
      </c>
      <c r="AM446" s="6">
        <f>B446*0.055</f>
        <v/>
      </c>
      <c r="AN446" s="6">
        <f>B446*0.035</f>
        <v/>
      </c>
      <c r="AO446" s="6">
        <f>B446*0.165</f>
        <v/>
      </c>
      <c r="AP446" s="6">
        <f>MAX(0,AL446-AM446-AO446)</f>
        <v/>
      </c>
      <c r="AQ446" s="6">
        <f>IF(AP446&lt;=490,0,IF(AP446&lt;=600,(AP446-490)*0.05,IF(AP446&lt;=730,5.5+(AP446-600)*0.10,IF(AP446&lt;=3896.67,18.5+(AP446-730)*0.175,IF(AP446&lt;=19896.67,572.67+(AP446-3896.67)*0.25,IF(AP446&lt;=50416.67,4572.67+(AP446-19896.67)*0.30,13728.67+(AP446-50416.67)*0.35))))))</f>
        <v/>
      </c>
      <c r="AR446" s="6">
        <f>SUM(AM446,AQ446,W446,X446,Y446,Z446,AA446,AN446,AO446)</f>
        <v/>
      </c>
      <c r="AS446" s="6">
        <f>AL446-AR446</f>
        <v/>
      </c>
      <c r="AT446" s="6">
        <f>AB446-AC446</f>
        <v/>
      </c>
    </row>
    <row r="447">
      <c r="A447" s="2" t="n"/>
      <c r="B447" s="3" t="n"/>
      <c r="C447" s="4" t="n"/>
      <c r="D447" s="5" t="n"/>
      <c r="E447" s="3" t="n"/>
      <c r="F447" s="4" t="n"/>
      <c r="G447" s="5" t="n"/>
      <c r="H447" s="3" t="n"/>
      <c r="I447" s="4" t="n"/>
      <c r="J447" s="5" t="n"/>
      <c r="K447" s="3" t="n"/>
      <c r="L447" s="4" t="n"/>
      <c r="M447" s="5" t="n"/>
      <c r="N447" s="3" t="n"/>
      <c r="O447" s="4" t="n"/>
      <c r="P447" s="5" t="n"/>
      <c r="Q447" s="3" t="n"/>
      <c r="R447" s="4" t="n"/>
      <c r="S447" s="5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6">
        <f>IF(C447=0,0,IF(E447="",B447*D447/100,E447))</f>
        <v/>
      </c>
      <c r="AE447" s="6">
        <f>IF(F447=0,0,IF(H447="",B447*G447/100,H447))</f>
        <v/>
      </c>
      <c r="AF447" s="6">
        <f>IF(I447=0,0,IF(K447="",B447*J447/100,K447))</f>
        <v/>
      </c>
      <c r="AG447" s="6">
        <f>IF(L447=0,0,IF(N447="",B447*M447/100,N447))</f>
        <v/>
      </c>
      <c r="AH447" s="6">
        <f>IF(O447=0,0,IF(Q447="",B447*P447/100,Q447))</f>
        <v/>
      </c>
      <c r="AI447" s="6">
        <f>IF(R447=0,0,IF(T447="",B447*S447/100,T447))</f>
        <v/>
      </c>
      <c r="AJ447" s="6">
        <f>B447*0.035</f>
        <v/>
      </c>
      <c r="AK447" s="6">
        <f>B447*0.065</f>
        <v/>
      </c>
      <c r="AL447" s="6">
        <f>SUM(B447,AD447,AE447,AF447,AG447,AH447,AI447,U447,V447,AJ447,AK447)</f>
        <v/>
      </c>
      <c r="AM447" s="6">
        <f>B447*0.055</f>
        <v/>
      </c>
      <c r="AN447" s="6">
        <f>B447*0.035</f>
        <v/>
      </c>
      <c r="AO447" s="6">
        <f>B447*0.165</f>
        <v/>
      </c>
      <c r="AP447" s="6">
        <f>MAX(0,AL447-AM447-AO447)</f>
        <v/>
      </c>
      <c r="AQ447" s="6">
        <f>IF(AP447&lt;=490,0,IF(AP447&lt;=600,(AP447-490)*0.05,IF(AP447&lt;=730,5.5+(AP447-600)*0.10,IF(AP447&lt;=3896.67,18.5+(AP447-730)*0.175,IF(AP447&lt;=19896.67,572.67+(AP447-3896.67)*0.25,IF(AP447&lt;=50416.67,4572.67+(AP447-19896.67)*0.30,13728.67+(AP447-50416.67)*0.35))))))</f>
        <v/>
      </c>
      <c r="AR447" s="6">
        <f>SUM(AM447,AQ447,W447,X447,Y447,Z447,AA447,AN447,AO447)</f>
        <v/>
      </c>
      <c r="AS447" s="6">
        <f>AL447-AR447</f>
        <v/>
      </c>
      <c r="AT447" s="6">
        <f>AB447-AC447</f>
        <v/>
      </c>
    </row>
    <row r="448">
      <c r="A448" s="2" t="n"/>
      <c r="B448" s="3" t="n"/>
      <c r="C448" s="4" t="n"/>
      <c r="D448" s="5" t="n"/>
      <c r="E448" s="3" t="n"/>
      <c r="F448" s="4" t="n"/>
      <c r="G448" s="5" t="n"/>
      <c r="H448" s="3" t="n"/>
      <c r="I448" s="4" t="n"/>
      <c r="J448" s="5" t="n"/>
      <c r="K448" s="3" t="n"/>
      <c r="L448" s="4" t="n"/>
      <c r="M448" s="5" t="n"/>
      <c r="N448" s="3" t="n"/>
      <c r="O448" s="4" t="n"/>
      <c r="P448" s="5" t="n"/>
      <c r="Q448" s="3" t="n"/>
      <c r="R448" s="4" t="n"/>
      <c r="S448" s="5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6">
        <f>IF(C448=0,0,IF(E448="",B448*D448/100,E448))</f>
        <v/>
      </c>
      <c r="AE448" s="6">
        <f>IF(F448=0,0,IF(H448="",B448*G448/100,H448))</f>
        <v/>
      </c>
      <c r="AF448" s="6">
        <f>IF(I448=0,0,IF(K448="",B448*J448/100,K448))</f>
        <v/>
      </c>
      <c r="AG448" s="6">
        <f>IF(L448=0,0,IF(N448="",B448*M448/100,N448))</f>
        <v/>
      </c>
      <c r="AH448" s="6">
        <f>IF(O448=0,0,IF(Q448="",B448*P448/100,Q448))</f>
        <v/>
      </c>
      <c r="AI448" s="6">
        <f>IF(R448=0,0,IF(T448="",B448*S448/100,T448))</f>
        <v/>
      </c>
      <c r="AJ448" s="6">
        <f>B448*0.035</f>
        <v/>
      </c>
      <c r="AK448" s="6">
        <f>B448*0.065</f>
        <v/>
      </c>
      <c r="AL448" s="6">
        <f>SUM(B448,AD448,AE448,AF448,AG448,AH448,AI448,U448,V448,AJ448,AK448)</f>
        <v/>
      </c>
      <c r="AM448" s="6">
        <f>B448*0.055</f>
        <v/>
      </c>
      <c r="AN448" s="6">
        <f>B448*0.035</f>
        <v/>
      </c>
      <c r="AO448" s="6">
        <f>B448*0.165</f>
        <v/>
      </c>
      <c r="AP448" s="6">
        <f>MAX(0,AL448-AM448-AO448)</f>
        <v/>
      </c>
      <c r="AQ448" s="6">
        <f>IF(AP448&lt;=490,0,IF(AP448&lt;=600,(AP448-490)*0.05,IF(AP448&lt;=730,5.5+(AP448-600)*0.10,IF(AP448&lt;=3896.67,18.5+(AP448-730)*0.175,IF(AP448&lt;=19896.67,572.67+(AP448-3896.67)*0.25,IF(AP448&lt;=50416.67,4572.67+(AP448-19896.67)*0.30,13728.67+(AP448-50416.67)*0.35))))))</f>
        <v/>
      </c>
      <c r="AR448" s="6">
        <f>SUM(AM448,AQ448,W448,X448,Y448,Z448,AA448,AN448,AO448)</f>
        <v/>
      </c>
      <c r="AS448" s="6">
        <f>AL448-AR448</f>
        <v/>
      </c>
      <c r="AT448" s="6">
        <f>AB448-AC448</f>
        <v/>
      </c>
    </row>
    <row r="449">
      <c r="A449" s="2" t="n"/>
      <c r="B449" s="3" t="n"/>
      <c r="C449" s="4" t="n"/>
      <c r="D449" s="5" t="n"/>
      <c r="E449" s="3" t="n"/>
      <c r="F449" s="4" t="n"/>
      <c r="G449" s="5" t="n"/>
      <c r="H449" s="3" t="n"/>
      <c r="I449" s="4" t="n"/>
      <c r="J449" s="5" t="n"/>
      <c r="K449" s="3" t="n"/>
      <c r="L449" s="4" t="n"/>
      <c r="M449" s="5" t="n"/>
      <c r="N449" s="3" t="n"/>
      <c r="O449" s="4" t="n"/>
      <c r="P449" s="5" t="n"/>
      <c r="Q449" s="3" t="n"/>
      <c r="R449" s="4" t="n"/>
      <c r="S449" s="5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6">
        <f>IF(C449=0,0,IF(E449="",B449*D449/100,E449))</f>
        <v/>
      </c>
      <c r="AE449" s="6">
        <f>IF(F449=0,0,IF(H449="",B449*G449/100,H449))</f>
        <v/>
      </c>
      <c r="AF449" s="6">
        <f>IF(I449=0,0,IF(K449="",B449*J449/100,K449))</f>
        <v/>
      </c>
      <c r="AG449" s="6">
        <f>IF(L449=0,0,IF(N449="",B449*M449/100,N449))</f>
        <v/>
      </c>
      <c r="AH449" s="6">
        <f>IF(O449=0,0,IF(Q449="",B449*P449/100,Q449))</f>
        <v/>
      </c>
      <c r="AI449" s="6">
        <f>IF(R449=0,0,IF(T449="",B449*S449/100,T449))</f>
        <v/>
      </c>
      <c r="AJ449" s="6">
        <f>B449*0.035</f>
        <v/>
      </c>
      <c r="AK449" s="6">
        <f>B449*0.065</f>
        <v/>
      </c>
      <c r="AL449" s="6">
        <f>SUM(B449,AD449,AE449,AF449,AG449,AH449,AI449,U449,V449,AJ449,AK449)</f>
        <v/>
      </c>
      <c r="AM449" s="6">
        <f>B449*0.055</f>
        <v/>
      </c>
      <c r="AN449" s="6">
        <f>B449*0.035</f>
        <v/>
      </c>
      <c r="AO449" s="6">
        <f>B449*0.165</f>
        <v/>
      </c>
      <c r="AP449" s="6">
        <f>MAX(0,AL449-AM449-AO449)</f>
        <v/>
      </c>
      <c r="AQ449" s="6">
        <f>IF(AP449&lt;=490,0,IF(AP449&lt;=600,(AP449-490)*0.05,IF(AP449&lt;=730,5.5+(AP449-600)*0.10,IF(AP449&lt;=3896.67,18.5+(AP449-730)*0.175,IF(AP449&lt;=19896.67,572.67+(AP449-3896.67)*0.25,IF(AP449&lt;=50416.67,4572.67+(AP449-19896.67)*0.30,13728.67+(AP449-50416.67)*0.35))))))</f>
        <v/>
      </c>
      <c r="AR449" s="6">
        <f>SUM(AM449,AQ449,W449,X449,Y449,Z449,AA449,AN449,AO449)</f>
        <v/>
      </c>
      <c r="AS449" s="6">
        <f>AL449-AR449</f>
        <v/>
      </c>
      <c r="AT449" s="6">
        <f>AB449-AC449</f>
        <v/>
      </c>
    </row>
    <row r="450">
      <c r="A450" s="2" t="n"/>
      <c r="B450" s="3" t="n"/>
      <c r="C450" s="4" t="n"/>
      <c r="D450" s="5" t="n"/>
      <c r="E450" s="3" t="n"/>
      <c r="F450" s="4" t="n"/>
      <c r="G450" s="5" t="n"/>
      <c r="H450" s="3" t="n"/>
      <c r="I450" s="4" t="n"/>
      <c r="J450" s="5" t="n"/>
      <c r="K450" s="3" t="n"/>
      <c r="L450" s="4" t="n"/>
      <c r="M450" s="5" t="n"/>
      <c r="N450" s="3" t="n"/>
      <c r="O450" s="4" t="n"/>
      <c r="P450" s="5" t="n"/>
      <c r="Q450" s="3" t="n"/>
      <c r="R450" s="4" t="n"/>
      <c r="S450" s="5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6">
        <f>IF(C450=0,0,IF(E450="",B450*D450/100,E450))</f>
        <v/>
      </c>
      <c r="AE450" s="6">
        <f>IF(F450=0,0,IF(H450="",B450*G450/100,H450))</f>
        <v/>
      </c>
      <c r="AF450" s="6">
        <f>IF(I450=0,0,IF(K450="",B450*J450/100,K450))</f>
        <v/>
      </c>
      <c r="AG450" s="6">
        <f>IF(L450=0,0,IF(N450="",B450*M450/100,N450))</f>
        <v/>
      </c>
      <c r="AH450" s="6">
        <f>IF(O450=0,0,IF(Q450="",B450*P450/100,Q450))</f>
        <v/>
      </c>
      <c r="AI450" s="6">
        <f>IF(R450=0,0,IF(T450="",B450*S450/100,T450))</f>
        <v/>
      </c>
      <c r="AJ450" s="6">
        <f>B450*0.035</f>
        <v/>
      </c>
      <c r="AK450" s="6">
        <f>B450*0.065</f>
        <v/>
      </c>
      <c r="AL450" s="6">
        <f>SUM(B450,AD450,AE450,AF450,AG450,AH450,AI450,U450,V450,AJ450,AK450)</f>
        <v/>
      </c>
      <c r="AM450" s="6">
        <f>B450*0.055</f>
        <v/>
      </c>
      <c r="AN450" s="6">
        <f>B450*0.035</f>
        <v/>
      </c>
      <c r="AO450" s="6">
        <f>B450*0.165</f>
        <v/>
      </c>
      <c r="AP450" s="6">
        <f>MAX(0,AL450-AM450-AO450)</f>
        <v/>
      </c>
      <c r="AQ450" s="6">
        <f>IF(AP450&lt;=490,0,IF(AP450&lt;=600,(AP450-490)*0.05,IF(AP450&lt;=730,5.5+(AP450-600)*0.10,IF(AP450&lt;=3896.67,18.5+(AP450-730)*0.175,IF(AP450&lt;=19896.67,572.67+(AP450-3896.67)*0.25,IF(AP450&lt;=50416.67,4572.67+(AP450-19896.67)*0.30,13728.67+(AP450-50416.67)*0.35))))))</f>
        <v/>
      </c>
      <c r="AR450" s="6">
        <f>SUM(AM450,AQ450,W450,X450,Y450,Z450,AA450,AN450,AO450)</f>
        <v/>
      </c>
      <c r="AS450" s="6">
        <f>AL450-AR450</f>
        <v/>
      </c>
      <c r="AT450" s="6">
        <f>AB450-AC450</f>
        <v/>
      </c>
    </row>
    <row r="451">
      <c r="A451" s="2" t="n"/>
      <c r="B451" s="3" t="n"/>
      <c r="C451" s="4" t="n"/>
      <c r="D451" s="5" t="n"/>
      <c r="E451" s="3" t="n"/>
      <c r="F451" s="4" t="n"/>
      <c r="G451" s="5" t="n"/>
      <c r="H451" s="3" t="n"/>
      <c r="I451" s="4" t="n"/>
      <c r="J451" s="5" t="n"/>
      <c r="K451" s="3" t="n"/>
      <c r="L451" s="4" t="n"/>
      <c r="M451" s="5" t="n"/>
      <c r="N451" s="3" t="n"/>
      <c r="O451" s="4" t="n"/>
      <c r="P451" s="5" t="n"/>
      <c r="Q451" s="3" t="n"/>
      <c r="R451" s="4" t="n"/>
      <c r="S451" s="5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6">
        <f>IF(C451=0,0,IF(E451="",B451*D451/100,E451))</f>
        <v/>
      </c>
      <c r="AE451" s="6">
        <f>IF(F451=0,0,IF(H451="",B451*G451/100,H451))</f>
        <v/>
      </c>
      <c r="AF451" s="6">
        <f>IF(I451=0,0,IF(K451="",B451*J451/100,K451))</f>
        <v/>
      </c>
      <c r="AG451" s="6">
        <f>IF(L451=0,0,IF(N451="",B451*M451/100,N451))</f>
        <v/>
      </c>
      <c r="AH451" s="6">
        <f>IF(O451=0,0,IF(Q451="",B451*P451/100,Q451))</f>
        <v/>
      </c>
      <c r="AI451" s="6">
        <f>IF(R451=0,0,IF(T451="",B451*S451/100,T451))</f>
        <v/>
      </c>
      <c r="AJ451" s="6">
        <f>B451*0.035</f>
        <v/>
      </c>
      <c r="AK451" s="6">
        <f>B451*0.065</f>
        <v/>
      </c>
      <c r="AL451" s="6">
        <f>SUM(B451,AD451,AE451,AF451,AG451,AH451,AI451,U451,V451,AJ451,AK451)</f>
        <v/>
      </c>
      <c r="AM451" s="6">
        <f>B451*0.055</f>
        <v/>
      </c>
      <c r="AN451" s="6">
        <f>B451*0.035</f>
        <v/>
      </c>
      <c r="AO451" s="6">
        <f>B451*0.165</f>
        <v/>
      </c>
      <c r="AP451" s="6">
        <f>MAX(0,AL451-AM451-AO451)</f>
        <v/>
      </c>
      <c r="AQ451" s="6">
        <f>IF(AP451&lt;=490,0,IF(AP451&lt;=600,(AP451-490)*0.05,IF(AP451&lt;=730,5.5+(AP451-600)*0.10,IF(AP451&lt;=3896.67,18.5+(AP451-730)*0.175,IF(AP451&lt;=19896.67,572.67+(AP451-3896.67)*0.25,IF(AP451&lt;=50416.67,4572.67+(AP451-19896.67)*0.30,13728.67+(AP451-50416.67)*0.35))))))</f>
        <v/>
      </c>
      <c r="AR451" s="6">
        <f>SUM(AM451,AQ451,W451,X451,Y451,Z451,AA451,AN451,AO451)</f>
        <v/>
      </c>
      <c r="AS451" s="6">
        <f>AL451-AR451</f>
        <v/>
      </c>
      <c r="AT451" s="6">
        <f>AB451-AC451</f>
        <v/>
      </c>
    </row>
    <row r="452">
      <c r="A452" s="2" t="n"/>
      <c r="B452" s="3" t="n"/>
      <c r="C452" s="4" t="n"/>
      <c r="D452" s="5" t="n"/>
      <c r="E452" s="3" t="n"/>
      <c r="F452" s="4" t="n"/>
      <c r="G452" s="5" t="n"/>
      <c r="H452" s="3" t="n"/>
      <c r="I452" s="4" t="n"/>
      <c r="J452" s="5" t="n"/>
      <c r="K452" s="3" t="n"/>
      <c r="L452" s="4" t="n"/>
      <c r="M452" s="5" t="n"/>
      <c r="N452" s="3" t="n"/>
      <c r="O452" s="4" t="n"/>
      <c r="P452" s="5" t="n"/>
      <c r="Q452" s="3" t="n"/>
      <c r="R452" s="4" t="n"/>
      <c r="S452" s="5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6">
        <f>IF(C452=0,0,IF(E452="",B452*D452/100,E452))</f>
        <v/>
      </c>
      <c r="AE452" s="6">
        <f>IF(F452=0,0,IF(H452="",B452*G452/100,H452))</f>
        <v/>
      </c>
      <c r="AF452" s="6">
        <f>IF(I452=0,0,IF(K452="",B452*J452/100,K452))</f>
        <v/>
      </c>
      <c r="AG452" s="6">
        <f>IF(L452=0,0,IF(N452="",B452*M452/100,N452))</f>
        <v/>
      </c>
      <c r="AH452" s="6">
        <f>IF(O452=0,0,IF(Q452="",B452*P452/100,Q452))</f>
        <v/>
      </c>
      <c r="AI452" s="6">
        <f>IF(R452=0,0,IF(T452="",B452*S452/100,T452))</f>
        <v/>
      </c>
      <c r="AJ452" s="6">
        <f>B452*0.035</f>
        <v/>
      </c>
      <c r="AK452" s="6">
        <f>B452*0.065</f>
        <v/>
      </c>
      <c r="AL452" s="6">
        <f>SUM(B452,AD452,AE452,AF452,AG452,AH452,AI452,U452,V452,AJ452,AK452)</f>
        <v/>
      </c>
      <c r="AM452" s="6">
        <f>B452*0.055</f>
        <v/>
      </c>
      <c r="AN452" s="6">
        <f>B452*0.035</f>
        <v/>
      </c>
      <c r="AO452" s="6">
        <f>B452*0.165</f>
        <v/>
      </c>
      <c r="AP452" s="6">
        <f>MAX(0,AL452-AM452-AO452)</f>
        <v/>
      </c>
      <c r="AQ452" s="6">
        <f>IF(AP452&lt;=490,0,IF(AP452&lt;=600,(AP452-490)*0.05,IF(AP452&lt;=730,5.5+(AP452-600)*0.10,IF(AP452&lt;=3896.67,18.5+(AP452-730)*0.175,IF(AP452&lt;=19896.67,572.67+(AP452-3896.67)*0.25,IF(AP452&lt;=50416.67,4572.67+(AP452-19896.67)*0.30,13728.67+(AP452-50416.67)*0.35))))))</f>
        <v/>
      </c>
      <c r="AR452" s="6">
        <f>SUM(AM452,AQ452,W452,X452,Y452,Z452,AA452,AN452,AO452)</f>
        <v/>
      </c>
      <c r="AS452" s="6">
        <f>AL452-AR452</f>
        <v/>
      </c>
      <c r="AT452" s="6">
        <f>AB452-AC452</f>
        <v/>
      </c>
    </row>
    <row r="453">
      <c r="A453" s="2" t="n"/>
      <c r="B453" s="3" t="n"/>
      <c r="C453" s="4" t="n"/>
      <c r="D453" s="5" t="n"/>
      <c r="E453" s="3" t="n"/>
      <c r="F453" s="4" t="n"/>
      <c r="G453" s="5" t="n"/>
      <c r="H453" s="3" t="n"/>
      <c r="I453" s="4" t="n"/>
      <c r="J453" s="5" t="n"/>
      <c r="K453" s="3" t="n"/>
      <c r="L453" s="4" t="n"/>
      <c r="M453" s="5" t="n"/>
      <c r="N453" s="3" t="n"/>
      <c r="O453" s="4" t="n"/>
      <c r="P453" s="5" t="n"/>
      <c r="Q453" s="3" t="n"/>
      <c r="R453" s="4" t="n"/>
      <c r="S453" s="5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6">
        <f>IF(C453=0,0,IF(E453="",B453*D453/100,E453))</f>
        <v/>
      </c>
      <c r="AE453" s="6">
        <f>IF(F453=0,0,IF(H453="",B453*G453/100,H453))</f>
        <v/>
      </c>
      <c r="AF453" s="6">
        <f>IF(I453=0,0,IF(K453="",B453*J453/100,K453))</f>
        <v/>
      </c>
      <c r="AG453" s="6">
        <f>IF(L453=0,0,IF(N453="",B453*M453/100,N453))</f>
        <v/>
      </c>
      <c r="AH453" s="6">
        <f>IF(O453=0,0,IF(Q453="",B453*P453/100,Q453))</f>
        <v/>
      </c>
      <c r="AI453" s="6">
        <f>IF(R453=0,0,IF(T453="",B453*S453/100,T453))</f>
        <v/>
      </c>
      <c r="AJ453" s="6">
        <f>B453*0.035</f>
        <v/>
      </c>
      <c r="AK453" s="6">
        <f>B453*0.065</f>
        <v/>
      </c>
      <c r="AL453" s="6">
        <f>SUM(B453,AD453,AE453,AF453,AG453,AH453,AI453,U453,V453,AJ453,AK453)</f>
        <v/>
      </c>
      <c r="AM453" s="6">
        <f>B453*0.055</f>
        <v/>
      </c>
      <c r="AN453" s="6">
        <f>B453*0.035</f>
        <v/>
      </c>
      <c r="AO453" s="6">
        <f>B453*0.165</f>
        <v/>
      </c>
      <c r="AP453" s="6">
        <f>MAX(0,AL453-AM453-AO453)</f>
        <v/>
      </c>
      <c r="AQ453" s="6">
        <f>IF(AP453&lt;=490,0,IF(AP453&lt;=600,(AP453-490)*0.05,IF(AP453&lt;=730,5.5+(AP453-600)*0.10,IF(AP453&lt;=3896.67,18.5+(AP453-730)*0.175,IF(AP453&lt;=19896.67,572.67+(AP453-3896.67)*0.25,IF(AP453&lt;=50416.67,4572.67+(AP453-19896.67)*0.30,13728.67+(AP453-50416.67)*0.35))))))</f>
        <v/>
      </c>
      <c r="AR453" s="6">
        <f>SUM(AM453,AQ453,W453,X453,Y453,Z453,AA453,AN453,AO453)</f>
        <v/>
      </c>
      <c r="AS453" s="6">
        <f>AL453-AR453</f>
        <v/>
      </c>
      <c r="AT453" s="6">
        <f>AB453-AC453</f>
        <v/>
      </c>
    </row>
    <row r="454">
      <c r="A454" s="2" t="n"/>
      <c r="B454" s="3" t="n"/>
      <c r="C454" s="4" t="n"/>
      <c r="D454" s="5" t="n"/>
      <c r="E454" s="3" t="n"/>
      <c r="F454" s="4" t="n"/>
      <c r="G454" s="5" t="n"/>
      <c r="H454" s="3" t="n"/>
      <c r="I454" s="4" t="n"/>
      <c r="J454" s="5" t="n"/>
      <c r="K454" s="3" t="n"/>
      <c r="L454" s="4" t="n"/>
      <c r="M454" s="5" t="n"/>
      <c r="N454" s="3" t="n"/>
      <c r="O454" s="4" t="n"/>
      <c r="P454" s="5" t="n"/>
      <c r="Q454" s="3" t="n"/>
      <c r="R454" s="4" t="n"/>
      <c r="S454" s="5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6">
        <f>IF(C454=0,0,IF(E454="",B454*D454/100,E454))</f>
        <v/>
      </c>
      <c r="AE454" s="6">
        <f>IF(F454=0,0,IF(H454="",B454*G454/100,H454))</f>
        <v/>
      </c>
      <c r="AF454" s="6">
        <f>IF(I454=0,0,IF(K454="",B454*J454/100,K454))</f>
        <v/>
      </c>
      <c r="AG454" s="6">
        <f>IF(L454=0,0,IF(N454="",B454*M454/100,N454))</f>
        <v/>
      </c>
      <c r="AH454" s="6">
        <f>IF(O454=0,0,IF(Q454="",B454*P454/100,Q454))</f>
        <v/>
      </c>
      <c r="AI454" s="6">
        <f>IF(R454=0,0,IF(T454="",B454*S454/100,T454))</f>
        <v/>
      </c>
      <c r="AJ454" s="6">
        <f>B454*0.035</f>
        <v/>
      </c>
      <c r="AK454" s="6">
        <f>B454*0.065</f>
        <v/>
      </c>
      <c r="AL454" s="6">
        <f>SUM(B454,AD454,AE454,AF454,AG454,AH454,AI454,U454,V454,AJ454,AK454)</f>
        <v/>
      </c>
      <c r="AM454" s="6">
        <f>B454*0.055</f>
        <v/>
      </c>
      <c r="AN454" s="6">
        <f>B454*0.035</f>
        <v/>
      </c>
      <c r="AO454" s="6">
        <f>B454*0.165</f>
        <v/>
      </c>
      <c r="AP454" s="6">
        <f>MAX(0,AL454-AM454-AO454)</f>
        <v/>
      </c>
      <c r="AQ454" s="6">
        <f>IF(AP454&lt;=490,0,IF(AP454&lt;=600,(AP454-490)*0.05,IF(AP454&lt;=730,5.5+(AP454-600)*0.10,IF(AP454&lt;=3896.67,18.5+(AP454-730)*0.175,IF(AP454&lt;=19896.67,572.67+(AP454-3896.67)*0.25,IF(AP454&lt;=50416.67,4572.67+(AP454-19896.67)*0.30,13728.67+(AP454-50416.67)*0.35))))))</f>
        <v/>
      </c>
      <c r="AR454" s="6">
        <f>SUM(AM454,AQ454,W454,X454,Y454,Z454,AA454,AN454,AO454)</f>
        <v/>
      </c>
      <c r="AS454" s="6">
        <f>AL454-AR454</f>
        <v/>
      </c>
      <c r="AT454" s="6">
        <f>AB454-AC454</f>
        <v/>
      </c>
    </row>
    <row r="455">
      <c r="A455" s="2" t="n"/>
      <c r="B455" s="3" t="n"/>
      <c r="C455" s="4" t="n"/>
      <c r="D455" s="5" t="n"/>
      <c r="E455" s="3" t="n"/>
      <c r="F455" s="4" t="n"/>
      <c r="G455" s="5" t="n"/>
      <c r="H455" s="3" t="n"/>
      <c r="I455" s="4" t="n"/>
      <c r="J455" s="5" t="n"/>
      <c r="K455" s="3" t="n"/>
      <c r="L455" s="4" t="n"/>
      <c r="M455" s="5" t="n"/>
      <c r="N455" s="3" t="n"/>
      <c r="O455" s="4" t="n"/>
      <c r="P455" s="5" t="n"/>
      <c r="Q455" s="3" t="n"/>
      <c r="R455" s="4" t="n"/>
      <c r="S455" s="5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6">
        <f>IF(C455=0,0,IF(E455="",B455*D455/100,E455))</f>
        <v/>
      </c>
      <c r="AE455" s="6">
        <f>IF(F455=0,0,IF(H455="",B455*G455/100,H455))</f>
        <v/>
      </c>
      <c r="AF455" s="6">
        <f>IF(I455=0,0,IF(K455="",B455*J455/100,K455))</f>
        <v/>
      </c>
      <c r="AG455" s="6">
        <f>IF(L455=0,0,IF(N455="",B455*M455/100,N455))</f>
        <v/>
      </c>
      <c r="AH455" s="6">
        <f>IF(O455=0,0,IF(Q455="",B455*P455/100,Q455))</f>
        <v/>
      </c>
      <c r="AI455" s="6">
        <f>IF(R455=0,0,IF(T455="",B455*S455/100,T455))</f>
        <v/>
      </c>
      <c r="AJ455" s="6">
        <f>B455*0.035</f>
        <v/>
      </c>
      <c r="AK455" s="6">
        <f>B455*0.065</f>
        <v/>
      </c>
      <c r="AL455" s="6">
        <f>SUM(B455,AD455,AE455,AF455,AG455,AH455,AI455,U455,V455,AJ455,AK455)</f>
        <v/>
      </c>
      <c r="AM455" s="6">
        <f>B455*0.055</f>
        <v/>
      </c>
      <c r="AN455" s="6">
        <f>B455*0.035</f>
        <v/>
      </c>
      <c r="AO455" s="6">
        <f>B455*0.165</f>
        <v/>
      </c>
      <c r="AP455" s="6">
        <f>MAX(0,AL455-AM455-AO455)</f>
        <v/>
      </c>
      <c r="AQ455" s="6">
        <f>IF(AP455&lt;=490,0,IF(AP455&lt;=600,(AP455-490)*0.05,IF(AP455&lt;=730,5.5+(AP455-600)*0.10,IF(AP455&lt;=3896.67,18.5+(AP455-730)*0.175,IF(AP455&lt;=19896.67,572.67+(AP455-3896.67)*0.25,IF(AP455&lt;=50416.67,4572.67+(AP455-19896.67)*0.30,13728.67+(AP455-50416.67)*0.35))))))</f>
        <v/>
      </c>
      <c r="AR455" s="6">
        <f>SUM(AM455,AQ455,W455,X455,Y455,Z455,AA455,AN455,AO455)</f>
        <v/>
      </c>
      <c r="AS455" s="6">
        <f>AL455-AR455</f>
        <v/>
      </c>
      <c r="AT455" s="6">
        <f>AB455-AC455</f>
        <v/>
      </c>
    </row>
    <row r="456">
      <c r="A456" s="2" t="n"/>
      <c r="B456" s="3" t="n"/>
      <c r="C456" s="4" t="n"/>
      <c r="D456" s="5" t="n"/>
      <c r="E456" s="3" t="n"/>
      <c r="F456" s="4" t="n"/>
      <c r="G456" s="5" t="n"/>
      <c r="H456" s="3" t="n"/>
      <c r="I456" s="4" t="n"/>
      <c r="J456" s="5" t="n"/>
      <c r="K456" s="3" t="n"/>
      <c r="L456" s="4" t="n"/>
      <c r="M456" s="5" t="n"/>
      <c r="N456" s="3" t="n"/>
      <c r="O456" s="4" t="n"/>
      <c r="P456" s="5" t="n"/>
      <c r="Q456" s="3" t="n"/>
      <c r="R456" s="4" t="n"/>
      <c r="S456" s="5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6">
        <f>IF(C456=0,0,IF(E456="",B456*D456/100,E456))</f>
        <v/>
      </c>
      <c r="AE456" s="6">
        <f>IF(F456=0,0,IF(H456="",B456*G456/100,H456))</f>
        <v/>
      </c>
      <c r="AF456" s="6">
        <f>IF(I456=0,0,IF(K456="",B456*J456/100,K456))</f>
        <v/>
      </c>
      <c r="AG456" s="6">
        <f>IF(L456=0,0,IF(N456="",B456*M456/100,N456))</f>
        <v/>
      </c>
      <c r="AH456" s="6">
        <f>IF(O456=0,0,IF(Q456="",B456*P456/100,Q456))</f>
        <v/>
      </c>
      <c r="AI456" s="6">
        <f>IF(R456=0,0,IF(T456="",B456*S456/100,T456))</f>
        <v/>
      </c>
      <c r="AJ456" s="6">
        <f>B456*0.035</f>
        <v/>
      </c>
      <c r="AK456" s="6">
        <f>B456*0.065</f>
        <v/>
      </c>
      <c r="AL456" s="6">
        <f>SUM(B456,AD456,AE456,AF456,AG456,AH456,AI456,U456,V456,AJ456,AK456)</f>
        <v/>
      </c>
      <c r="AM456" s="6">
        <f>B456*0.055</f>
        <v/>
      </c>
      <c r="AN456" s="6">
        <f>B456*0.035</f>
        <v/>
      </c>
      <c r="AO456" s="6">
        <f>B456*0.165</f>
        <v/>
      </c>
      <c r="AP456" s="6">
        <f>MAX(0,AL456-AM456-AO456)</f>
        <v/>
      </c>
      <c r="AQ456" s="6">
        <f>IF(AP456&lt;=490,0,IF(AP456&lt;=600,(AP456-490)*0.05,IF(AP456&lt;=730,5.5+(AP456-600)*0.10,IF(AP456&lt;=3896.67,18.5+(AP456-730)*0.175,IF(AP456&lt;=19896.67,572.67+(AP456-3896.67)*0.25,IF(AP456&lt;=50416.67,4572.67+(AP456-19896.67)*0.30,13728.67+(AP456-50416.67)*0.35))))))</f>
        <v/>
      </c>
      <c r="AR456" s="6">
        <f>SUM(AM456,AQ456,W456,X456,Y456,Z456,AA456,AN456,AO456)</f>
        <v/>
      </c>
      <c r="AS456" s="6">
        <f>AL456-AR456</f>
        <v/>
      </c>
      <c r="AT456" s="6">
        <f>AB456-AC456</f>
        <v/>
      </c>
    </row>
    <row r="457">
      <c r="A457" s="2" t="n"/>
      <c r="B457" s="3" t="n"/>
      <c r="C457" s="4" t="n"/>
      <c r="D457" s="5" t="n"/>
      <c r="E457" s="3" t="n"/>
      <c r="F457" s="4" t="n"/>
      <c r="G457" s="5" t="n"/>
      <c r="H457" s="3" t="n"/>
      <c r="I457" s="4" t="n"/>
      <c r="J457" s="5" t="n"/>
      <c r="K457" s="3" t="n"/>
      <c r="L457" s="4" t="n"/>
      <c r="M457" s="5" t="n"/>
      <c r="N457" s="3" t="n"/>
      <c r="O457" s="4" t="n"/>
      <c r="P457" s="5" t="n"/>
      <c r="Q457" s="3" t="n"/>
      <c r="R457" s="4" t="n"/>
      <c r="S457" s="5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6">
        <f>IF(C457=0,0,IF(E457="",B457*D457/100,E457))</f>
        <v/>
      </c>
      <c r="AE457" s="6">
        <f>IF(F457=0,0,IF(H457="",B457*G457/100,H457))</f>
        <v/>
      </c>
      <c r="AF457" s="6">
        <f>IF(I457=0,0,IF(K457="",B457*J457/100,K457))</f>
        <v/>
      </c>
      <c r="AG457" s="6">
        <f>IF(L457=0,0,IF(N457="",B457*M457/100,N457))</f>
        <v/>
      </c>
      <c r="AH457" s="6">
        <f>IF(O457=0,0,IF(Q457="",B457*P457/100,Q457))</f>
        <v/>
      </c>
      <c r="AI457" s="6">
        <f>IF(R457=0,0,IF(T457="",B457*S457/100,T457))</f>
        <v/>
      </c>
      <c r="AJ457" s="6">
        <f>B457*0.035</f>
        <v/>
      </c>
      <c r="AK457" s="6">
        <f>B457*0.065</f>
        <v/>
      </c>
      <c r="AL457" s="6">
        <f>SUM(B457,AD457,AE457,AF457,AG457,AH457,AI457,U457,V457,AJ457,AK457)</f>
        <v/>
      </c>
      <c r="AM457" s="6">
        <f>B457*0.055</f>
        <v/>
      </c>
      <c r="AN457" s="6">
        <f>B457*0.035</f>
        <v/>
      </c>
      <c r="AO457" s="6">
        <f>B457*0.165</f>
        <v/>
      </c>
      <c r="AP457" s="6">
        <f>MAX(0,AL457-AM457-AO457)</f>
        <v/>
      </c>
      <c r="AQ457" s="6">
        <f>IF(AP457&lt;=490,0,IF(AP457&lt;=600,(AP457-490)*0.05,IF(AP457&lt;=730,5.5+(AP457-600)*0.10,IF(AP457&lt;=3896.67,18.5+(AP457-730)*0.175,IF(AP457&lt;=19896.67,572.67+(AP457-3896.67)*0.25,IF(AP457&lt;=50416.67,4572.67+(AP457-19896.67)*0.30,13728.67+(AP457-50416.67)*0.35))))))</f>
        <v/>
      </c>
      <c r="AR457" s="6">
        <f>SUM(AM457,AQ457,W457,X457,Y457,Z457,AA457,AN457,AO457)</f>
        <v/>
      </c>
      <c r="AS457" s="6">
        <f>AL457-AR457</f>
        <v/>
      </c>
      <c r="AT457" s="6">
        <f>AB457-AC457</f>
        <v/>
      </c>
    </row>
    <row r="458">
      <c r="A458" s="2" t="n"/>
      <c r="B458" s="3" t="n"/>
      <c r="C458" s="4" t="n"/>
      <c r="D458" s="5" t="n"/>
      <c r="E458" s="3" t="n"/>
      <c r="F458" s="4" t="n"/>
      <c r="G458" s="5" t="n"/>
      <c r="H458" s="3" t="n"/>
      <c r="I458" s="4" t="n"/>
      <c r="J458" s="5" t="n"/>
      <c r="K458" s="3" t="n"/>
      <c r="L458" s="4" t="n"/>
      <c r="M458" s="5" t="n"/>
      <c r="N458" s="3" t="n"/>
      <c r="O458" s="4" t="n"/>
      <c r="P458" s="5" t="n"/>
      <c r="Q458" s="3" t="n"/>
      <c r="R458" s="4" t="n"/>
      <c r="S458" s="5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6">
        <f>IF(C458=0,0,IF(E458="",B458*D458/100,E458))</f>
        <v/>
      </c>
      <c r="AE458" s="6">
        <f>IF(F458=0,0,IF(H458="",B458*G458/100,H458))</f>
        <v/>
      </c>
      <c r="AF458" s="6">
        <f>IF(I458=0,0,IF(K458="",B458*J458/100,K458))</f>
        <v/>
      </c>
      <c r="AG458" s="6">
        <f>IF(L458=0,0,IF(N458="",B458*M458/100,N458))</f>
        <v/>
      </c>
      <c r="AH458" s="6">
        <f>IF(O458=0,0,IF(Q458="",B458*P458/100,Q458))</f>
        <v/>
      </c>
      <c r="AI458" s="6">
        <f>IF(R458=0,0,IF(T458="",B458*S458/100,T458))</f>
        <v/>
      </c>
      <c r="AJ458" s="6">
        <f>B458*0.035</f>
        <v/>
      </c>
      <c r="AK458" s="6">
        <f>B458*0.065</f>
        <v/>
      </c>
      <c r="AL458" s="6">
        <f>SUM(B458,AD458,AE458,AF458,AG458,AH458,AI458,U458,V458,AJ458,AK458)</f>
        <v/>
      </c>
      <c r="AM458" s="6">
        <f>B458*0.055</f>
        <v/>
      </c>
      <c r="AN458" s="6">
        <f>B458*0.035</f>
        <v/>
      </c>
      <c r="AO458" s="6">
        <f>B458*0.165</f>
        <v/>
      </c>
      <c r="AP458" s="6">
        <f>MAX(0,AL458-AM458-AO458)</f>
        <v/>
      </c>
      <c r="AQ458" s="6">
        <f>IF(AP458&lt;=490,0,IF(AP458&lt;=600,(AP458-490)*0.05,IF(AP458&lt;=730,5.5+(AP458-600)*0.10,IF(AP458&lt;=3896.67,18.5+(AP458-730)*0.175,IF(AP458&lt;=19896.67,572.67+(AP458-3896.67)*0.25,IF(AP458&lt;=50416.67,4572.67+(AP458-19896.67)*0.30,13728.67+(AP458-50416.67)*0.35))))))</f>
        <v/>
      </c>
      <c r="AR458" s="6">
        <f>SUM(AM458,AQ458,W458,X458,Y458,Z458,AA458,AN458,AO458)</f>
        <v/>
      </c>
      <c r="AS458" s="6">
        <f>AL458-AR458</f>
        <v/>
      </c>
      <c r="AT458" s="6">
        <f>AB458-AC458</f>
        <v/>
      </c>
    </row>
    <row r="459">
      <c r="A459" s="2" t="n"/>
      <c r="B459" s="3" t="n"/>
      <c r="C459" s="4" t="n"/>
      <c r="D459" s="5" t="n"/>
      <c r="E459" s="3" t="n"/>
      <c r="F459" s="4" t="n"/>
      <c r="G459" s="5" t="n"/>
      <c r="H459" s="3" t="n"/>
      <c r="I459" s="4" t="n"/>
      <c r="J459" s="5" t="n"/>
      <c r="K459" s="3" t="n"/>
      <c r="L459" s="4" t="n"/>
      <c r="M459" s="5" t="n"/>
      <c r="N459" s="3" t="n"/>
      <c r="O459" s="4" t="n"/>
      <c r="P459" s="5" t="n"/>
      <c r="Q459" s="3" t="n"/>
      <c r="R459" s="4" t="n"/>
      <c r="S459" s="5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6">
        <f>IF(C459=0,0,IF(E459="",B459*D459/100,E459))</f>
        <v/>
      </c>
      <c r="AE459" s="6">
        <f>IF(F459=0,0,IF(H459="",B459*G459/100,H459))</f>
        <v/>
      </c>
      <c r="AF459" s="6">
        <f>IF(I459=0,0,IF(K459="",B459*J459/100,K459))</f>
        <v/>
      </c>
      <c r="AG459" s="6">
        <f>IF(L459=0,0,IF(N459="",B459*M459/100,N459))</f>
        <v/>
      </c>
      <c r="AH459" s="6">
        <f>IF(O459=0,0,IF(Q459="",B459*P459/100,Q459))</f>
        <v/>
      </c>
      <c r="AI459" s="6">
        <f>IF(R459=0,0,IF(T459="",B459*S459/100,T459))</f>
        <v/>
      </c>
      <c r="AJ459" s="6">
        <f>B459*0.035</f>
        <v/>
      </c>
      <c r="AK459" s="6">
        <f>B459*0.065</f>
        <v/>
      </c>
      <c r="AL459" s="6">
        <f>SUM(B459,AD459,AE459,AF459,AG459,AH459,AI459,U459,V459,AJ459,AK459)</f>
        <v/>
      </c>
      <c r="AM459" s="6">
        <f>B459*0.055</f>
        <v/>
      </c>
      <c r="AN459" s="6">
        <f>B459*0.035</f>
        <v/>
      </c>
      <c r="AO459" s="6">
        <f>B459*0.165</f>
        <v/>
      </c>
      <c r="AP459" s="6">
        <f>MAX(0,AL459-AM459-AO459)</f>
        <v/>
      </c>
      <c r="AQ459" s="6">
        <f>IF(AP459&lt;=490,0,IF(AP459&lt;=600,(AP459-490)*0.05,IF(AP459&lt;=730,5.5+(AP459-600)*0.10,IF(AP459&lt;=3896.67,18.5+(AP459-730)*0.175,IF(AP459&lt;=19896.67,572.67+(AP459-3896.67)*0.25,IF(AP459&lt;=50416.67,4572.67+(AP459-19896.67)*0.30,13728.67+(AP459-50416.67)*0.35))))))</f>
        <v/>
      </c>
      <c r="AR459" s="6">
        <f>SUM(AM459,AQ459,W459,X459,Y459,Z459,AA459,AN459,AO459)</f>
        <v/>
      </c>
      <c r="AS459" s="6">
        <f>AL459-AR459</f>
        <v/>
      </c>
      <c r="AT459" s="6">
        <f>AB459-AC459</f>
        <v/>
      </c>
    </row>
    <row r="460">
      <c r="A460" s="2" t="n"/>
      <c r="B460" s="3" t="n"/>
      <c r="C460" s="4" t="n"/>
      <c r="D460" s="5" t="n"/>
      <c r="E460" s="3" t="n"/>
      <c r="F460" s="4" t="n"/>
      <c r="G460" s="5" t="n"/>
      <c r="H460" s="3" t="n"/>
      <c r="I460" s="4" t="n"/>
      <c r="J460" s="5" t="n"/>
      <c r="K460" s="3" t="n"/>
      <c r="L460" s="4" t="n"/>
      <c r="M460" s="5" t="n"/>
      <c r="N460" s="3" t="n"/>
      <c r="O460" s="4" t="n"/>
      <c r="P460" s="5" t="n"/>
      <c r="Q460" s="3" t="n"/>
      <c r="R460" s="4" t="n"/>
      <c r="S460" s="5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6">
        <f>IF(C460=0,0,IF(E460="",B460*D460/100,E460))</f>
        <v/>
      </c>
      <c r="AE460" s="6">
        <f>IF(F460=0,0,IF(H460="",B460*G460/100,H460))</f>
        <v/>
      </c>
      <c r="AF460" s="6">
        <f>IF(I460=0,0,IF(K460="",B460*J460/100,K460))</f>
        <v/>
      </c>
      <c r="AG460" s="6">
        <f>IF(L460=0,0,IF(N460="",B460*M460/100,N460))</f>
        <v/>
      </c>
      <c r="AH460" s="6">
        <f>IF(O460=0,0,IF(Q460="",B460*P460/100,Q460))</f>
        <v/>
      </c>
      <c r="AI460" s="6">
        <f>IF(R460=0,0,IF(T460="",B460*S460/100,T460))</f>
        <v/>
      </c>
      <c r="AJ460" s="6">
        <f>B460*0.035</f>
        <v/>
      </c>
      <c r="AK460" s="6">
        <f>B460*0.065</f>
        <v/>
      </c>
      <c r="AL460" s="6">
        <f>SUM(B460,AD460,AE460,AF460,AG460,AH460,AI460,U460,V460,AJ460,AK460)</f>
        <v/>
      </c>
      <c r="AM460" s="6">
        <f>B460*0.055</f>
        <v/>
      </c>
      <c r="AN460" s="6">
        <f>B460*0.035</f>
        <v/>
      </c>
      <c r="AO460" s="6">
        <f>B460*0.165</f>
        <v/>
      </c>
      <c r="AP460" s="6">
        <f>MAX(0,AL460-AM460-AO460)</f>
        <v/>
      </c>
      <c r="AQ460" s="6">
        <f>IF(AP460&lt;=490,0,IF(AP460&lt;=600,(AP460-490)*0.05,IF(AP460&lt;=730,5.5+(AP460-600)*0.10,IF(AP460&lt;=3896.67,18.5+(AP460-730)*0.175,IF(AP460&lt;=19896.67,572.67+(AP460-3896.67)*0.25,IF(AP460&lt;=50416.67,4572.67+(AP460-19896.67)*0.30,13728.67+(AP460-50416.67)*0.35))))))</f>
        <v/>
      </c>
      <c r="AR460" s="6">
        <f>SUM(AM460,AQ460,W460,X460,Y460,Z460,AA460,AN460,AO460)</f>
        <v/>
      </c>
      <c r="AS460" s="6">
        <f>AL460-AR460</f>
        <v/>
      </c>
      <c r="AT460" s="6">
        <f>AB460-AC460</f>
        <v/>
      </c>
    </row>
    <row r="461">
      <c r="A461" s="2" t="n"/>
      <c r="B461" s="3" t="n"/>
      <c r="C461" s="4" t="n"/>
      <c r="D461" s="5" t="n"/>
      <c r="E461" s="3" t="n"/>
      <c r="F461" s="4" t="n"/>
      <c r="G461" s="5" t="n"/>
      <c r="H461" s="3" t="n"/>
      <c r="I461" s="4" t="n"/>
      <c r="J461" s="5" t="n"/>
      <c r="K461" s="3" t="n"/>
      <c r="L461" s="4" t="n"/>
      <c r="M461" s="5" t="n"/>
      <c r="N461" s="3" t="n"/>
      <c r="O461" s="4" t="n"/>
      <c r="P461" s="5" t="n"/>
      <c r="Q461" s="3" t="n"/>
      <c r="R461" s="4" t="n"/>
      <c r="S461" s="5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6">
        <f>IF(C461=0,0,IF(E461="",B461*D461/100,E461))</f>
        <v/>
      </c>
      <c r="AE461" s="6">
        <f>IF(F461=0,0,IF(H461="",B461*G461/100,H461))</f>
        <v/>
      </c>
      <c r="AF461" s="6">
        <f>IF(I461=0,0,IF(K461="",B461*J461/100,K461))</f>
        <v/>
      </c>
      <c r="AG461" s="6">
        <f>IF(L461=0,0,IF(N461="",B461*M461/100,N461))</f>
        <v/>
      </c>
      <c r="AH461" s="6">
        <f>IF(O461=0,0,IF(Q461="",B461*P461/100,Q461))</f>
        <v/>
      </c>
      <c r="AI461" s="6">
        <f>IF(R461=0,0,IF(T461="",B461*S461/100,T461))</f>
        <v/>
      </c>
      <c r="AJ461" s="6">
        <f>B461*0.035</f>
        <v/>
      </c>
      <c r="AK461" s="6">
        <f>B461*0.065</f>
        <v/>
      </c>
      <c r="AL461" s="6">
        <f>SUM(B461,AD461,AE461,AF461,AG461,AH461,AI461,U461,V461,AJ461,AK461)</f>
        <v/>
      </c>
      <c r="AM461" s="6">
        <f>B461*0.055</f>
        <v/>
      </c>
      <c r="AN461" s="6">
        <f>B461*0.035</f>
        <v/>
      </c>
      <c r="AO461" s="6">
        <f>B461*0.165</f>
        <v/>
      </c>
      <c r="AP461" s="6">
        <f>MAX(0,AL461-AM461-AO461)</f>
        <v/>
      </c>
      <c r="AQ461" s="6">
        <f>IF(AP461&lt;=490,0,IF(AP461&lt;=600,(AP461-490)*0.05,IF(AP461&lt;=730,5.5+(AP461-600)*0.10,IF(AP461&lt;=3896.67,18.5+(AP461-730)*0.175,IF(AP461&lt;=19896.67,572.67+(AP461-3896.67)*0.25,IF(AP461&lt;=50416.67,4572.67+(AP461-19896.67)*0.30,13728.67+(AP461-50416.67)*0.35))))))</f>
        <v/>
      </c>
      <c r="AR461" s="6">
        <f>SUM(AM461,AQ461,W461,X461,Y461,Z461,AA461,AN461,AO461)</f>
        <v/>
      </c>
      <c r="AS461" s="6">
        <f>AL461-AR461</f>
        <v/>
      </c>
      <c r="AT461" s="6">
        <f>AB461-AC461</f>
        <v/>
      </c>
    </row>
    <row r="462">
      <c r="A462" s="2" t="n"/>
      <c r="B462" s="3" t="n"/>
      <c r="C462" s="4" t="n"/>
      <c r="D462" s="5" t="n"/>
      <c r="E462" s="3" t="n"/>
      <c r="F462" s="4" t="n"/>
      <c r="G462" s="5" t="n"/>
      <c r="H462" s="3" t="n"/>
      <c r="I462" s="4" t="n"/>
      <c r="J462" s="5" t="n"/>
      <c r="K462" s="3" t="n"/>
      <c r="L462" s="4" t="n"/>
      <c r="M462" s="5" t="n"/>
      <c r="N462" s="3" t="n"/>
      <c r="O462" s="4" t="n"/>
      <c r="P462" s="5" t="n"/>
      <c r="Q462" s="3" t="n"/>
      <c r="R462" s="4" t="n"/>
      <c r="S462" s="5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6">
        <f>IF(C462=0,0,IF(E462="",B462*D462/100,E462))</f>
        <v/>
      </c>
      <c r="AE462" s="6">
        <f>IF(F462=0,0,IF(H462="",B462*G462/100,H462))</f>
        <v/>
      </c>
      <c r="AF462" s="6">
        <f>IF(I462=0,0,IF(K462="",B462*J462/100,K462))</f>
        <v/>
      </c>
      <c r="AG462" s="6">
        <f>IF(L462=0,0,IF(N462="",B462*M462/100,N462))</f>
        <v/>
      </c>
      <c r="AH462" s="6">
        <f>IF(O462=0,0,IF(Q462="",B462*P462/100,Q462))</f>
        <v/>
      </c>
      <c r="AI462" s="6">
        <f>IF(R462=0,0,IF(T462="",B462*S462/100,T462))</f>
        <v/>
      </c>
      <c r="AJ462" s="6">
        <f>B462*0.035</f>
        <v/>
      </c>
      <c r="AK462" s="6">
        <f>B462*0.065</f>
        <v/>
      </c>
      <c r="AL462" s="6">
        <f>SUM(B462,AD462,AE462,AF462,AG462,AH462,AI462,U462,V462,AJ462,AK462)</f>
        <v/>
      </c>
      <c r="AM462" s="6">
        <f>B462*0.055</f>
        <v/>
      </c>
      <c r="AN462" s="6">
        <f>B462*0.035</f>
        <v/>
      </c>
      <c r="AO462" s="6">
        <f>B462*0.165</f>
        <v/>
      </c>
      <c r="AP462" s="6">
        <f>MAX(0,AL462-AM462-AO462)</f>
        <v/>
      </c>
      <c r="AQ462" s="6">
        <f>IF(AP462&lt;=490,0,IF(AP462&lt;=600,(AP462-490)*0.05,IF(AP462&lt;=730,5.5+(AP462-600)*0.10,IF(AP462&lt;=3896.67,18.5+(AP462-730)*0.175,IF(AP462&lt;=19896.67,572.67+(AP462-3896.67)*0.25,IF(AP462&lt;=50416.67,4572.67+(AP462-19896.67)*0.30,13728.67+(AP462-50416.67)*0.35))))))</f>
        <v/>
      </c>
      <c r="AR462" s="6">
        <f>SUM(AM462,AQ462,W462,X462,Y462,Z462,AA462,AN462,AO462)</f>
        <v/>
      </c>
      <c r="AS462" s="6">
        <f>AL462-AR462</f>
        <v/>
      </c>
      <c r="AT462" s="6">
        <f>AB462-AC462</f>
        <v/>
      </c>
    </row>
    <row r="463">
      <c r="A463" s="2" t="n"/>
      <c r="B463" s="3" t="n"/>
      <c r="C463" s="4" t="n"/>
      <c r="D463" s="5" t="n"/>
      <c r="E463" s="3" t="n"/>
      <c r="F463" s="4" t="n"/>
      <c r="G463" s="5" t="n"/>
      <c r="H463" s="3" t="n"/>
      <c r="I463" s="4" t="n"/>
      <c r="J463" s="5" t="n"/>
      <c r="K463" s="3" t="n"/>
      <c r="L463" s="4" t="n"/>
      <c r="M463" s="5" t="n"/>
      <c r="N463" s="3" t="n"/>
      <c r="O463" s="4" t="n"/>
      <c r="P463" s="5" t="n"/>
      <c r="Q463" s="3" t="n"/>
      <c r="R463" s="4" t="n"/>
      <c r="S463" s="5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6">
        <f>IF(C463=0,0,IF(E463="",B463*D463/100,E463))</f>
        <v/>
      </c>
      <c r="AE463" s="6">
        <f>IF(F463=0,0,IF(H463="",B463*G463/100,H463))</f>
        <v/>
      </c>
      <c r="AF463" s="6">
        <f>IF(I463=0,0,IF(K463="",B463*J463/100,K463))</f>
        <v/>
      </c>
      <c r="AG463" s="6">
        <f>IF(L463=0,0,IF(N463="",B463*M463/100,N463))</f>
        <v/>
      </c>
      <c r="AH463" s="6">
        <f>IF(O463=0,0,IF(Q463="",B463*P463/100,Q463))</f>
        <v/>
      </c>
      <c r="AI463" s="6">
        <f>IF(R463=0,0,IF(T463="",B463*S463/100,T463))</f>
        <v/>
      </c>
      <c r="AJ463" s="6">
        <f>B463*0.035</f>
        <v/>
      </c>
      <c r="AK463" s="6">
        <f>B463*0.065</f>
        <v/>
      </c>
      <c r="AL463" s="6">
        <f>SUM(B463,AD463,AE463,AF463,AG463,AH463,AI463,U463,V463,AJ463,AK463)</f>
        <v/>
      </c>
      <c r="AM463" s="6">
        <f>B463*0.055</f>
        <v/>
      </c>
      <c r="AN463" s="6">
        <f>B463*0.035</f>
        <v/>
      </c>
      <c r="AO463" s="6">
        <f>B463*0.165</f>
        <v/>
      </c>
      <c r="AP463" s="6">
        <f>MAX(0,AL463-AM463-AO463)</f>
        <v/>
      </c>
      <c r="AQ463" s="6">
        <f>IF(AP463&lt;=490,0,IF(AP463&lt;=600,(AP463-490)*0.05,IF(AP463&lt;=730,5.5+(AP463-600)*0.10,IF(AP463&lt;=3896.67,18.5+(AP463-730)*0.175,IF(AP463&lt;=19896.67,572.67+(AP463-3896.67)*0.25,IF(AP463&lt;=50416.67,4572.67+(AP463-19896.67)*0.30,13728.67+(AP463-50416.67)*0.35))))))</f>
        <v/>
      </c>
      <c r="AR463" s="6">
        <f>SUM(AM463,AQ463,W463,X463,Y463,Z463,AA463,AN463,AO463)</f>
        <v/>
      </c>
      <c r="AS463" s="6">
        <f>AL463-AR463</f>
        <v/>
      </c>
      <c r="AT463" s="6">
        <f>AB463-AC463</f>
        <v/>
      </c>
    </row>
    <row r="464">
      <c r="A464" s="2" t="n"/>
      <c r="B464" s="3" t="n"/>
      <c r="C464" s="4" t="n"/>
      <c r="D464" s="5" t="n"/>
      <c r="E464" s="3" t="n"/>
      <c r="F464" s="4" t="n"/>
      <c r="G464" s="5" t="n"/>
      <c r="H464" s="3" t="n"/>
      <c r="I464" s="4" t="n"/>
      <c r="J464" s="5" t="n"/>
      <c r="K464" s="3" t="n"/>
      <c r="L464" s="4" t="n"/>
      <c r="M464" s="5" t="n"/>
      <c r="N464" s="3" t="n"/>
      <c r="O464" s="4" t="n"/>
      <c r="P464" s="5" t="n"/>
      <c r="Q464" s="3" t="n"/>
      <c r="R464" s="4" t="n"/>
      <c r="S464" s="5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6">
        <f>IF(C464=0,0,IF(E464="",B464*D464/100,E464))</f>
        <v/>
      </c>
      <c r="AE464" s="6">
        <f>IF(F464=0,0,IF(H464="",B464*G464/100,H464))</f>
        <v/>
      </c>
      <c r="AF464" s="6">
        <f>IF(I464=0,0,IF(K464="",B464*J464/100,K464))</f>
        <v/>
      </c>
      <c r="AG464" s="6">
        <f>IF(L464=0,0,IF(N464="",B464*M464/100,N464))</f>
        <v/>
      </c>
      <c r="AH464" s="6">
        <f>IF(O464=0,0,IF(Q464="",B464*P464/100,Q464))</f>
        <v/>
      </c>
      <c r="AI464" s="6">
        <f>IF(R464=0,0,IF(T464="",B464*S464/100,T464))</f>
        <v/>
      </c>
      <c r="AJ464" s="6">
        <f>B464*0.035</f>
        <v/>
      </c>
      <c r="AK464" s="6">
        <f>B464*0.065</f>
        <v/>
      </c>
      <c r="AL464" s="6">
        <f>SUM(B464,AD464,AE464,AF464,AG464,AH464,AI464,U464,V464,AJ464,AK464)</f>
        <v/>
      </c>
      <c r="AM464" s="6">
        <f>B464*0.055</f>
        <v/>
      </c>
      <c r="AN464" s="6">
        <f>B464*0.035</f>
        <v/>
      </c>
      <c r="AO464" s="6">
        <f>B464*0.165</f>
        <v/>
      </c>
      <c r="AP464" s="6">
        <f>MAX(0,AL464-AM464-AO464)</f>
        <v/>
      </c>
      <c r="AQ464" s="6">
        <f>IF(AP464&lt;=490,0,IF(AP464&lt;=600,(AP464-490)*0.05,IF(AP464&lt;=730,5.5+(AP464-600)*0.10,IF(AP464&lt;=3896.67,18.5+(AP464-730)*0.175,IF(AP464&lt;=19896.67,572.67+(AP464-3896.67)*0.25,IF(AP464&lt;=50416.67,4572.67+(AP464-19896.67)*0.30,13728.67+(AP464-50416.67)*0.35))))))</f>
        <v/>
      </c>
      <c r="AR464" s="6">
        <f>SUM(AM464,AQ464,W464,X464,Y464,Z464,AA464,AN464,AO464)</f>
        <v/>
      </c>
      <c r="AS464" s="6">
        <f>AL464-AR464</f>
        <v/>
      </c>
      <c r="AT464" s="6">
        <f>AB464-AC464</f>
        <v/>
      </c>
    </row>
    <row r="465">
      <c r="A465" s="2" t="n"/>
      <c r="B465" s="3" t="n"/>
      <c r="C465" s="4" t="n"/>
      <c r="D465" s="5" t="n"/>
      <c r="E465" s="3" t="n"/>
      <c r="F465" s="4" t="n"/>
      <c r="G465" s="5" t="n"/>
      <c r="H465" s="3" t="n"/>
      <c r="I465" s="4" t="n"/>
      <c r="J465" s="5" t="n"/>
      <c r="K465" s="3" t="n"/>
      <c r="L465" s="4" t="n"/>
      <c r="M465" s="5" t="n"/>
      <c r="N465" s="3" t="n"/>
      <c r="O465" s="4" t="n"/>
      <c r="P465" s="5" t="n"/>
      <c r="Q465" s="3" t="n"/>
      <c r="R465" s="4" t="n"/>
      <c r="S465" s="5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6">
        <f>IF(C465=0,0,IF(E465="",B465*D465/100,E465))</f>
        <v/>
      </c>
      <c r="AE465" s="6">
        <f>IF(F465=0,0,IF(H465="",B465*G465/100,H465))</f>
        <v/>
      </c>
      <c r="AF465" s="6">
        <f>IF(I465=0,0,IF(K465="",B465*J465/100,K465))</f>
        <v/>
      </c>
      <c r="AG465" s="6">
        <f>IF(L465=0,0,IF(N465="",B465*M465/100,N465))</f>
        <v/>
      </c>
      <c r="AH465" s="6">
        <f>IF(O465=0,0,IF(Q465="",B465*P465/100,Q465))</f>
        <v/>
      </c>
      <c r="AI465" s="6">
        <f>IF(R465=0,0,IF(T465="",B465*S465/100,T465))</f>
        <v/>
      </c>
      <c r="AJ465" s="6">
        <f>B465*0.035</f>
        <v/>
      </c>
      <c r="AK465" s="6">
        <f>B465*0.065</f>
        <v/>
      </c>
      <c r="AL465" s="6">
        <f>SUM(B465,AD465,AE465,AF465,AG465,AH465,AI465,U465,V465,AJ465,AK465)</f>
        <v/>
      </c>
      <c r="AM465" s="6">
        <f>B465*0.055</f>
        <v/>
      </c>
      <c r="AN465" s="6">
        <f>B465*0.035</f>
        <v/>
      </c>
      <c r="AO465" s="6">
        <f>B465*0.165</f>
        <v/>
      </c>
      <c r="AP465" s="6">
        <f>MAX(0,AL465-AM465-AO465)</f>
        <v/>
      </c>
      <c r="AQ465" s="6">
        <f>IF(AP465&lt;=490,0,IF(AP465&lt;=600,(AP465-490)*0.05,IF(AP465&lt;=730,5.5+(AP465-600)*0.10,IF(AP465&lt;=3896.67,18.5+(AP465-730)*0.175,IF(AP465&lt;=19896.67,572.67+(AP465-3896.67)*0.25,IF(AP465&lt;=50416.67,4572.67+(AP465-19896.67)*0.30,13728.67+(AP465-50416.67)*0.35))))))</f>
        <v/>
      </c>
      <c r="AR465" s="6">
        <f>SUM(AM465,AQ465,W465,X465,Y465,Z465,AA465,AN465,AO465)</f>
        <v/>
      </c>
      <c r="AS465" s="6">
        <f>AL465-AR465</f>
        <v/>
      </c>
      <c r="AT465" s="6">
        <f>AB465-AC465</f>
        <v/>
      </c>
    </row>
    <row r="466">
      <c r="A466" s="2" t="n"/>
      <c r="B466" s="3" t="n"/>
      <c r="C466" s="4" t="n"/>
      <c r="D466" s="5" t="n"/>
      <c r="E466" s="3" t="n"/>
      <c r="F466" s="4" t="n"/>
      <c r="G466" s="5" t="n"/>
      <c r="H466" s="3" t="n"/>
      <c r="I466" s="4" t="n"/>
      <c r="J466" s="5" t="n"/>
      <c r="K466" s="3" t="n"/>
      <c r="L466" s="4" t="n"/>
      <c r="M466" s="5" t="n"/>
      <c r="N466" s="3" t="n"/>
      <c r="O466" s="4" t="n"/>
      <c r="P466" s="5" t="n"/>
      <c r="Q466" s="3" t="n"/>
      <c r="R466" s="4" t="n"/>
      <c r="S466" s="5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6">
        <f>IF(C466=0,0,IF(E466="",B466*D466/100,E466))</f>
        <v/>
      </c>
      <c r="AE466" s="6">
        <f>IF(F466=0,0,IF(H466="",B466*G466/100,H466))</f>
        <v/>
      </c>
      <c r="AF466" s="6">
        <f>IF(I466=0,0,IF(K466="",B466*J466/100,K466))</f>
        <v/>
      </c>
      <c r="AG466" s="6">
        <f>IF(L466=0,0,IF(N466="",B466*M466/100,N466))</f>
        <v/>
      </c>
      <c r="AH466" s="6">
        <f>IF(O466=0,0,IF(Q466="",B466*P466/100,Q466))</f>
        <v/>
      </c>
      <c r="AI466" s="6">
        <f>IF(R466=0,0,IF(T466="",B466*S466/100,T466))</f>
        <v/>
      </c>
      <c r="AJ466" s="6">
        <f>B466*0.035</f>
        <v/>
      </c>
      <c r="AK466" s="6">
        <f>B466*0.065</f>
        <v/>
      </c>
      <c r="AL466" s="6">
        <f>SUM(B466,AD466,AE466,AF466,AG466,AH466,AI466,U466,V466,AJ466,AK466)</f>
        <v/>
      </c>
      <c r="AM466" s="6">
        <f>B466*0.055</f>
        <v/>
      </c>
      <c r="AN466" s="6">
        <f>B466*0.035</f>
        <v/>
      </c>
      <c r="AO466" s="6">
        <f>B466*0.165</f>
        <v/>
      </c>
      <c r="AP466" s="6">
        <f>MAX(0,AL466-AM466-AO466)</f>
        <v/>
      </c>
      <c r="AQ466" s="6">
        <f>IF(AP466&lt;=490,0,IF(AP466&lt;=600,(AP466-490)*0.05,IF(AP466&lt;=730,5.5+(AP466-600)*0.10,IF(AP466&lt;=3896.67,18.5+(AP466-730)*0.175,IF(AP466&lt;=19896.67,572.67+(AP466-3896.67)*0.25,IF(AP466&lt;=50416.67,4572.67+(AP466-19896.67)*0.30,13728.67+(AP466-50416.67)*0.35))))))</f>
        <v/>
      </c>
      <c r="AR466" s="6">
        <f>SUM(AM466,AQ466,W466,X466,Y466,Z466,AA466,AN466,AO466)</f>
        <v/>
      </c>
      <c r="AS466" s="6">
        <f>AL466-AR466</f>
        <v/>
      </c>
      <c r="AT466" s="6">
        <f>AB466-AC466</f>
        <v/>
      </c>
    </row>
    <row r="467">
      <c r="A467" s="2" t="n"/>
      <c r="B467" s="3" t="n"/>
      <c r="C467" s="4" t="n"/>
      <c r="D467" s="5" t="n"/>
      <c r="E467" s="3" t="n"/>
      <c r="F467" s="4" t="n"/>
      <c r="G467" s="5" t="n"/>
      <c r="H467" s="3" t="n"/>
      <c r="I467" s="4" t="n"/>
      <c r="J467" s="5" t="n"/>
      <c r="K467" s="3" t="n"/>
      <c r="L467" s="4" t="n"/>
      <c r="M467" s="5" t="n"/>
      <c r="N467" s="3" t="n"/>
      <c r="O467" s="4" t="n"/>
      <c r="P467" s="5" t="n"/>
      <c r="Q467" s="3" t="n"/>
      <c r="R467" s="4" t="n"/>
      <c r="S467" s="5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6">
        <f>IF(C467=0,0,IF(E467="",B467*D467/100,E467))</f>
        <v/>
      </c>
      <c r="AE467" s="6">
        <f>IF(F467=0,0,IF(H467="",B467*G467/100,H467))</f>
        <v/>
      </c>
      <c r="AF467" s="6">
        <f>IF(I467=0,0,IF(K467="",B467*J467/100,K467))</f>
        <v/>
      </c>
      <c r="AG467" s="6">
        <f>IF(L467=0,0,IF(N467="",B467*M467/100,N467))</f>
        <v/>
      </c>
      <c r="AH467" s="6">
        <f>IF(O467=0,0,IF(Q467="",B467*P467/100,Q467))</f>
        <v/>
      </c>
      <c r="AI467" s="6">
        <f>IF(R467=0,0,IF(T467="",B467*S467/100,T467))</f>
        <v/>
      </c>
      <c r="AJ467" s="6">
        <f>B467*0.035</f>
        <v/>
      </c>
      <c r="AK467" s="6">
        <f>B467*0.065</f>
        <v/>
      </c>
      <c r="AL467" s="6">
        <f>SUM(B467,AD467,AE467,AF467,AG467,AH467,AI467,U467,V467,AJ467,AK467)</f>
        <v/>
      </c>
      <c r="AM467" s="6">
        <f>B467*0.055</f>
        <v/>
      </c>
      <c r="AN467" s="6">
        <f>B467*0.035</f>
        <v/>
      </c>
      <c r="AO467" s="6">
        <f>B467*0.165</f>
        <v/>
      </c>
      <c r="AP467" s="6">
        <f>MAX(0,AL467-AM467-AO467)</f>
        <v/>
      </c>
      <c r="AQ467" s="6">
        <f>IF(AP467&lt;=490,0,IF(AP467&lt;=600,(AP467-490)*0.05,IF(AP467&lt;=730,5.5+(AP467-600)*0.10,IF(AP467&lt;=3896.67,18.5+(AP467-730)*0.175,IF(AP467&lt;=19896.67,572.67+(AP467-3896.67)*0.25,IF(AP467&lt;=50416.67,4572.67+(AP467-19896.67)*0.30,13728.67+(AP467-50416.67)*0.35))))))</f>
        <v/>
      </c>
      <c r="AR467" s="6">
        <f>SUM(AM467,AQ467,W467,X467,Y467,Z467,AA467,AN467,AO467)</f>
        <v/>
      </c>
      <c r="AS467" s="6">
        <f>AL467-AR467</f>
        <v/>
      </c>
      <c r="AT467" s="6">
        <f>AB467-AC467</f>
        <v/>
      </c>
    </row>
    <row r="468">
      <c r="A468" s="2" t="n"/>
      <c r="B468" s="3" t="n"/>
      <c r="C468" s="4" t="n"/>
      <c r="D468" s="5" t="n"/>
      <c r="E468" s="3" t="n"/>
      <c r="F468" s="4" t="n"/>
      <c r="G468" s="5" t="n"/>
      <c r="H468" s="3" t="n"/>
      <c r="I468" s="4" t="n"/>
      <c r="J468" s="5" t="n"/>
      <c r="K468" s="3" t="n"/>
      <c r="L468" s="4" t="n"/>
      <c r="M468" s="5" t="n"/>
      <c r="N468" s="3" t="n"/>
      <c r="O468" s="4" t="n"/>
      <c r="P468" s="5" t="n"/>
      <c r="Q468" s="3" t="n"/>
      <c r="R468" s="4" t="n"/>
      <c r="S468" s="5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6">
        <f>IF(C468=0,0,IF(E468="",B468*D468/100,E468))</f>
        <v/>
      </c>
      <c r="AE468" s="6">
        <f>IF(F468=0,0,IF(H468="",B468*G468/100,H468))</f>
        <v/>
      </c>
      <c r="AF468" s="6">
        <f>IF(I468=0,0,IF(K468="",B468*J468/100,K468))</f>
        <v/>
      </c>
      <c r="AG468" s="6">
        <f>IF(L468=0,0,IF(N468="",B468*M468/100,N468))</f>
        <v/>
      </c>
      <c r="AH468" s="6">
        <f>IF(O468=0,0,IF(Q468="",B468*P468/100,Q468))</f>
        <v/>
      </c>
      <c r="AI468" s="6">
        <f>IF(R468=0,0,IF(T468="",B468*S468/100,T468))</f>
        <v/>
      </c>
      <c r="AJ468" s="6">
        <f>B468*0.035</f>
        <v/>
      </c>
      <c r="AK468" s="6">
        <f>B468*0.065</f>
        <v/>
      </c>
      <c r="AL468" s="6">
        <f>SUM(B468,AD468,AE468,AF468,AG468,AH468,AI468,U468,V468,AJ468,AK468)</f>
        <v/>
      </c>
      <c r="AM468" s="6">
        <f>B468*0.055</f>
        <v/>
      </c>
      <c r="AN468" s="6">
        <f>B468*0.035</f>
        <v/>
      </c>
      <c r="AO468" s="6">
        <f>B468*0.165</f>
        <v/>
      </c>
      <c r="AP468" s="6">
        <f>MAX(0,AL468-AM468-AO468)</f>
        <v/>
      </c>
      <c r="AQ468" s="6">
        <f>IF(AP468&lt;=490,0,IF(AP468&lt;=600,(AP468-490)*0.05,IF(AP468&lt;=730,5.5+(AP468-600)*0.10,IF(AP468&lt;=3896.67,18.5+(AP468-730)*0.175,IF(AP468&lt;=19896.67,572.67+(AP468-3896.67)*0.25,IF(AP468&lt;=50416.67,4572.67+(AP468-19896.67)*0.30,13728.67+(AP468-50416.67)*0.35))))))</f>
        <v/>
      </c>
      <c r="AR468" s="6">
        <f>SUM(AM468,AQ468,W468,X468,Y468,Z468,AA468,AN468,AO468)</f>
        <v/>
      </c>
      <c r="AS468" s="6">
        <f>AL468-AR468</f>
        <v/>
      </c>
      <c r="AT468" s="6">
        <f>AB468-AC468</f>
        <v/>
      </c>
    </row>
    <row r="469">
      <c r="A469" s="2" t="n"/>
      <c r="B469" s="3" t="n"/>
      <c r="C469" s="4" t="n"/>
      <c r="D469" s="5" t="n"/>
      <c r="E469" s="3" t="n"/>
      <c r="F469" s="4" t="n"/>
      <c r="G469" s="5" t="n"/>
      <c r="H469" s="3" t="n"/>
      <c r="I469" s="4" t="n"/>
      <c r="J469" s="5" t="n"/>
      <c r="K469" s="3" t="n"/>
      <c r="L469" s="4" t="n"/>
      <c r="M469" s="5" t="n"/>
      <c r="N469" s="3" t="n"/>
      <c r="O469" s="4" t="n"/>
      <c r="P469" s="5" t="n"/>
      <c r="Q469" s="3" t="n"/>
      <c r="R469" s="4" t="n"/>
      <c r="S469" s="5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6">
        <f>IF(C469=0,0,IF(E469="",B469*D469/100,E469))</f>
        <v/>
      </c>
      <c r="AE469" s="6">
        <f>IF(F469=0,0,IF(H469="",B469*G469/100,H469))</f>
        <v/>
      </c>
      <c r="AF469" s="6">
        <f>IF(I469=0,0,IF(K469="",B469*J469/100,K469))</f>
        <v/>
      </c>
      <c r="AG469" s="6">
        <f>IF(L469=0,0,IF(N469="",B469*M469/100,N469))</f>
        <v/>
      </c>
      <c r="AH469" s="6">
        <f>IF(O469=0,0,IF(Q469="",B469*P469/100,Q469))</f>
        <v/>
      </c>
      <c r="AI469" s="6">
        <f>IF(R469=0,0,IF(T469="",B469*S469/100,T469))</f>
        <v/>
      </c>
      <c r="AJ469" s="6">
        <f>B469*0.035</f>
        <v/>
      </c>
      <c r="AK469" s="6">
        <f>B469*0.065</f>
        <v/>
      </c>
      <c r="AL469" s="6">
        <f>SUM(B469,AD469,AE469,AF469,AG469,AH469,AI469,U469,V469,AJ469,AK469)</f>
        <v/>
      </c>
      <c r="AM469" s="6">
        <f>B469*0.055</f>
        <v/>
      </c>
      <c r="AN469" s="6">
        <f>B469*0.035</f>
        <v/>
      </c>
      <c r="AO469" s="6">
        <f>B469*0.165</f>
        <v/>
      </c>
      <c r="AP469" s="6">
        <f>MAX(0,AL469-AM469-AO469)</f>
        <v/>
      </c>
      <c r="AQ469" s="6">
        <f>IF(AP469&lt;=490,0,IF(AP469&lt;=600,(AP469-490)*0.05,IF(AP469&lt;=730,5.5+(AP469-600)*0.10,IF(AP469&lt;=3896.67,18.5+(AP469-730)*0.175,IF(AP469&lt;=19896.67,572.67+(AP469-3896.67)*0.25,IF(AP469&lt;=50416.67,4572.67+(AP469-19896.67)*0.30,13728.67+(AP469-50416.67)*0.35))))))</f>
        <v/>
      </c>
      <c r="AR469" s="6">
        <f>SUM(AM469,AQ469,W469,X469,Y469,Z469,AA469,AN469,AO469)</f>
        <v/>
      </c>
      <c r="AS469" s="6">
        <f>AL469-AR469</f>
        <v/>
      </c>
      <c r="AT469" s="6">
        <f>AB469-AC469</f>
        <v/>
      </c>
    </row>
    <row r="470">
      <c r="A470" s="2" t="n"/>
      <c r="B470" s="3" t="n"/>
      <c r="C470" s="4" t="n"/>
      <c r="D470" s="5" t="n"/>
      <c r="E470" s="3" t="n"/>
      <c r="F470" s="4" t="n"/>
      <c r="G470" s="5" t="n"/>
      <c r="H470" s="3" t="n"/>
      <c r="I470" s="4" t="n"/>
      <c r="J470" s="5" t="n"/>
      <c r="K470" s="3" t="n"/>
      <c r="L470" s="4" t="n"/>
      <c r="M470" s="5" t="n"/>
      <c r="N470" s="3" t="n"/>
      <c r="O470" s="4" t="n"/>
      <c r="P470" s="5" t="n"/>
      <c r="Q470" s="3" t="n"/>
      <c r="R470" s="4" t="n"/>
      <c r="S470" s="5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6">
        <f>IF(C470=0,0,IF(E470="",B470*D470/100,E470))</f>
        <v/>
      </c>
      <c r="AE470" s="6">
        <f>IF(F470=0,0,IF(H470="",B470*G470/100,H470))</f>
        <v/>
      </c>
      <c r="AF470" s="6">
        <f>IF(I470=0,0,IF(K470="",B470*J470/100,K470))</f>
        <v/>
      </c>
      <c r="AG470" s="6">
        <f>IF(L470=0,0,IF(N470="",B470*M470/100,N470))</f>
        <v/>
      </c>
      <c r="AH470" s="6">
        <f>IF(O470=0,0,IF(Q470="",B470*P470/100,Q470))</f>
        <v/>
      </c>
      <c r="AI470" s="6">
        <f>IF(R470=0,0,IF(T470="",B470*S470/100,T470))</f>
        <v/>
      </c>
      <c r="AJ470" s="6">
        <f>B470*0.035</f>
        <v/>
      </c>
      <c r="AK470" s="6">
        <f>B470*0.065</f>
        <v/>
      </c>
      <c r="AL470" s="6">
        <f>SUM(B470,AD470,AE470,AF470,AG470,AH470,AI470,U470,V470,AJ470,AK470)</f>
        <v/>
      </c>
      <c r="AM470" s="6">
        <f>B470*0.055</f>
        <v/>
      </c>
      <c r="AN470" s="6">
        <f>B470*0.035</f>
        <v/>
      </c>
      <c r="AO470" s="6">
        <f>B470*0.165</f>
        <v/>
      </c>
      <c r="AP470" s="6">
        <f>MAX(0,AL470-AM470-AO470)</f>
        <v/>
      </c>
      <c r="AQ470" s="6">
        <f>IF(AP470&lt;=490,0,IF(AP470&lt;=600,(AP470-490)*0.05,IF(AP470&lt;=730,5.5+(AP470-600)*0.10,IF(AP470&lt;=3896.67,18.5+(AP470-730)*0.175,IF(AP470&lt;=19896.67,572.67+(AP470-3896.67)*0.25,IF(AP470&lt;=50416.67,4572.67+(AP470-19896.67)*0.30,13728.67+(AP470-50416.67)*0.35))))))</f>
        <v/>
      </c>
      <c r="AR470" s="6">
        <f>SUM(AM470,AQ470,W470,X470,Y470,Z470,AA470,AN470,AO470)</f>
        <v/>
      </c>
      <c r="AS470" s="6">
        <f>AL470-AR470</f>
        <v/>
      </c>
      <c r="AT470" s="6">
        <f>AB470-AC470</f>
        <v/>
      </c>
    </row>
    <row r="471">
      <c r="A471" s="2" t="n"/>
      <c r="B471" s="3" t="n"/>
      <c r="C471" s="4" t="n"/>
      <c r="D471" s="5" t="n"/>
      <c r="E471" s="3" t="n"/>
      <c r="F471" s="4" t="n"/>
      <c r="G471" s="5" t="n"/>
      <c r="H471" s="3" t="n"/>
      <c r="I471" s="4" t="n"/>
      <c r="J471" s="5" t="n"/>
      <c r="K471" s="3" t="n"/>
      <c r="L471" s="4" t="n"/>
      <c r="M471" s="5" t="n"/>
      <c r="N471" s="3" t="n"/>
      <c r="O471" s="4" t="n"/>
      <c r="P471" s="5" t="n"/>
      <c r="Q471" s="3" t="n"/>
      <c r="R471" s="4" t="n"/>
      <c r="S471" s="5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6">
        <f>IF(C471=0,0,IF(E471="",B471*D471/100,E471))</f>
        <v/>
      </c>
      <c r="AE471" s="6">
        <f>IF(F471=0,0,IF(H471="",B471*G471/100,H471))</f>
        <v/>
      </c>
      <c r="AF471" s="6">
        <f>IF(I471=0,0,IF(K471="",B471*J471/100,K471))</f>
        <v/>
      </c>
      <c r="AG471" s="6">
        <f>IF(L471=0,0,IF(N471="",B471*M471/100,N471))</f>
        <v/>
      </c>
      <c r="AH471" s="6">
        <f>IF(O471=0,0,IF(Q471="",B471*P471/100,Q471))</f>
        <v/>
      </c>
      <c r="AI471" s="6">
        <f>IF(R471=0,0,IF(T471="",B471*S471/100,T471))</f>
        <v/>
      </c>
      <c r="AJ471" s="6">
        <f>B471*0.035</f>
        <v/>
      </c>
      <c r="AK471" s="6">
        <f>B471*0.065</f>
        <v/>
      </c>
      <c r="AL471" s="6">
        <f>SUM(B471,AD471,AE471,AF471,AG471,AH471,AI471,U471,V471,AJ471,AK471)</f>
        <v/>
      </c>
      <c r="AM471" s="6">
        <f>B471*0.055</f>
        <v/>
      </c>
      <c r="AN471" s="6">
        <f>B471*0.035</f>
        <v/>
      </c>
      <c r="AO471" s="6">
        <f>B471*0.165</f>
        <v/>
      </c>
      <c r="AP471" s="6">
        <f>MAX(0,AL471-AM471-AO471)</f>
        <v/>
      </c>
      <c r="AQ471" s="6">
        <f>IF(AP471&lt;=490,0,IF(AP471&lt;=600,(AP471-490)*0.05,IF(AP471&lt;=730,5.5+(AP471-600)*0.10,IF(AP471&lt;=3896.67,18.5+(AP471-730)*0.175,IF(AP471&lt;=19896.67,572.67+(AP471-3896.67)*0.25,IF(AP471&lt;=50416.67,4572.67+(AP471-19896.67)*0.30,13728.67+(AP471-50416.67)*0.35))))))</f>
        <v/>
      </c>
      <c r="AR471" s="6">
        <f>SUM(AM471,AQ471,W471,X471,Y471,Z471,AA471,AN471,AO471)</f>
        <v/>
      </c>
      <c r="AS471" s="6">
        <f>AL471-AR471</f>
        <v/>
      </c>
      <c r="AT471" s="6">
        <f>AB471-AC471</f>
        <v/>
      </c>
    </row>
    <row r="472">
      <c r="A472" s="2" t="n"/>
      <c r="B472" s="3" t="n"/>
      <c r="C472" s="4" t="n"/>
      <c r="D472" s="5" t="n"/>
      <c r="E472" s="3" t="n"/>
      <c r="F472" s="4" t="n"/>
      <c r="G472" s="5" t="n"/>
      <c r="H472" s="3" t="n"/>
      <c r="I472" s="4" t="n"/>
      <c r="J472" s="5" t="n"/>
      <c r="K472" s="3" t="n"/>
      <c r="L472" s="4" t="n"/>
      <c r="M472" s="5" t="n"/>
      <c r="N472" s="3" t="n"/>
      <c r="O472" s="4" t="n"/>
      <c r="P472" s="5" t="n"/>
      <c r="Q472" s="3" t="n"/>
      <c r="R472" s="4" t="n"/>
      <c r="S472" s="5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6">
        <f>IF(C472=0,0,IF(E472="",B472*D472/100,E472))</f>
        <v/>
      </c>
      <c r="AE472" s="6">
        <f>IF(F472=0,0,IF(H472="",B472*G472/100,H472))</f>
        <v/>
      </c>
      <c r="AF472" s="6">
        <f>IF(I472=0,0,IF(K472="",B472*J472/100,K472))</f>
        <v/>
      </c>
      <c r="AG472" s="6">
        <f>IF(L472=0,0,IF(N472="",B472*M472/100,N472))</f>
        <v/>
      </c>
      <c r="AH472" s="6">
        <f>IF(O472=0,0,IF(Q472="",B472*P472/100,Q472))</f>
        <v/>
      </c>
      <c r="AI472" s="6">
        <f>IF(R472=0,0,IF(T472="",B472*S472/100,T472))</f>
        <v/>
      </c>
      <c r="AJ472" s="6">
        <f>B472*0.035</f>
        <v/>
      </c>
      <c r="AK472" s="6">
        <f>B472*0.065</f>
        <v/>
      </c>
      <c r="AL472" s="6">
        <f>SUM(B472,AD472,AE472,AF472,AG472,AH472,AI472,U472,V472,AJ472,AK472)</f>
        <v/>
      </c>
      <c r="AM472" s="6">
        <f>B472*0.055</f>
        <v/>
      </c>
      <c r="AN472" s="6">
        <f>B472*0.035</f>
        <v/>
      </c>
      <c r="AO472" s="6">
        <f>B472*0.165</f>
        <v/>
      </c>
      <c r="AP472" s="6">
        <f>MAX(0,AL472-AM472-AO472)</f>
        <v/>
      </c>
      <c r="AQ472" s="6">
        <f>IF(AP472&lt;=490,0,IF(AP472&lt;=600,(AP472-490)*0.05,IF(AP472&lt;=730,5.5+(AP472-600)*0.10,IF(AP472&lt;=3896.67,18.5+(AP472-730)*0.175,IF(AP472&lt;=19896.67,572.67+(AP472-3896.67)*0.25,IF(AP472&lt;=50416.67,4572.67+(AP472-19896.67)*0.30,13728.67+(AP472-50416.67)*0.35))))))</f>
        <v/>
      </c>
      <c r="AR472" s="6">
        <f>SUM(AM472,AQ472,W472,X472,Y472,Z472,AA472,AN472,AO472)</f>
        <v/>
      </c>
      <c r="AS472" s="6">
        <f>AL472-AR472</f>
        <v/>
      </c>
      <c r="AT472" s="6">
        <f>AB472-AC472</f>
        <v/>
      </c>
    </row>
    <row r="473">
      <c r="A473" s="2" t="n"/>
      <c r="B473" s="3" t="n"/>
      <c r="C473" s="4" t="n"/>
      <c r="D473" s="5" t="n"/>
      <c r="E473" s="3" t="n"/>
      <c r="F473" s="4" t="n"/>
      <c r="G473" s="5" t="n"/>
      <c r="H473" s="3" t="n"/>
      <c r="I473" s="4" t="n"/>
      <c r="J473" s="5" t="n"/>
      <c r="K473" s="3" t="n"/>
      <c r="L473" s="4" t="n"/>
      <c r="M473" s="5" t="n"/>
      <c r="N473" s="3" t="n"/>
      <c r="O473" s="4" t="n"/>
      <c r="P473" s="5" t="n"/>
      <c r="Q473" s="3" t="n"/>
      <c r="R473" s="4" t="n"/>
      <c r="S473" s="5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6">
        <f>IF(C473=0,0,IF(E473="",B473*D473/100,E473))</f>
        <v/>
      </c>
      <c r="AE473" s="6">
        <f>IF(F473=0,0,IF(H473="",B473*G473/100,H473))</f>
        <v/>
      </c>
      <c r="AF473" s="6">
        <f>IF(I473=0,0,IF(K473="",B473*J473/100,K473))</f>
        <v/>
      </c>
      <c r="AG473" s="6">
        <f>IF(L473=0,0,IF(N473="",B473*M473/100,N473))</f>
        <v/>
      </c>
      <c r="AH473" s="6">
        <f>IF(O473=0,0,IF(Q473="",B473*P473/100,Q473))</f>
        <v/>
      </c>
      <c r="AI473" s="6">
        <f>IF(R473=0,0,IF(T473="",B473*S473/100,T473))</f>
        <v/>
      </c>
      <c r="AJ473" s="6">
        <f>B473*0.035</f>
        <v/>
      </c>
      <c r="AK473" s="6">
        <f>B473*0.065</f>
        <v/>
      </c>
      <c r="AL473" s="6">
        <f>SUM(B473,AD473,AE473,AF473,AG473,AH473,AI473,U473,V473,AJ473,AK473)</f>
        <v/>
      </c>
      <c r="AM473" s="6">
        <f>B473*0.055</f>
        <v/>
      </c>
      <c r="AN473" s="6">
        <f>B473*0.035</f>
        <v/>
      </c>
      <c r="AO473" s="6">
        <f>B473*0.165</f>
        <v/>
      </c>
      <c r="AP473" s="6">
        <f>MAX(0,AL473-AM473-AO473)</f>
        <v/>
      </c>
      <c r="AQ473" s="6">
        <f>IF(AP473&lt;=490,0,IF(AP473&lt;=600,(AP473-490)*0.05,IF(AP473&lt;=730,5.5+(AP473-600)*0.10,IF(AP473&lt;=3896.67,18.5+(AP473-730)*0.175,IF(AP473&lt;=19896.67,572.67+(AP473-3896.67)*0.25,IF(AP473&lt;=50416.67,4572.67+(AP473-19896.67)*0.30,13728.67+(AP473-50416.67)*0.35))))))</f>
        <v/>
      </c>
      <c r="AR473" s="6">
        <f>SUM(AM473,AQ473,W473,X473,Y473,Z473,AA473,AN473,AO473)</f>
        <v/>
      </c>
      <c r="AS473" s="6">
        <f>AL473-AR473</f>
        <v/>
      </c>
      <c r="AT473" s="6">
        <f>AB473-AC473</f>
        <v/>
      </c>
    </row>
    <row r="474">
      <c r="A474" s="2" t="n"/>
      <c r="B474" s="3" t="n"/>
      <c r="C474" s="4" t="n"/>
      <c r="D474" s="5" t="n"/>
      <c r="E474" s="3" t="n"/>
      <c r="F474" s="4" t="n"/>
      <c r="G474" s="5" t="n"/>
      <c r="H474" s="3" t="n"/>
      <c r="I474" s="4" t="n"/>
      <c r="J474" s="5" t="n"/>
      <c r="K474" s="3" t="n"/>
      <c r="L474" s="4" t="n"/>
      <c r="M474" s="5" t="n"/>
      <c r="N474" s="3" t="n"/>
      <c r="O474" s="4" t="n"/>
      <c r="P474" s="5" t="n"/>
      <c r="Q474" s="3" t="n"/>
      <c r="R474" s="4" t="n"/>
      <c r="S474" s="5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6">
        <f>IF(C474=0,0,IF(E474="",B474*D474/100,E474))</f>
        <v/>
      </c>
      <c r="AE474" s="6">
        <f>IF(F474=0,0,IF(H474="",B474*G474/100,H474))</f>
        <v/>
      </c>
      <c r="AF474" s="6">
        <f>IF(I474=0,0,IF(K474="",B474*J474/100,K474))</f>
        <v/>
      </c>
      <c r="AG474" s="6">
        <f>IF(L474=0,0,IF(N474="",B474*M474/100,N474))</f>
        <v/>
      </c>
      <c r="AH474" s="6">
        <f>IF(O474=0,0,IF(Q474="",B474*P474/100,Q474))</f>
        <v/>
      </c>
      <c r="AI474" s="6">
        <f>IF(R474=0,0,IF(T474="",B474*S474/100,T474))</f>
        <v/>
      </c>
      <c r="AJ474" s="6">
        <f>B474*0.035</f>
        <v/>
      </c>
      <c r="AK474" s="6">
        <f>B474*0.065</f>
        <v/>
      </c>
      <c r="AL474" s="6">
        <f>SUM(B474,AD474,AE474,AF474,AG474,AH474,AI474,U474,V474,AJ474,AK474)</f>
        <v/>
      </c>
      <c r="AM474" s="6">
        <f>B474*0.055</f>
        <v/>
      </c>
      <c r="AN474" s="6">
        <f>B474*0.035</f>
        <v/>
      </c>
      <c r="AO474" s="6">
        <f>B474*0.165</f>
        <v/>
      </c>
      <c r="AP474" s="6">
        <f>MAX(0,AL474-AM474-AO474)</f>
        <v/>
      </c>
      <c r="AQ474" s="6">
        <f>IF(AP474&lt;=490,0,IF(AP474&lt;=600,(AP474-490)*0.05,IF(AP474&lt;=730,5.5+(AP474-600)*0.10,IF(AP474&lt;=3896.67,18.5+(AP474-730)*0.175,IF(AP474&lt;=19896.67,572.67+(AP474-3896.67)*0.25,IF(AP474&lt;=50416.67,4572.67+(AP474-19896.67)*0.30,13728.67+(AP474-50416.67)*0.35))))))</f>
        <v/>
      </c>
      <c r="AR474" s="6">
        <f>SUM(AM474,AQ474,W474,X474,Y474,Z474,AA474,AN474,AO474)</f>
        <v/>
      </c>
      <c r="AS474" s="6">
        <f>AL474-AR474</f>
        <v/>
      </c>
      <c r="AT474" s="6">
        <f>AB474-AC474</f>
        <v/>
      </c>
    </row>
    <row r="475">
      <c r="A475" s="2" t="n"/>
      <c r="B475" s="3" t="n"/>
      <c r="C475" s="4" t="n"/>
      <c r="D475" s="5" t="n"/>
      <c r="E475" s="3" t="n"/>
      <c r="F475" s="4" t="n"/>
      <c r="G475" s="5" t="n"/>
      <c r="H475" s="3" t="n"/>
      <c r="I475" s="4" t="n"/>
      <c r="J475" s="5" t="n"/>
      <c r="K475" s="3" t="n"/>
      <c r="L475" s="4" t="n"/>
      <c r="M475" s="5" t="n"/>
      <c r="N475" s="3" t="n"/>
      <c r="O475" s="4" t="n"/>
      <c r="P475" s="5" t="n"/>
      <c r="Q475" s="3" t="n"/>
      <c r="R475" s="4" t="n"/>
      <c r="S475" s="5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6">
        <f>IF(C475=0,0,IF(E475="",B475*D475/100,E475))</f>
        <v/>
      </c>
      <c r="AE475" s="6">
        <f>IF(F475=0,0,IF(H475="",B475*G475/100,H475))</f>
        <v/>
      </c>
      <c r="AF475" s="6">
        <f>IF(I475=0,0,IF(K475="",B475*J475/100,K475))</f>
        <v/>
      </c>
      <c r="AG475" s="6">
        <f>IF(L475=0,0,IF(N475="",B475*M475/100,N475))</f>
        <v/>
      </c>
      <c r="AH475" s="6">
        <f>IF(O475=0,0,IF(Q475="",B475*P475/100,Q475))</f>
        <v/>
      </c>
      <c r="AI475" s="6">
        <f>IF(R475=0,0,IF(T475="",B475*S475/100,T475))</f>
        <v/>
      </c>
      <c r="AJ475" s="6">
        <f>B475*0.035</f>
        <v/>
      </c>
      <c r="AK475" s="6">
        <f>B475*0.065</f>
        <v/>
      </c>
      <c r="AL475" s="6">
        <f>SUM(B475,AD475,AE475,AF475,AG475,AH475,AI475,U475,V475,AJ475,AK475)</f>
        <v/>
      </c>
      <c r="AM475" s="6">
        <f>B475*0.055</f>
        <v/>
      </c>
      <c r="AN475" s="6">
        <f>B475*0.035</f>
        <v/>
      </c>
      <c r="AO475" s="6">
        <f>B475*0.165</f>
        <v/>
      </c>
      <c r="AP475" s="6">
        <f>MAX(0,AL475-AM475-AO475)</f>
        <v/>
      </c>
      <c r="AQ475" s="6">
        <f>IF(AP475&lt;=490,0,IF(AP475&lt;=600,(AP475-490)*0.05,IF(AP475&lt;=730,5.5+(AP475-600)*0.10,IF(AP475&lt;=3896.67,18.5+(AP475-730)*0.175,IF(AP475&lt;=19896.67,572.67+(AP475-3896.67)*0.25,IF(AP475&lt;=50416.67,4572.67+(AP475-19896.67)*0.30,13728.67+(AP475-50416.67)*0.35))))))</f>
        <v/>
      </c>
      <c r="AR475" s="6">
        <f>SUM(AM475,AQ475,W475,X475,Y475,Z475,AA475,AN475,AO475)</f>
        <v/>
      </c>
      <c r="AS475" s="6">
        <f>AL475-AR475</f>
        <v/>
      </c>
      <c r="AT475" s="6">
        <f>AB475-AC475</f>
        <v/>
      </c>
    </row>
    <row r="476">
      <c r="A476" s="2" t="n"/>
      <c r="B476" s="3" t="n"/>
      <c r="C476" s="4" t="n"/>
      <c r="D476" s="5" t="n"/>
      <c r="E476" s="3" t="n"/>
      <c r="F476" s="4" t="n"/>
      <c r="G476" s="5" t="n"/>
      <c r="H476" s="3" t="n"/>
      <c r="I476" s="4" t="n"/>
      <c r="J476" s="5" t="n"/>
      <c r="K476" s="3" t="n"/>
      <c r="L476" s="4" t="n"/>
      <c r="M476" s="5" t="n"/>
      <c r="N476" s="3" t="n"/>
      <c r="O476" s="4" t="n"/>
      <c r="P476" s="5" t="n"/>
      <c r="Q476" s="3" t="n"/>
      <c r="R476" s="4" t="n"/>
      <c r="S476" s="5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6">
        <f>IF(C476=0,0,IF(E476="",B476*D476/100,E476))</f>
        <v/>
      </c>
      <c r="AE476" s="6">
        <f>IF(F476=0,0,IF(H476="",B476*G476/100,H476))</f>
        <v/>
      </c>
      <c r="AF476" s="6">
        <f>IF(I476=0,0,IF(K476="",B476*J476/100,K476))</f>
        <v/>
      </c>
      <c r="AG476" s="6">
        <f>IF(L476=0,0,IF(N476="",B476*M476/100,N476))</f>
        <v/>
      </c>
      <c r="AH476" s="6">
        <f>IF(O476=0,0,IF(Q476="",B476*P476/100,Q476))</f>
        <v/>
      </c>
      <c r="AI476" s="6">
        <f>IF(R476=0,0,IF(T476="",B476*S476/100,T476))</f>
        <v/>
      </c>
      <c r="AJ476" s="6">
        <f>B476*0.035</f>
        <v/>
      </c>
      <c r="AK476" s="6">
        <f>B476*0.065</f>
        <v/>
      </c>
      <c r="AL476" s="6">
        <f>SUM(B476,AD476,AE476,AF476,AG476,AH476,AI476,U476,V476,AJ476,AK476)</f>
        <v/>
      </c>
      <c r="AM476" s="6">
        <f>B476*0.055</f>
        <v/>
      </c>
      <c r="AN476" s="6">
        <f>B476*0.035</f>
        <v/>
      </c>
      <c r="AO476" s="6">
        <f>B476*0.165</f>
        <v/>
      </c>
      <c r="AP476" s="6">
        <f>MAX(0,AL476-AM476-AO476)</f>
        <v/>
      </c>
      <c r="AQ476" s="6">
        <f>IF(AP476&lt;=490,0,IF(AP476&lt;=600,(AP476-490)*0.05,IF(AP476&lt;=730,5.5+(AP476-600)*0.10,IF(AP476&lt;=3896.67,18.5+(AP476-730)*0.175,IF(AP476&lt;=19896.67,572.67+(AP476-3896.67)*0.25,IF(AP476&lt;=50416.67,4572.67+(AP476-19896.67)*0.30,13728.67+(AP476-50416.67)*0.35))))))</f>
        <v/>
      </c>
      <c r="AR476" s="6">
        <f>SUM(AM476,AQ476,W476,X476,Y476,Z476,AA476,AN476,AO476)</f>
        <v/>
      </c>
      <c r="AS476" s="6">
        <f>AL476-AR476</f>
        <v/>
      </c>
      <c r="AT476" s="6">
        <f>AB476-AC476</f>
        <v/>
      </c>
    </row>
    <row r="477">
      <c r="A477" s="2" t="n"/>
      <c r="B477" s="3" t="n"/>
      <c r="C477" s="4" t="n"/>
      <c r="D477" s="5" t="n"/>
      <c r="E477" s="3" t="n"/>
      <c r="F477" s="4" t="n"/>
      <c r="G477" s="5" t="n"/>
      <c r="H477" s="3" t="n"/>
      <c r="I477" s="4" t="n"/>
      <c r="J477" s="5" t="n"/>
      <c r="K477" s="3" t="n"/>
      <c r="L477" s="4" t="n"/>
      <c r="M477" s="5" t="n"/>
      <c r="N477" s="3" t="n"/>
      <c r="O477" s="4" t="n"/>
      <c r="P477" s="5" t="n"/>
      <c r="Q477" s="3" t="n"/>
      <c r="R477" s="4" t="n"/>
      <c r="S477" s="5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6">
        <f>IF(C477=0,0,IF(E477="",B477*D477/100,E477))</f>
        <v/>
      </c>
      <c r="AE477" s="6">
        <f>IF(F477=0,0,IF(H477="",B477*G477/100,H477))</f>
        <v/>
      </c>
      <c r="AF477" s="6">
        <f>IF(I477=0,0,IF(K477="",B477*J477/100,K477))</f>
        <v/>
      </c>
      <c r="AG477" s="6">
        <f>IF(L477=0,0,IF(N477="",B477*M477/100,N477))</f>
        <v/>
      </c>
      <c r="AH477" s="6">
        <f>IF(O477=0,0,IF(Q477="",B477*P477/100,Q477))</f>
        <v/>
      </c>
      <c r="AI477" s="6">
        <f>IF(R477=0,0,IF(T477="",B477*S477/100,T477))</f>
        <v/>
      </c>
      <c r="AJ477" s="6">
        <f>B477*0.035</f>
        <v/>
      </c>
      <c r="AK477" s="6">
        <f>B477*0.065</f>
        <v/>
      </c>
      <c r="AL477" s="6">
        <f>SUM(B477,AD477,AE477,AF477,AG477,AH477,AI477,U477,V477,AJ477,AK477)</f>
        <v/>
      </c>
      <c r="AM477" s="6">
        <f>B477*0.055</f>
        <v/>
      </c>
      <c r="AN477" s="6">
        <f>B477*0.035</f>
        <v/>
      </c>
      <c r="AO477" s="6">
        <f>B477*0.165</f>
        <v/>
      </c>
      <c r="AP477" s="6">
        <f>MAX(0,AL477-AM477-AO477)</f>
        <v/>
      </c>
      <c r="AQ477" s="6">
        <f>IF(AP477&lt;=490,0,IF(AP477&lt;=600,(AP477-490)*0.05,IF(AP477&lt;=730,5.5+(AP477-600)*0.10,IF(AP477&lt;=3896.67,18.5+(AP477-730)*0.175,IF(AP477&lt;=19896.67,572.67+(AP477-3896.67)*0.25,IF(AP477&lt;=50416.67,4572.67+(AP477-19896.67)*0.30,13728.67+(AP477-50416.67)*0.35))))))</f>
        <v/>
      </c>
      <c r="AR477" s="6">
        <f>SUM(AM477,AQ477,W477,X477,Y477,Z477,AA477,AN477,AO477)</f>
        <v/>
      </c>
      <c r="AS477" s="6">
        <f>AL477-AR477</f>
        <v/>
      </c>
      <c r="AT477" s="6">
        <f>AB477-AC477</f>
        <v/>
      </c>
    </row>
    <row r="478">
      <c r="A478" s="2" t="n"/>
      <c r="B478" s="3" t="n"/>
      <c r="C478" s="4" t="n"/>
      <c r="D478" s="5" t="n"/>
      <c r="E478" s="3" t="n"/>
      <c r="F478" s="4" t="n"/>
      <c r="G478" s="5" t="n"/>
      <c r="H478" s="3" t="n"/>
      <c r="I478" s="4" t="n"/>
      <c r="J478" s="5" t="n"/>
      <c r="K478" s="3" t="n"/>
      <c r="L478" s="4" t="n"/>
      <c r="M478" s="5" t="n"/>
      <c r="N478" s="3" t="n"/>
      <c r="O478" s="4" t="n"/>
      <c r="P478" s="5" t="n"/>
      <c r="Q478" s="3" t="n"/>
      <c r="R478" s="4" t="n"/>
      <c r="S478" s="5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6">
        <f>IF(C478=0,0,IF(E478="",B478*D478/100,E478))</f>
        <v/>
      </c>
      <c r="AE478" s="6">
        <f>IF(F478=0,0,IF(H478="",B478*G478/100,H478))</f>
        <v/>
      </c>
      <c r="AF478" s="6">
        <f>IF(I478=0,0,IF(K478="",B478*J478/100,K478))</f>
        <v/>
      </c>
      <c r="AG478" s="6">
        <f>IF(L478=0,0,IF(N478="",B478*M478/100,N478))</f>
        <v/>
      </c>
      <c r="AH478" s="6">
        <f>IF(O478=0,0,IF(Q478="",B478*P478/100,Q478))</f>
        <v/>
      </c>
      <c r="AI478" s="6">
        <f>IF(R478=0,0,IF(T478="",B478*S478/100,T478))</f>
        <v/>
      </c>
      <c r="AJ478" s="6">
        <f>B478*0.035</f>
        <v/>
      </c>
      <c r="AK478" s="6">
        <f>B478*0.065</f>
        <v/>
      </c>
      <c r="AL478" s="6">
        <f>SUM(B478,AD478,AE478,AF478,AG478,AH478,AI478,U478,V478,AJ478,AK478)</f>
        <v/>
      </c>
      <c r="AM478" s="6">
        <f>B478*0.055</f>
        <v/>
      </c>
      <c r="AN478" s="6">
        <f>B478*0.035</f>
        <v/>
      </c>
      <c r="AO478" s="6">
        <f>B478*0.165</f>
        <v/>
      </c>
      <c r="AP478" s="6">
        <f>MAX(0,AL478-AM478-AO478)</f>
        <v/>
      </c>
      <c r="AQ478" s="6">
        <f>IF(AP478&lt;=490,0,IF(AP478&lt;=600,(AP478-490)*0.05,IF(AP478&lt;=730,5.5+(AP478-600)*0.10,IF(AP478&lt;=3896.67,18.5+(AP478-730)*0.175,IF(AP478&lt;=19896.67,572.67+(AP478-3896.67)*0.25,IF(AP478&lt;=50416.67,4572.67+(AP478-19896.67)*0.30,13728.67+(AP478-50416.67)*0.35))))))</f>
        <v/>
      </c>
      <c r="AR478" s="6">
        <f>SUM(AM478,AQ478,W478,X478,Y478,Z478,AA478,AN478,AO478)</f>
        <v/>
      </c>
      <c r="AS478" s="6">
        <f>AL478-AR478</f>
        <v/>
      </c>
      <c r="AT478" s="6">
        <f>AB478-AC478</f>
        <v/>
      </c>
    </row>
    <row r="479">
      <c r="A479" s="2" t="n"/>
      <c r="B479" s="3" t="n"/>
      <c r="C479" s="4" t="n"/>
      <c r="D479" s="5" t="n"/>
      <c r="E479" s="3" t="n"/>
      <c r="F479" s="4" t="n"/>
      <c r="G479" s="5" t="n"/>
      <c r="H479" s="3" t="n"/>
      <c r="I479" s="4" t="n"/>
      <c r="J479" s="5" t="n"/>
      <c r="K479" s="3" t="n"/>
      <c r="L479" s="4" t="n"/>
      <c r="M479" s="5" t="n"/>
      <c r="N479" s="3" t="n"/>
      <c r="O479" s="4" t="n"/>
      <c r="P479" s="5" t="n"/>
      <c r="Q479" s="3" t="n"/>
      <c r="R479" s="4" t="n"/>
      <c r="S479" s="5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6">
        <f>IF(C479=0,0,IF(E479="",B479*D479/100,E479))</f>
        <v/>
      </c>
      <c r="AE479" s="6">
        <f>IF(F479=0,0,IF(H479="",B479*G479/100,H479))</f>
        <v/>
      </c>
      <c r="AF479" s="6">
        <f>IF(I479=0,0,IF(K479="",B479*J479/100,K479))</f>
        <v/>
      </c>
      <c r="AG479" s="6">
        <f>IF(L479=0,0,IF(N479="",B479*M479/100,N479))</f>
        <v/>
      </c>
      <c r="AH479" s="6">
        <f>IF(O479=0,0,IF(Q479="",B479*P479/100,Q479))</f>
        <v/>
      </c>
      <c r="AI479" s="6">
        <f>IF(R479=0,0,IF(T479="",B479*S479/100,T479))</f>
        <v/>
      </c>
      <c r="AJ479" s="6">
        <f>B479*0.035</f>
        <v/>
      </c>
      <c r="AK479" s="6">
        <f>B479*0.065</f>
        <v/>
      </c>
      <c r="AL479" s="6">
        <f>SUM(B479,AD479,AE479,AF479,AG479,AH479,AI479,U479,V479,AJ479,AK479)</f>
        <v/>
      </c>
      <c r="AM479" s="6">
        <f>B479*0.055</f>
        <v/>
      </c>
      <c r="AN479" s="6">
        <f>B479*0.035</f>
        <v/>
      </c>
      <c r="AO479" s="6">
        <f>B479*0.165</f>
        <v/>
      </c>
      <c r="AP479" s="6">
        <f>MAX(0,AL479-AM479-AO479)</f>
        <v/>
      </c>
      <c r="AQ479" s="6">
        <f>IF(AP479&lt;=490,0,IF(AP479&lt;=600,(AP479-490)*0.05,IF(AP479&lt;=730,5.5+(AP479-600)*0.10,IF(AP479&lt;=3896.67,18.5+(AP479-730)*0.175,IF(AP479&lt;=19896.67,572.67+(AP479-3896.67)*0.25,IF(AP479&lt;=50416.67,4572.67+(AP479-19896.67)*0.30,13728.67+(AP479-50416.67)*0.35))))))</f>
        <v/>
      </c>
      <c r="AR479" s="6">
        <f>SUM(AM479,AQ479,W479,X479,Y479,Z479,AA479,AN479,AO479)</f>
        <v/>
      </c>
      <c r="AS479" s="6">
        <f>AL479-AR479</f>
        <v/>
      </c>
      <c r="AT479" s="6">
        <f>AB479-AC479</f>
        <v/>
      </c>
    </row>
    <row r="480">
      <c r="A480" s="2" t="n"/>
      <c r="B480" s="3" t="n"/>
      <c r="C480" s="4" t="n"/>
      <c r="D480" s="5" t="n"/>
      <c r="E480" s="3" t="n"/>
      <c r="F480" s="4" t="n"/>
      <c r="G480" s="5" t="n"/>
      <c r="H480" s="3" t="n"/>
      <c r="I480" s="4" t="n"/>
      <c r="J480" s="5" t="n"/>
      <c r="K480" s="3" t="n"/>
      <c r="L480" s="4" t="n"/>
      <c r="M480" s="5" t="n"/>
      <c r="N480" s="3" t="n"/>
      <c r="O480" s="4" t="n"/>
      <c r="P480" s="5" t="n"/>
      <c r="Q480" s="3" t="n"/>
      <c r="R480" s="4" t="n"/>
      <c r="S480" s="5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6">
        <f>IF(C480=0,0,IF(E480="",B480*D480/100,E480))</f>
        <v/>
      </c>
      <c r="AE480" s="6">
        <f>IF(F480=0,0,IF(H480="",B480*G480/100,H480))</f>
        <v/>
      </c>
      <c r="AF480" s="6">
        <f>IF(I480=0,0,IF(K480="",B480*J480/100,K480))</f>
        <v/>
      </c>
      <c r="AG480" s="6">
        <f>IF(L480=0,0,IF(N480="",B480*M480/100,N480))</f>
        <v/>
      </c>
      <c r="AH480" s="6">
        <f>IF(O480=0,0,IF(Q480="",B480*P480/100,Q480))</f>
        <v/>
      </c>
      <c r="AI480" s="6">
        <f>IF(R480=0,0,IF(T480="",B480*S480/100,T480))</f>
        <v/>
      </c>
      <c r="AJ480" s="6">
        <f>B480*0.035</f>
        <v/>
      </c>
      <c r="AK480" s="6">
        <f>B480*0.065</f>
        <v/>
      </c>
      <c r="AL480" s="6">
        <f>SUM(B480,AD480,AE480,AF480,AG480,AH480,AI480,U480,V480,AJ480,AK480)</f>
        <v/>
      </c>
      <c r="AM480" s="6">
        <f>B480*0.055</f>
        <v/>
      </c>
      <c r="AN480" s="6">
        <f>B480*0.035</f>
        <v/>
      </c>
      <c r="AO480" s="6">
        <f>B480*0.165</f>
        <v/>
      </c>
      <c r="AP480" s="6">
        <f>MAX(0,AL480-AM480-AO480)</f>
        <v/>
      </c>
      <c r="AQ480" s="6">
        <f>IF(AP480&lt;=490,0,IF(AP480&lt;=600,(AP480-490)*0.05,IF(AP480&lt;=730,5.5+(AP480-600)*0.10,IF(AP480&lt;=3896.67,18.5+(AP480-730)*0.175,IF(AP480&lt;=19896.67,572.67+(AP480-3896.67)*0.25,IF(AP480&lt;=50416.67,4572.67+(AP480-19896.67)*0.30,13728.67+(AP480-50416.67)*0.35))))))</f>
        <v/>
      </c>
      <c r="AR480" s="6">
        <f>SUM(AM480,AQ480,W480,X480,Y480,Z480,AA480,AN480,AO480)</f>
        <v/>
      </c>
      <c r="AS480" s="6">
        <f>AL480-AR480</f>
        <v/>
      </c>
      <c r="AT480" s="6">
        <f>AB480-AC480</f>
        <v/>
      </c>
    </row>
    <row r="481">
      <c r="A481" s="2" t="n"/>
      <c r="B481" s="3" t="n"/>
      <c r="C481" s="4" t="n"/>
      <c r="D481" s="5" t="n"/>
      <c r="E481" s="3" t="n"/>
      <c r="F481" s="4" t="n"/>
      <c r="G481" s="5" t="n"/>
      <c r="H481" s="3" t="n"/>
      <c r="I481" s="4" t="n"/>
      <c r="J481" s="5" t="n"/>
      <c r="K481" s="3" t="n"/>
      <c r="L481" s="4" t="n"/>
      <c r="M481" s="5" t="n"/>
      <c r="N481" s="3" t="n"/>
      <c r="O481" s="4" t="n"/>
      <c r="P481" s="5" t="n"/>
      <c r="Q481" s="3" t="n"/>
      <c r="R481" s="4" t="n"/>
      <c r="S481" s="5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6">
        <f>IF(C481=0,0,IF(E481="",B481*D481/100,E481))</f>
        <v/>
      </c>
      <c r="AE481" s="6">
        <f>IF(F481=0,0,IF(H481="",B481*G481/100,H481))</f>
        <v/>
      </c>
      <c r="AF481" s="6">
        <f>IF(I481=0,0,IF(K481="",B481*J481/100,K481))</f>
        <v/>
      </c>
      <c r="AG481" s="6">
        <f>IF(L481=0,0,IF(N481="",B481*M481/100,N481))</f>
        <v/>
      </c>
      <c r="AH481" s="6">
        <f>IF(O481=0,0,IF(Q481="",B481*P481/100,Q481))</f>
        <v/>
      </c>
      <c r="AI481" s="6">
        <f>IF(R481=0,0,IF(T481="",B481*S481/100,T481))</f>
        <v/>
      </c>
      <c r="AJ481" s="6">
        <f>B481*0.035</f>
        <v/>
      </c>
      <c r="AK481" s="6">
        <f>B481*0.065</f>
        <v/>
      </c>
      <c r="AL481" s="6">
        <f>SUM(B481,AD481,AE481,AF481,AG481,AH481,AI481,U481,V481,AJ481,AK481)</f>
        <v/>
      </c>
      <c r="AM481" s="6">
        <f>B481*0.055</f>
        <v/>
      </c>
      <c r="AN481" s="6">
        <f>B481*0.035</f>
        <v/>
      </c>
      <c r="AO481" s="6">
        <f>B481*0.165</f>
        <v/>
      </c>
      <c r="AP481" s="6">
        <f>MAX(0,AL481-AM481-AO481)</f>
        <v/>
      </c>
      <c r="AQ481" s="6">
        <f>IF(AP481&lt;=490,0,IF(AP481&lt;=600,(AP481-490)*0.05,IF(AP481&lt;=730,5.5+(AP481-600)*0.10,IF(AP481&lt;=3896.67,18.5+(AP481-730)*0.175,IF(AP481&lt;=19896.67,572.67+(AP481-3896.67)*0.25,IF(AP481&lt;=50416.67,4572.67+(AP481-19896.67)*0.30,13728.67+(AP481-50416.67)*0.35))))))</f>
        <v/>
      </c>
      <c r="AR481" s="6">
        <f>SUM(AM481,AQ481,W481,X481,Y481,Z481,AA481,AN481,AO481)</f>
        <v/>
      </c>
      <c r="AS481" s="6">
        <f>AL481-AR481</f>
        <v/>
      </c>
      <c r="AT481" s="6">
        <f>AB481-AC481</f>
        <v/>
      </c>
    </row>
    <row r="482">
      <c r="A482" s="2" t="n"/>
      <c r="B482" s="3" t="n"/>
      <c r="C482" s="4" t="n"/>
      <c r="D482" s="5" t="n"/>
      <c r="E482" s="3" t="n"/>
      <c r="F482" s="4" t="n"/>
      <c r="G482" s="5" t="n"/>
      <c r="H482" s="3" t="n"/>
      <c r="I482" s="4" t="n"/>
      <c r="J482" s="5" t="n"/>
      <c r="K482" s="3" t="n"/>
      <c r="L482" s="4" t="n"/>
      <c r="M482" s="5" t="n"/>
      <c r="N482" s="3" t="n"/>
      <c r="O482" s="4" t="n"/>
      <c r="P482" s="5" t="n"/>
      <c r="Q482" s="3" t="n"/>
      <c r="R482" s="4" t="n"/>
      <c r="S482" s="5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6">
        <f>IF(C482=0,0,IF(E482="",B482*D482/100,E482))</f>
        <v/>
      </c>
      <c r="AE482" s="6">
        <f>IF(F482=0,0,IF(H482="",B482*G482/100,H482))</f>
        <v/>
      </c>
      <c r="AF482" s="6">
        <f>IF(I482=0,0,IF(K482="",B482*J482/100,K482))</f>
        <v/>
      </c>
      <c r="AG482" s="6">
        <f>IF(L482=0,0,IF(N482="",B482*M482/100,N482))</f>
        <v/>
      </c>
      <c r="AH482" s="6">
        <f>IF(O482=0,0,IF(Q482="",B482*P482/100,Q482))</f>
        <v/>
      </c>
      <c r="AI482" s="6">
        <f>IF(R482=0,0,IF(T482="",B482*S482/100,T482))</f>
        <v/>
      </c>
      <c r="AJ482" s="6">
        <f>B482*0.035</f>
        <v/>
      </c>
      <c r="AK482" s="6">
        <f>B482*0.065</f>
        <v/>
      </c>
      <c r="AL482" s="6">
        <f>SUM(B482,AD482,AE482,AF482,AG482,AH482,AI482,U482,V482,AJ482,AK482)</f>
        <v/>
      </c>
      <c r="AM482" s="6">
        <f>B482*0.055</f>
        <v/>
      </c>
      <c r="AN482" s="6">
        <f>B482*0.035</f>
        <v/>
      </c>
      <c r="AO482" s="6">
        <f>B482*0.165</f>
        <v/>
      </c>
      <c r="AP482" s="6">
        <f>MAX(0,AL482-AM482-AO482)</f>
        <v/>
      </c>
      <c r="AQ482" s="6">
        <f>IF(AP482&lt;=490,0,IF(AP482&lt;=600,(AP482-490)*0.05,IF(AP482&lt;=730,5.5+(AP482-600)*0.10,IF(AP482&lt;=3896.67,18.5+(AP482-730)*0.175,IF(AP482&lt;=19896.67,572.67+(AP482-3896.67)*0.25,IF(AP482&lt;=50416.67,4572.67+(AP482-19896.67)*0.30,13728.67+(AP482-50416.67)*0.35))))))</f>
        <v/>
      </c>
      <c r="AR482" s="6">
        <f>SUM(AM482,AQ482,W482,X482,Y482,Z482,AA482,AN482,AO482)</f>
        <v/>
      </c>
      <c r="AS482" s="6">
        <f>AL482-AR482</f>
        <v/>
      </c>
      <c r="AT482" s="6">
        <f>AB482-AC482</f>
        <v/>
      </c>
    </row>
    <row r="483">
      <c r="A483" s="2" t="n"/>
      <c r="B483" s="3" t="n"/>
      <c r="C483" s="4" t="n"/>
      <c r="D483" s="5" t="n"/>
      <c r="E483" s="3" t="n"/>
      <c r="F483" s="4" t="n"/>
      <c r="G483" s="5" t="n"/>
      <c r="H483" s="3" t="n"/>
      <c r="I483" s="4" t="n"/>
      <c r="J483" s="5" t="n"/>
      <c r="K483" s="3" t="n"/>
      <c r="L483" s="4" t="n"/>
      <c r="M483" s="5" t="n"/>
      <c r="N483" s="3" t="n"/>
      <c r="O483" s="4" t="n"/>
      <c r="P483" s="5" t="n"/>
      <c r="Q483" s="3" t="n"/>
      <c r="R483" s="4" t="n"/>
      <c r="S483" s="5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6">
        <f>IF(C483=0,0,IF(E483="",B483*D483/100,E483))</f>
        <v/>
      </c>
      <c r="AE483" s="6">
        <f>IF(F483=0,0,IF(H483="",B483*G483/100,H483))</f>
        <v/>
      </c>
      <c r="AF483" s="6">
        <f>IF(I483=0,0,IF(K483="",B483*J483/100,K483))</f>
        <v/>
      </c>
      <c r="AG483" s="6">
        <f>IF(L483=0,0,IF(N483="",B483*M483/100,N483))</f>
        <v/>
      </c>
      <c r="AH483" s="6">
        <f>IF(O483=0,0,IF(Q483="",B483*P483/100,Q483))</f>
        <v/>
      </c>
      <c r="AI483" s="6">
        <f>IF(R483=0,0,IF(T483="",B483*S483/100,T483))</f>
        <v/>
      </c>
      <c r="AJ483" s="6">
        <f>B483*0.035</f>
        <v/>
      </c>
      <c r="AK483" s="6">
        <f>B483*0.065</f>
        <v/>
      </c>
      <c r="AL483" s="6">
        <f>SUM(B483,AD483,AE483,AF483,AG483,AH483,AI483,U483,V483,AJ483,AK483)</f>
        <v/>
      </c>
      <c r="AM483" s="6">
        <f>B483*0.055</f>
        <v/>
      </c>
      <c r="AN483" s="6">
        <f>B483*0.035</f>
        <v/>
      </c>
      <c r="AO483" s="6">
        <f>B483*0.165</f>
        <v/>
      </c>
      <c r="AP483" s="6">
        <f>MAX(0,AL483-AM483-AO483)</f>
        <v/>
      </c>
      <c r="AQ483" s="6">
        <f>IF(AP483&lt;=490,0,IF(AP483&lt;=600,(AP483-490)*0.05,IF(AP483&lt;=730,5.5+(AP483-600)*0.10,IF(AP483&lt;=3896.67,18.5+(AP483-730)*0.175,IF(AP483&lt;=19896.67,572.67+(AP483-3896.67)*0.25,IF(AP483&lt;=50416.67,4572.67+(AP483-19896.67)*0.30,13728.67+(AP483-50416.67)*0.35))))))</f>
        <v/>
      </c>
      <c r="AR483" s="6">
        <f>SUM(AM483,AQ483,W483,X483,Y483,Z483,AA483,AN483,AO483)</f>
        <v/>
      </c>
      <c r="AS483" s="6">
        <f>AL483-AR483</f>
        <v/>
      </c>
      <c r="AT483" s="6">
        <f>AB483-AC483</f>
        <v/>
      </c>
    </row>
    <row r="484">
      <c r="A484" s="2" t="n"/>
      <c r="B484" s="3" t="n"/>
      <c r="C484" s="4" t="n"/>
      <c r="D484" s="5" t="n"/>
      <c r="E484" s="3" t="n"/>
      <c r="F484" s="4" t="n"/>
      <c r="G484" s="5" t="n"/>
      <c r="H484" s="3" t="n"/>
      <c r="I484" s="4" t="n"/>
      <c r="J484" s="5" t="n"/>
      <c r="K484" s="3" t="n"/>
      <c r="L484" s="4" t="n"/>
      <c r="M484" s="5" t="n"/>
      <c r="N484" s="3" t="n"/>
      <c r="O484" s="4" t="n"/>
      <c r="P484" s="5" t="n"/>
      <c r="Q484" s="3" t="n"/>
      <c r="R484" s="4" t="n"/>
      <c r="S484" s="5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6">
        <f>IF(C484=0,0,IF(E484="",B484*D484/100,E484))</f>
        <v/>
      </c>
      <c r="AE484" s="6">
        <f>IF(F484=0,0,IF(H484="",B484*G484/100,H484))</f>
        <v/>
      </c>
      <c r="AF484" s="6">
        <f>IF(I484=0,0,IF(K484="",B484*J484/100,K484))</f>
        <v/>
      </c>
      <c r="AG484" s="6">
        <f>IF(L484=0,0,IF(N484="",B484*M484/100,N484))</f>
        <v/>
      </c>
      <c r="AH484" s="6">
        <f>IF(O484=0,0,IF(Q484="",B484*P484/100,Q484))</f>
        <v/>
      </c>
      <c r="AI484" s="6">
        <f>IF(R484=0,0,IF(T484="",B484*S484/100,T484))</f>
        <v/>
      </c>
      <c r="AJ484" s="6">
        <f>B484*0.035</f>
        <v/>
      </c>
      <c r="AK484" s="6">
        <f>B484*0.065</f>
        <v/>
      </c>
      <c r="AL484" s="6">
        <f>SUM(B484,AD484,AE484,AF484,AG484,AH484,AI484,U484,V484,AJ484,AK484)</f>
        <v/>
      </c>
      <c r="AM484" s="6">
        <f>B484*0.055</f>
        <v/>
      </c>
      <c r="AN484" s="6">
        <f>B484*0.035</f>
        <v/>
      </c>
      <c r="AO484" s="6">
        <f>B484*0.165</f>
        <v/>
      </c>
      <c r="AP484" s="6">
        <f>MAX(0,AL484-AM484-AO484)</f>
        <v/>
      </c>
      <c r="AQ484" s="6">
        <f>IF(AP484&lt;=490,0,IF(AP484&lt;=600,(AP484-490)*0.05,IF(AP484&lt;=730,5.5+(AP484-600)*0.10,IF(AP484&lt;=3896.67,18.5+(AP484-730)*0.175,IF(AP484&lt;=19896.67,572.67+(AP484-3896.67)*0.25,IF(AP484&lt;=50416.67,4572.67+(AP484-19896.67)*0.30,13728.67+(AP484-50416.67)*0.35))))))</f>
        <v/>
      </c>
      <c r="AR484" s="6">
        <f>SUM(AM484,AQ484,W484,X484,Y484,Z484,AA484,AN484,AO484)</f>
        <v/>
      </c>
      <c r="AS484" s="6">
        <f>AL484-AR484</f>
        <v/>
      </c>
      <c r="AT484" s="6">
        <f>AB484-AC484</f>
        <v/>
      </c>
    </row>
    <row r="485">
      <c r="A485" s="2" t="n"/>
      <c r="B485" s="3" t="n"/>
      <c r="C485" s="4" t="n"/>
      <c r="D485" s="5" t="n"/>
      <c r="E485" s="3" t="n"/>
      <c r="F485" s="4" t="n"/>
      <c r="G485" s="5" t="n"/>
      <c r="H485" s="3" t="n"/>
      <c r="I485" s="4" t="n"/>
      <c r="J485" s="5" t="n"/>
      <c r="K485" s="3" t="n"/>
      <c r="L485" s="4" t="n"/>
      <c r="M485" s="5" t="n"/>
      <c r="N485" s="3" t="n"/>
      <c r="O485" s="4" t="n"/>
      <c r="P485" s="5" t="n"/>
      <c r="Q485" s="3" t="n"/>
      <c r="R485" s="4" t="n"/>
      <c r="S485" s="5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6">
        <f>IF(C485=0,0,IF(E485="",B485*D485/100,E485))</f>
        <v/>
      </c>
      <c r="AE485" s="6">
        <f>IF(F485=0,0,IF(H485="",B485*G485/100,H485))</f>
        <v/>
      </c>
      <c r="AF485" s="6">
        <f>IF(I485=0,0,IF(K485="",B485*J485/100,K485))</f>
        <v/>
      </c>
      <c r="AG485" s="6">
        <f>IF(L485=0,0,IF(N485="",B485*M485/100,N485))</f>
        <v/>
      </c>
      <c r="AH485" s="6">
        <f>IF(O485=0,0,IF(Q485="",B485*P485/100,Q485))</f>
        <v/>
      </c>
      <c r="AI485" s="6">
        <f>IF(R485=0,0,IF(T485="",B485*S485/100,T485))</f>
        <v/>
      </c>
      <c r="AJ485" s="6">
        <f>B485*0.035</f>
        <v/>
      </c>
      <c r="AK485" s="6">
        <f>B485*0.065</f>
        <v/>
      </c>
      <c r="AL485" s="6">
        <f>SUM(B485,AD485,AE485,AF485,AG485,AH485,AI485,U485,V485,AJ485,AK485)</f>
        <v/>
      </c>
      <c r="AM485" s="6">
        <f>B485*0.055</f>
        <v/>
      </c>
      <c r="AN485" s="6">
        <f>B485*0.035</f>
        <v/>
      </c>
      <c r="AO485" s="6">
        <f>B485*0.165</f>
        <v/>
      </c>
      <c r="AP485" s="6">
        <f>MAX(0,AL485-AM485-AO485)</f>
        <v/>
      </c>
      <c r="AQ485" s="6">
        <f>IF(AP485&lt;=490,0,IF(AP485&lt;=600,(AP485-490)*0.05,IF(AP485&lt;=730,5.5+(AP485-600)*0.10,IF(AP485&lt;=3896.67,18.5+(AP485-730)*0.175,IF(AP485&lt;=19896.67,572.67+(AP485-3896.67)*0.25,IF(AP485&lt;=50416.67,4572.67+(AP485-19896.67)*0.30,13728.67+(AP485-50416.67)*0.35))))))</f>
        <v/>
      </c>
      <c r="AR485" s="6">
        <f>SUM(AM485,AQ485,W485,X485,Y485,Z485,AA485,AN485,AO485)</f>
        <v/>
      </c>
      <c r="AS485" s="6">
        <f>AL485-AR485</f>
        <v/>
      </c>
      <c r="AT485" s="6">
        <f>AB485-AC485</f>
        <v/>
      </c>
    </row>
    <row r="486">
      <c r="A486" s="2" t="n"/>
      <c r="B486" s="3" t="n"/>
      <c r="C486" s="4" t="n"/>
      <c r="D486" s="5" t="n"/>
      <c r="E486" s="3" t="n"/>
      <c r="F486" s="4" t="n"/>
      <c r="G486" s="5" t="n"/>
      <c r="H486" s="3" t="n"/>
      <c r="I486" s="4" t="n"/>
      <c r="J486" s="5" t="n"/>
      <c r="K486" s="3" t="n"/>
      <c r="L486" s="4" t="n"/>
      <c r="M486" s="5" t="n"/>
      <c r="N486" s="3" t="n"/>
      <c r="O486" s="4" t="n"/>
      <c r="P486" s="5" t="n"/>
      <c r="Q486" s="3" t="n"/>
      <c r="R486" s="4" t="n"/>
      <c r="S486" s="5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6">
        <f>IF(C486=0,0,IF(E486="",B486*D486/100,E486))</f>
        <v/>
      </c>
      <c r="AE486" s="6">
        <f>IF(F486=0,0,IF(H486="",B486*G486/100,H486))</f>
        <v/>
      </c>
      <c r="AF486" s="6">
        <f>IF(I486=0,0,IF(K486="",B486*J486/100,K486))</f>
        <v/>
      </c>
      <c r="AG486" s="6">
        <f>IF(L486=0,0,IF(N486="",B486*M486/100,N486))</f>
        <v/>
      </c>
      <c r="AH486" s="6">
        <f>IF(O486=0,0,IF(Q486="",B486*P486/100,Q486))</f>
        <v/>
      </c>
      <c r="AI486" s="6">
        <f>IF(R486=0,0,IF(T486="",B486*S486/100,T486))</f>
        <v/>
      </c>
      <c r="AJ486" s="6">
        <f>B486*0.035</f>
        <v/>
      </c>
      <c r="AK486" s="6">
        <f>B486*0.065</f>
        <v/>
      </c>
      <c r="AL486" s="6">
        <f>SUM(B486,AD486,AE486,AF486,AG486,AH486,AI486,U486,V486,AJ486,AK486)</f>
        <v/>
      </c>
      <c r="AM486" s="6">
        <f>B486*0.055</f>
        <v/>
      </c>
      <c r="AN486" s="6">
        <f>B486*0.035</f>
        <v/>
      </c>
      <c r="AO486" s="6">
        <f>B486*0.165</f>
        <v/>
      </c>
      <c r="AP486" s="6">
        <f>MAX(0,AL486-AM486-AO486)</f>
        <v/>
      </c>
      <c r="AQ486" s="6">
        <f>IF(AP486&lt;=490,0,IF(AP486&lt;=600,(AP486-490)*0.05,IF(AP486&lt;=730,5.5+(AP486-600)*0.10,IF(AP486&lt;=3896.67,18.5+(AP486-730)*0.175,IF(AP486&lt;=19896.67,572.67+(AP486-3896.67)*0.25,IF(AP486&lt;=50416.67,4572.67+(AP486-19896.67)*0.30,13728.67+(AP486-50416.67)*0.35))))))</f>
        <v/>
      </c>
      <c r="AR486" s="6">
        <f>SUM(AM486,AQ486,W486,X486,Y486,Z486,AA486,AN486,AO486)</f>
        <v/>
      </c>
      <c r="AS486" s="6">
        <f>AL486-AR486</f>
        <v/>
      </c>
      <c r="AT486" s="6">
        <f>AB486-AC486</f>
        <v/>
      </c>
    </row>
    <row r="487">
      <c r="A487" s="2" t="n"/>
      <c r="B487" s="3" t="n"/>
      <c r="C487" s="4" t="n"/>
      <c r="D487" s="5" t="n"/>
      <c r="E487" s="3" t="n"/>
      <c r="F487" s="4" t="n"/>
      <c r="G487" s="5" t="n"/>
      <c r="H487" s="3" t="n"/>
      <c r="I487" s="4" t="n"/>
      <c r="J487" s="5" t="n"/>
      <c r="K487" s="3" t="n"/>
      <c r="L487" s="4" t="n"/>
      <c r="M487" s="5" t="n"/>
      <c r="N487" s="3" t="n"/>
      <c r="O487" s="4" t="n"/>
      <c r="P487" s="5" t="n"/>
      <c r="Q487" s="3" t="n"/>
      <c r="R487" s="4" t="n"/>
      <c r="S487" s="5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6">
        <f>IF(C487=0,0,IF(E487="",B487*D487/100,E487))</f>
        <v/>
      </c>
      <c r="AE487" s="6">
        <f>IF(F487=0,0,IF(H487="",B487*G487/100,H487))</f>
        <v/>
      </c>
      <c r="AF487" s="6">
        <f>IF(I487=0,0,IF(K487="",B487*J487/100,K487))</f>
        <v/>
      </c>
      <c r="AG487" s="6">
        <f>IF(L487=0,0,IF(N487="",B487*M487/100,N487))</f>
        <v/>
      </c>
      <c r="AH487" s="6">
        <f>IF(O487=0,0,IF(Q487="",B487*P487/100,Q487))</f>
        <v/>
      </c>
      <c r="AI487" s="6">
        <f>IF(R487=0,0,IF(T487="",B487*S487/100,T487))</f>
        <v/>
      </c>
      <c r="AJ487" s="6">
        <f>B487*0.035</f>
        <v/>
      </c>
      <c r="AK487" s="6">
        <f>B487*0.065</f>
        <v/>
      </c>
      <c r="AL487" s="6">
        <f>SUM(B487,AD487,AE487,AF487,AG487,AH487,AI487,U487,V487,AJ487,AK487)</f>
        <v/>
      </c>
      <c r="AM487" s="6">
        <f>B487*0.055</f>
        <v/>
      </c>
      <c r="AN487" s="6">
        <f>B487*0.035</f>
        <v/>
      </c>
      <c r="AO487" s="6">
        <f>B487*0.165</f>
        <v/>
      </c>
      <c r="AP487" s="6">
        <f>MAX(0,AL487-AM487-AO487)</f>
        <v/>
      </c>
      <c r="AQ487" s="6">
        <f>IF(AP487&lt;=490,0,IF(AP487&lt;=600,(AP487-490)*0.05,IF(AP487&lt;=730,5.5+(AP487-600)*0.10,IF(AP487&lt;=3896.67,18.5+(AP487-730)*0.175,IF(AP487&lt;=19896.67,572.67+(AP487-3896.67)*0.25,IF(AP487&lt;=50416.67,4572.67+(AP487-19896.67)*0.30,13728.67+(AP487-50416.67)*0.35))))))</f>
        <v/>
      </c>
      <c r="AR487" s="6">
        <f>SUM(AM487,AQ487,W487,X487,Y487,Z487,AA487,AN487,AO487)</f>
        <v/>
      </c>
      <c r="AS487" s="6">
        <f>AL487-AR487</f>
        <v/>
      </c>
      <c r="AT487" s="6">
        <f>AB487-AC487</f>
        <v/>
      </c>
    </row>
    <row r="488">
      <c r="A488" s="2" t="n"/>
      <c r="B488" s="3" t="n"/>
      <c r="C488" s="4" t="n"/>
      <c r="D488" s="5" t="n"/>
      <c r="E488" s="3" t="n"/>
      <c r="F488" s="4" t="n"/>
      <c r="G488" s="5" t="n"/>
      <c r="H488" s="3" t="n"/>
      <c r="I488" s="4" t="n"/>
      <c r="J488" s="5" t="n"/>
      <c r="K488" s="3" t="n"/>
      <c r="L488" s="4" t="n"/>
      <c r="M488" s="5" t="n"/>
      <c r="N488" s="3" t="n"/>
      <c r="O488" s="4" t="n"/>
      <c r="P488" s="5" t="n"/>
      <c r="Q488" s="3" t="n"/>
      <c r="R488" s="4" t="n"/>
      <c r="S488" s="5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6">
        <f>IF(C488=0,0,IF(E488="",B488*D488/100,E488))</f>
        <v/>
      </c>
      <c r="AE488" s="6">
        <f>IF(F488=0,0,IF(H488="",B488*G488/100,H488))</f>
        <v/>
      </c>
      <c r="AF488" s="6">
        <f>IF(I488=0,0,IF(K488="",B488*J488/100,K488))</f>
        <v/>
      </c>
      <c r="AG488" s="6">
        <f>IF(L488=0,0,IF(N488="",B488*M488/100,N488))</f>
        <v/>
      </c>
      <c r="AH488" s="6">
        <f>IF(O488=0,0,IF(Q488="",B488*P488/100,Q488))</f>
        <v/>
      </c>
      <c r="AI488" s="6">
        <f>IF(R488=0,0,IF(T488="",B488*S488/100,T488))</f>
        <v/>
      </c>
      <c r="AJ488" s="6">
        <f>B488*0.035</f>
        <v/>
      </c>
      <c r="AK488" s="6">
        <f>B488*0.065</f>
        <v/>
      </c>
      <c r="AL488" s="6">
        <f>SUM(B488,AD488,AE488,AF488,AG488,AH488,AI488,U488,V488,AJ488,AK488)</f>
        <v/>
      </c>
      <c r="AM488" s="6">
        <f>B488*0.055</f>
        <v/>
      </c>
      <c r="AN488" s="6">
        <f>B488*0.035</f>
        <v/>
      </c>
      <c r="AO488" s="6">
        <f>B488*0.165</f>
        <v/>
      </c>
      <c r="AP488" s="6">
        <f>MAX(0,AL488-AM488-AO488)</f>
        <v/>
      </c>
      <c r="AQ488" s="6">
        <f>IF(AP488&lt;=490,0,IF(AP488&lt;=600,(AP488-490)*0.05,IF(AP488&lt;=730,5.5+(AP488-600)*0.10,IF(AP488&lt;=3896.67,18.5+(AP488-730)*0.175,IF(AP488&lt;=19896.67,572.67+(AP488-3896.67)*0.25,IF(AP488&lt;=50416.67,4572.67+(AP488-19896.67)*0.30,13728.67+(AP488-50416.67)*0.35))))))</f>
        <v/>
      </c>
      <c r="AR488" s="6">
        <f>SUM(AM488,AQ488,W488,X488,Y488,Z488,AA488,AN488,AO488)</f>
        <v/>
      </c>
      <c r="AS488" s="6">
        <f>AL488-AR488</f>
        <v/>
      </c>
      <c r="AT488" s="6">
        <f>AB488-AC488</f>
        <v/>
      </c>
    </row>
    <row r="489">
      <c r="A489" s="2" t="n"/>
      <c r="B489" s="3" t="n"/>
      <c r="C489" s="4" t="n"/>
      <c r="D489" s="5" t="n"/>
      <c r="E489" s="3" t="n"/>
      <c r="F489" s="4" t="n"/>
      <c r="G489" s="5" t="n"/>
      <c r="H489" s="3" t="n"/>
      <c r="I489" s="4" t="n"/>
      <c r="J489" s="5" t="n"/>
      <c r="K489" s="3" t="n"/>
      <c r="L489" s="4" t="n"/>
      <c r="M489" s="5" t="n"/>
      <c r="N489" s="3" t="n"/>
      <c r="O489" s="4" t="n"/>
      <c r="P489" s="5" t="n"/>
      <c r="Q489" s="3" t="n"/>
      <c r="R489" s="4" t="n"/>
      <c r="S489" s="5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6">
        <f>IF(C489=0,0,IF(E489="",B489*D489/100,E489))</f>
        <v/>
      </c>
      <c r="AE489" s="6">
        <f>IF(F489=0,0,IF(H489="",B489*G489/100,H489))</f>
        <v/>
      </c>
      <c r="AF489" s="6">
        <f>IF(I489=0,0,IF(K489="",B489*J489/100,K489))</f>
        <v/>
      </c>
      <c r="AG489" s="6">
        <f>IF(L489=0,0,IF(N489="",B489*M489/100,N489))</f>
        <v/>
      </c>
      <c r="AH489" s="6">
        <f>IF(O489=0,0,IF(Q489="",B489*P489/100,Q489))</f>
        <v/>
      </c>
      <c r="AI489" s="6">
        <f>IF(R489=0,0,IF(T489="",B489*S489/100,T489))</f>
        <v/>
      </c>
      <c r="AJ489" s="6">
        <f>B489*0.035</f>
        <v/>
      </c>
      <c r="AK489" s="6">
        <f>B489*0.065</f>
        <v/>
      </c>
      <c r="AL489" s="6">
        <f>SUM(B489,AD489,AE489,AF489,AG489,AH489,AI489,U489,V489,AJ489,AK489)</f>
        <v/>
      </c>
      <c r="AM489" s="6">
        <f>B489*0.055</f>
        <v/>
      </c>
      <c r="AN489" s="6">
        <f>B489*0.035</f>
        <v/>
      </c>
      <c r="AO489" s="6">
        <f>B489*0.165</f>
        <v/>
      </c>
      <c r="AP489" s="6">
        <f>MAX(0,AL489-AM489-AO489)</f>
        <v/>
      </c>
      <c r="AQ489" s="6">
        <f>IF(AP489&lt;=490,0,IF(AP489&lt;=600,(AP489-490)*0.05,IF(AP489&lt;=730,5.5+(AP489-600)*0.10,IF(AP489&lt;=3896.67,18.5+(AP489-730)*0.175,IF(AP489&lt;=19896.67,572.67+(AP489-3896.67)*0.25,IF(AP489&lt;=50416.67,4572.67+(AP489-19896.67)*0.30,13728.67+(AP489-50416.67)*0.35))))))</f>
        <v/>
      </c>
      <c r="AR489" s="6">
        <f>SUM(AM489,AQ489,W489,X489,Y489,Z489,AA489,AN489,AO489)</f>
        <v/>
      </c>
      <c r="AS489" s="6">
        <f>AL489-AR489</f>
        <v/>
      </c>
      <c r="AT489" s="6">
        <f>AB489-AC489</f>
        <v/>
      </c>
    </row>
    <row r="490">
      <c r="A490" s="2" t="n"/>
      <c r="B490" s="3" t="n"/>
      <c r="C490" s="4" t="n"/>
      <c r="D490" s="5" t="n"/>
      <c r="E490" s="3" t="n"/>
      <c r="F490" s="4" t="n"/>
      <c r="G490" s="5" t="n"/>
      <c r="H490" s="3" t="n"/>
      <c r="I490" s="4" t="n"/>
      <c r="J490" s="5" t="n"/>
      <c r="K490" s="3" t="n"/>
      <c r="L490" s="4" t="n"/>
      <c r="M490" s="5" t="n"/>
      <c r="N490" s="3" t="n"/>
      <c r="O490" s="4" t="n"/>
      <c r="P490" s="5" t="n"/>
      <c r="Q490" s="3" t="n"/>
      <c r="R490" s="4" t="n"/>
      <c r="S490" s="5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6">
        <f>IF(C490=0,0,IF(E490="",B490*D490/100,E490))</f>
        <v/>
      </c>
      <c r="AE490" s="6">
        <f>IF(F490=0,0,IF(H490="",B490*G490/100,H490))</f>
        <v/>
      </c>
      <c r="AF490" s="6">
        <f>IF(I490=0,0,IF(K490="",B490*J490/100,K490))</f>
        <v/>
      </c>
      <c r="AG490" s="6">
        <f>IF(L490=0,0,IF(N490="",B490*M490/100,N490))</f>
        <v/>
      </c>
      <c r="AH490" s="6">
        <f>IF(O490=0,0,IF(Q490="",B490*P490/100,Q490))</f>
        <v/>
      </c>
      <c r="AI490" s="6">
        <f>IF(R490=0,0,IF(T490="",B490*S490/100,T490))</f>
        <v/>
      </c>
      <c r="AJ490" s="6">
        <f>B490*0.035</f>
        <v/>
      </c>
      <c r="AK490" s="6">
        <f>B490*0.065</f>
        <v/>
      </c>
      <c r="AL490" s="6">
        <f>SUM(B490,AD490,AE490,AF490,AG490,AH490,AI490,U490,V490,AJ490,AK490)</f>
        <v/>
      </c>
      <c r="AM490" s="6">
        <f>B490*0.055</f>
        <v/>
      </c>
      <c r="AN490" s="6">
        <f>B490*0.035</f>
        <v/>
      </c>
      <c r="AO490" s="6">
        <f>B490*0.165</f>
        <v/>
      </c>
      <c r="AP490" s="6">
        <f>MAX(0,AL490-AM490-AO490)</f>
        <v/>
      </c>
      <c r="AQ490" s="6">
        <f>IF(AP490&lt;=490,0,IF(AP490&lt;=600,(AP490-490)*0.05,IF(AP490&lt;=730,5.5+(AP490-600)*0.10,IF(AP490&lt;=3896.67,18.5+(AP490-730)*0.175,IF(AP490&lt;=19896.67,572.67+(AP490-3896.67)*0.25,IF(AP490&lt;=50416.67,4572.67+(AP490-19896.67)*0.30,13728.67+(AP490-50416.67)*0.35))))))</f>
        <v/>
      </c>
      <c r="AR490" s="6">
        <f>SUM(AM490,AQ490,W490,X490,Y490,Z490,AA490,AN490,AO490)</f>
        <v/>
      </c>
      <c r="AS490" s="6">
        <f>AL490-AR490</f>
        <v/>
      </c>
      <c r="AT490" s="6">
        <f>AB490-AC490</f>
        <v/>
      </c>
    </row>
    <row r="491">
      <c r="A491" s="2" t="n"/>
      <c r="B491" s="3" t="n"/>
      <c r="C491" s="4" t="n"/>
      <c r="D491" s="5" t="n"/>
      <c r="E491" s="3" t="n"/>
      <c r="F491" s="4" t="n"/>
      <c r="G491" s="5" t="n"/>
      <c r="H491" s="3" t="n"/>
      <c r="I491" s="4" t="n"/>
      <c r="J491" s="5" t="n"/>
      <c r="K491" s="3" t="n"/>
      <c r="L491" s="4" t="n"/>
      <c r="M491" s="5" t="n"/>
      <c r="N491" s="3" t="n"/>
      <c r="O491" s="4" t="n"/>
      <c r="P491" s="5" t="n"/>
      <c r="Q491" s="3" t="n"/>
      <c r="R491" s="4" t="n"/>
      <c r="S491" s="5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6">
        <f>IF(C491=0,0,IF(E491="",B491*D491/100,E491))</f>
        <v/>
      </c>
      <c r="AE491" s="6">
        <f>IF(F491=0,0,IF(H491="",B491*G491/100,H491))</f>
        <v/>
      </c>
      <c r="AF491" s="6">
        <f>IF(I491=0,0,IF(K491="",B491*J491/100,K491))</f>
        <v/>
      </c>
      <c r="AG491" s="6">
        <f>IF(L491=0,0,IF(N491="",B491*M491/100,N491))</f>
        <v/>
      </c>
      <c r="AH491" s="6">
        <f>IF(O491=0,0,IF(Q491="",B491*P491/100,Q491))</f>
        <v/>
      </c>
      <c r="AI491" s="6">
        <f>IF(R491=0,0,IF(T491="",B491*S491/100,T491))</f>
        <v/>
      </c>
      <c r="AJ491" s="6">
        <f>B491*0.035</f>
        <v/>
      </c>
      <c r="AK491" s="6">
        <f>B491*0.065</f>
        <v/>
      </c>
      <c r="AL491" s="6">
        <f>SUM(B491,AD491,AE491,AF491,AG491,AH491,AI491,U491,V491,AJ491,AK491)</f>
        <v/>
      </c>
      <c r="AM491" s="6">
        <f>B491*0.055</f>
        <v/>
      </c>
      <c r="AN491" s="6">
        <f>B491*0.035</f>
        <v/>
      </c>
      <c r="AO491" s="6">
        <f>B491*0.165</f>
        <v/>
      </c>
      <c r="AP491" s="6">
        <f>MAX(0,AL491-AM491-AO491)</f>
        <v/>
      </c>
      <c r="AQ491" s="6">
        <f>IF(AP491&lt;=490,0,IF(AP491&lt;=600,(AP491-490)*0.05,IF(AP491&lt;=730,5.5+(AP491-600)*0.10,IF(AP491&lt;=3896.67,18.5+(AP491-730)*0.175,IF(AP491&lt;=19896.67,572.67+(AP491-3896.67)*0.25,IF(AP491&lt;=50416.67,4572.67+(AP491-19896.67)*0.30,13728.67+(AP491-50416.67)*0.35))))))</f>
        <v/>
      </c>
      <c r="AR491" s="6">
        <f>SUM(AM491,AQ491,W491,X491,Y491,Z491,AA491,AN491,AO491)</f>
        <v/>
      </c>
      <c r="AS491" s="6">
        <f>AL491-AR491</f>
        <v/>
      </c>
      <c r="AT491" s="6">
        <f>AB491-AC491</f>
        <v/>
      </c>
    </row>
    <row r="492">
      <c r="A492" s="2" t="n"/>
      <c r="B492" s="3" t="n"/>
      <c r="C492" s="4" t="n"/>
      <c r="D492" s="5" t="n"/>
      <c r="E492" s="3" t="n"/>
      <c r="F492" s="4" t="n"/>
      <c r="G492" s="5" t="n"/>
      <c r="H492" s="3" t="n"/>
      <c r="I492" s="4" t="n"/>
      <c r="J492" s="5" t="n"/>
      <c r="K492" s="3" t="n"/>
      <c r="L492" s="4" t="n"/>
      <c r="M492" s="5" t="n"/>
      <c r="N492" s="3" t="n"/>
      <c r="O492" s="4" t="n"/>
      <c r="P492" s="5" t="n"/>
      <c r="Q492" s="3" t="n"/>
      <c r="R492" s="4" t="n"/>
      <c r="S492" s="5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6">
        <f>IF(C492=0,0,IF(E492="",B492*D492/100,E492))</f>
        <v/>
      </c>
      <c r="AE492" s="6">
        <f>IF(F492=0,0,IF(H492="",B492*G492/100,H492))</f>
        <v/>
      </c>
      <c r="AF492" s="6">
        <f>IF(I492=0,0,IF(K492="",B492*J492/100,K492))</f>
        <v/>
      </c>
      <c r="AG492" s="6">
        <f>IF(L492=0,0,IF(N492="",B492*M492/100,N492))</f>
        <v/>
      </c>
      <c r="AH492" s="6">
        <f>IF(O492=0,0,IF(Q492="",B492*P492/100,Q492))</f>
        <v/>
      </c>
      <c r="AI492" s="6">
        <f>IF(R492=0,0,IF(T492="",B492*S492/100,T492))</f>
        <v/>
      </c>
      <c r="AJ492" s="6">
        <f>B492*0.035</f>
        <v/>
      </c>
      <c r="AK492" s="6">
        <f>B492*0.065</f>
        <v/>
      </c>
      <c r="AL492" s="6">
        <f>SUM(B492,AD492,AE492,AF492,AG492,AH492,AI492,U492,V492,AJ492,AK492)</f>
        <v/>
      </c>
      <c r="AM492" s="6">
        <f>B492*0.055</f>
        <v/>
      </c>
      <c r="AN492" s="6">
        <f>B492*0.035</f>
        <v/>
      </c>
      <c r="AO492" s="6">
        <f>B492*0.165</f>
        <v/>
      </c>
      <c r="AP492" s="6">
        <f>MAX(0,AL492-AM492-AO492)</f>
        <v/>
      </c>
      <c r="AQ492" s="6">
        <f>IF(AP492&lt;=490,0,IF(AP492&lt;=600,(AP492-490)*0.05,IF(AP492&lt;=730,5.5+(AP492-600)*0.10,IF(AP492&lt;=3896.67,18.5+(AP492-730)*0.175,IF(AP492&lt;=19896.67,572.67+(AP492-3896.67)*0.25,IF(AP492&lt;=50416.67,4572.67+(AP492-19896.67)*0.30,13728.67+(AP492-50416.67)*0.35))))))</f>
        <v/>
      </c>
      <c r="AR492" s="6">
        <f>SUM(AM492,AQ492,W492,X492,Y492,Z492,AA492,AN492,AO492)</f>
        <v/>
      </c>
      <c r="AS492" s="6">
        <f>AL492-AR492</f>
        <v/>
      </c>
      <c r="AT492" s="6">
        <f>AB492-AC492</f>
        <v/>
      </c>
    </row>
    <row r="493">
      <c r="A493" s="2" t="n"/>
      <c r="B493" s="3" t="n"/>
      <c r="C493" s="4" t="n"/>
      <c r="D493" s="5" t="n"/>
      <c r="E493" s="3" t="n"/>
      <c r="F493" s="4" t="n"/>
      <c r="G493" s="5" t="n"/>
      <c r="H493" s="3" t="n"/>
      <c r="I493" s="4" t="n"/>
      <c r="J493" s="5" t="n"/>
      <c r="K493" s="3" t="n"/>
      <c r="L493" s="4" t="n"/>
      <c r="M493" s="5" t="n"/>
      <c r="N493" s="3" t="n"/>
      <c r="O493" s="4" t="n"/>
      <c r="P493" s="5" t="n"/>
      <c r="Q493" s="3" t="n"/>
      <c r="R493" s="4" t="n"/>
      <c r="S493" s="5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6">
        <f>IF(C493=0,0,IF(E493="",B493*D493/100,E493))</f>
        <v/>
      </c>
      <c r="AE493" s="6">
        <f>IF(F493=0,0,IF(H493="",B493*G493/100,H493))</f>
        <v/>
      </c>
      <c r="AF493" s="6">
        <f>IF(I493=0,0,IF(K493="",B493*J493/100,K493))</f>
        <v/>
      </c>
      <c r="AG493" s="6">
        <f>IF(L493=0,0,IF(N493="",B493*M493/100,N493))</f>
        <v/>
      </c>
      <c r="AH493" s="6">
        <f>IF(O493=0,0,IF(Q493="",B493*P493/100,Q493))</f>
        <v/>
      </c>
      <c r="AI493" s="6">
        <f>IF(R493=0,0,IF(T493="",B493*S493/100,T493))</f>
        <v/>
      </c>
      <c r="AJ493" s="6">
        <f>B493*0.035</f>
        <v/>
      </c>
      <c r="AK493" s="6">
        <f>B493*0.065</f>
        <v/>
      </c>
      <c r="AL493" s="6">
        <f>SUM(B493,AD493,AE493,AF493,AG493,AH493,AI493,U493,V493,AJ493,AK493)</f>
        <v/>
      </c>
      <c r="AM493" s="6">
        <f>B493*0.055</f>
        <v/>
      </c>
      <c r="AN493" s="6">
        <f>B493*0.035</f>
        <v/>
      </c>
      <c r="AO493" s="6">
        <f>B493*0.165</f>
        <v/>
      </c>
      <c r="AP493" s="6">
        <f>MAX(0,AL493-AM493-AO493)</f>
        <v/>
      </c>
      <c r="AQ493" s="6">
        <f>IF(AP493&lt;=490,0,IF(AP493&lt;=600,(AP493-490)*0.05,IF(AP493&lt;=730,5.5+(AP493-600)*0.10,IF(AP493&lt;=3896.67,18.5+(AP493-730)*0.175,IF(AP493&lt;=19896.67,572.67+(AP493-3896.67)*0.25,IF(AP493&lt;=50416.67,4572.67+(AP493-19896.67)*0.30,13728.67+(AP493-50416.67)*0.35))))))</f>
        <v/>
      </c>
      <c r="AR493" s="6">
        <f>SUM(AM493,AQ493,W493,X493,Y493,Z493,AA493,AN493,AO493)</f>
        <v/>
      </c>
      <c r="AS493" s="6">
        <f>AL493-AR493</f>
        <v/>
      </c>
      <c r="AT493" s="6">
        <f>AB493-AC493</f>
        <v/>
      </c>
    </row>
    <row r="494">
      <c r="A494" s="2" t="n"/>
      <c r="B494" s="3" t="n"/>
      <c r="C494" s="4" t="n"/>
      <c r="D494" s="5" t="n"/>
      <c r="E494" s="3" t="n"/>
      <c r="F494" s="4" t="n"/>
      <c r="G494" s="5" t="n"/>
      <c r="H494" s="3" t="n"/>
      <c r="I494" s="4" t="n"/>
      <c r="J494" s="5" t="n"/>
      <c r="K494" s="3" t="n"/>
      <c r="L494" s="4" t="n"/>
      <c r="M494" s="5" t="n"/>
      <c r="N494" s="3" t="n"/>
      <c r="O494" s="4" t="n"/>
      <c r="P494" s="5" t="n"/>
      <c r="Q494" s="3" t="n"/>
      <c r="R494" s="4" t="n"/>
      <c r="S494" s="5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6">
        <f>IF(C494=0,0,IF(E494="",B494*D494/100,E494))</f>
        <v/>
      </c>
      <c r="AE494" s="6">
        <f>IF(F494=0,0,IF(H494="",B494*G494/100,H494))</f>
        <v/>
      </c>
      <c r="AF494" s="6">
        <f>IF(I494=0,0,IF(K494="",B494*J494/100,K494))</f>
        <v/>
      </c>
      <c r="AG494" s="6">
        <f>IF(L494=0,0,IF(N494="",B494*M494/100,N494))</f>
        <v/>
      </c>
      <c r="AH494" s="6">
        <f>IF(O494=0,0,IF(Q494="",B494*P494/100,Q494))</f>
        <v/>
      </c>
      <c r="AI494" s="6">
        <f>IF(R494=0,0,IF(T494="",B494*S494/100,T494))</f>
        <v/>
      </c>
      <c r="AJ494" s="6">
        <f>B494*0.035</f>
        <v/>
      </c>
      <c r="AK494" s="6">
        <f>B494*0.065</f>
        <v/>
      </c>
      <c r="AL494" s="6">
        <f>SUM(B494,AD494,AE494,AF494,AG494,AH494,AI494,U494,V494,AJ494,AK494)</f>
        <v/>
      </c>
      <c r="AM494" s="6">
        <f>B494*0.055</f>
        <v/>
      </c>
      <c r="AN494" s="6">
        <f>B494*0.035</f>
        <v/>
      </c>
      <c r="AO494" s="6">
        <f>B494*0.165</f>
        <v/>
      </c>
      <c r="AP494" s="6">
        <f>MAX(0,AL494-AM494-AO494)</f>
        <v/>
      </c>
      <c r="AQ494" s="6">
        <f>IF(AP494&lt;=490,0,IF(AP494&lt;=600,(AP494-490)*0.05,IF(AP494&lt;=730,5.5+(AP494-600)*0.10,IF(AP494&lt;=3896.67,18.5+(AP494-730)*0.175,IF(AP494&lt;=19896.67,572.67+(AP494-3896.67)*0.25,IF(AP494&lt;=50416.67,4572.67+(AP494-19896.67)*0.30,13728.67+(AP494-50416.67)*0.35))))))</f>
        <v/>
      </c>
      <c r="AR494" s="6">
        <f>SUM(AM494,AQ494,W494,X494,Y494,Z494,AA494,AN494,AO494)</f>
        <v/>
      </c>
      <c r="AS494" s="6">
        <f>AL494-AR494</f>
        <v/>
      </c>
      <c r="AT494" s="6">
        <f>AB494-AC494</f>
        <v/>
      </c>
    </row>
    <row r="495">
      <c r="A495" s="2" t="n"/>
      <c r="B495" s="3" t="n"/>
      <c r="C495" s="4" t="n"/>
      <c r="D495" s="5" t="n"/>
      <c r="E495" s="3" t="n"/>
      <c r="F495" s="4" t="n"/>
      <c r="G495" s="5" t="n"/>
      <c r="H495" s="3" t="n"/>
      <c r="I495" s="4" t="n"/>
      <c r="J495" s="5" t="n"/>
      <c r="K495" s="3" t="n"/>
      <c r="L495" s="4" t="n"/>
      <c r="M495" s="5" t="n"/>
      <c r="N495" s="3" t="n"/>
      <c r="O495" s="4" t="n"/>
      <c r="P495" s="5" t="n"/>
      <c r="Q495" s="3" t="n"/>
      <c r="R495" s="4" t="n"/>
      <c r="S495" s="5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6">
        <f>IF(C495=0,0,IF(E495="",B495*D495/100,E495))</f>
        <v/>
      </c>
      <c r="AE495" s="6">
        <f>IF(F495=0,0,IF(H495="",B495*G495/100,H495))</f>
        <v/>
      </c>
      <c r="AF495" s="6">
        <f>IF(I495=0,0,IF(K495="",B495*J495/100,K495))</f>
        <v/>
      </c>
      <c r="AG495" s="6">
        <f>IF(L495=0,0,IF(N495="",B495*M495/100,N495))</f>
        <v/>
      </c>
      <c r="AH495" s="6">
        <f>IF(O495=0,0,IF(Q495="",B495*P495/100,Q495))</f>
        <v/>
      </c>
      <c r="AI495" s="6">
        <f>IF(R495=0,0,IF(T495="",B495*S495/100,T495))</f>
        <v/>
      </c>
      <c r="AJ495" s="6">
        <f>B495*0.035</f>
        <v/>
      </c>
      <c r="AK495" s="6">
        <f>B495*0.065</f>
        <v/>
      </c>
      <c r="AL495" s="6">
        <f>SUM(B495,AD495,AE495,AF495,AG495,AH495,AI495,U495,V495,AJ495,AK495)</f>
        <v/>
      </c>
      <c r="AM495" s="6">
        <f>B495*0.055</f>
        <v/>
      </c>
      <c r="AN495" s="6">
        <f>B495*0.035</f>
        <v/>
      </c>
      <c r="AO495" s="6">
        <f>B495*0.165</f>
        <v/>
      </c>
      <c r="AP495" s="6">
        <f>MAX(0,AL495-AM495-AO495)</f>
        <v/>
      </c>
      <c r="AQ495" s="6">
        <f>IF(AP495&lt;=490,0,IF(AP495&lt;=600,(AP495-490)*0.05,IF(AP495&lt;=730,5.5+(AP495-600)*0.10,IF(AP495&lt;=3896.67,18.5+(AP495-730)*0.175,IF(AP495&lt;=19896.67,572.67+(AP495-3896.67)*0.25,IF(AP495&lt;=50416.67,4572.67+(AP495-19896.67)*0.30,13728.67+(AP495-50416.67)*0.35))))))</f>
        <v/>
      </c>
      <c r="AR495" s="6">
        <f>SUM(AM495,AQ495,W495,X495,Y495,Z495,AA495,AN495,AO495)</f>
        <v/>
      </c>
      <c r="AS495" s="6">
        <f>AL495-AR495</f>
        <v/>
      </c>
      <c r="AT495" s="6">
        <f>AB495-AC495</f>
        <v/>
      </c>
    </row>
    <row r="496">
      <c r="A496" s="2" t="n"/>
      <c r="B496" s="3" t="n"/>
      <c r="C496" s="4" t="n"/>
      <c r="D496" s="5" t="n"/>
      <c r="E496" s="3" t="n"/>
      <c r="F496" s="4" t="n"/>
      <c r="G496" s="5" t="n"/>
      <c r="H496" s="3" t="n"/>
      <c r="I496" s="4" t="n"/>
      <c r="J496" s="5" t="n"/>
      <c r="K496" s="3" t="n"/>
      <c r="L496" s="4" t="n"/>
      <c r="M496" s="5" t="n"/>
      <c r="N496" s="3" t="n"/>
      <c r="O496" s="4" t="n"/>
      <c r="P496" s="5" t="n"/>
      <c r="Q496" s="3" t="n"/>
      <c r="R496" s="4" t="n"/>
      <c r="S496" s="5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6">
        <f>IF(C496=0,0,IF(E496="",B496*D496/100,E496))</f>
        <v/>
      </c>
      <c r="AE496" s="6">
        <f>IF(F496=0,0,IF(H496="",B496*G496/100,H496))</f>
        <v/>
      </c>
      <c r="AF496" s="6">
        <f>IF(I496=0,0,IF(K496="",B496*J496/100,K496))</f>
        <v/>
      </c>
      <c r="AG496" s="6">
        <f>IF(L496=0,0,IF(N496="",B496*M496/100,N496))</f>
        <v/>
      </c>
      <c r="AH496" s="6">
        <f>IF(O496=0,0,IF(Q496="",B496*P496/100,Q496))</f>
        <v/>
      </c>
      <c r="AI496" s="6">
        <f>IF(R496=0,0,IF(T496="",B496*S496/100,T496))</f>
        <v/>
      </c>
      <c r="AJ496" s="6">
        <f>B496*0.035</f>
        <v/>
      </c>
      <c r="AK496" s="6">
        <f>B496*0.065</f>
        <v/>
      </c>
      <c r="AL496" s="6">
        <f>SUM(B496,AD496,AE496,AF496,AG496,AH496,AI496,U496,V496,AJ496,AK496)</f>
        <v/>
      </c>
      <c r="AM496" s="6">
        <f>B496*0.055</f>
        <v/>
      </c>
      <c r="AN496" s="6">
        <f>B496*0.035</f>
        <v/>
      </c>
      <c r="AO496" s="6">
        <f>B496*0.165</f>
        <v/>
      </c>
      <c r="AP496" s="6">
        <f>MAX(0,AL496-AM496-AO496)</f>
        <v/>
      </c>
      <c r="AQ496" s="6">
        <f>IF(AP496&lt;=490,0,IF(AP496&lt;=600,(AP496-490)*0.05,IF(AP496&lt;=730,5.5+(AP496-600)*0.10,IF(AP496&lt;=3896.67,18.5+(AP496-730)*0.175,IF(AP496&lt;=19896.67,572.67+(AP496-3896.67)*0.25,IF(AP496&lt;=50416.67,4572.67+(AP496-19896.67)*0.30,13728.67+(AP496-50416.67)*0.35))))))</f>
        <v/>
      </c>
      <c r="AR496" s="6">
        <f>SUM(AM496,AQ496,W496,X496,Y496,Z496,AA496,AN496,AO496)</f>
        <v/>
      </c>
      <c r="AS496" s="6">
        <f>AL496-AR496</f>
        <v/>
      </c>
      <c r="AT496" s="6">
        <f>AB496-AC496</f>
        <v/>
      </c>
    </row>
    <row r="497">
      <c r="A497" s="2" t="n"/>
      <c r="B497" s="3" t="n"/>
      <c r="C497" s="4" t="n"/>
      <c r="D497" s="5" t="n"/>
      <c r="E497" s="3" t="n"/>
      <c r="F497" s="4" t="n"/>
      <c r="G497" s="5" t="n"/>
      <c r="H497" s="3" t="n"/>
      <c r="I497" s="4" t="n"/>
      <c r="J497" s="5" t="n"/>
      <c r="K497" s="3" t="n"/>
      <c r="L497" s="4" t="n"/>
      <c r="M497" s="5" t="n"/>
      <c r="N497" s="3" t="n"/>
      <c r="O497" s="4" t="n"/>
      <c r="P497" s="5" t="n"/>
      <c r="Q497" s="3" t="n"/>
      <c r="R497" s="4" t="n"/>
      <c r="S497" s="5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6">
        <f>IF(C497=0,0,IF(E497="",B497*D497/100,E497))</f>
        <v/>
      </c>
      <c r="AE497" s="6">
        <f>IF(F497=0,0,IF(H497="",B497*G497/100,H497))</f>
        <v/>
      </c>
      <c r="AF497" s="6">
        <f>IF(I497=0,0,IF(K497="",B497*J497/100,K497))</f>
        <v/>
      </c>
      <c r="AG497" s="6">
        <f>IF(L497=0,0,IF(N497="",B497*M497/100,N497))</f>
        <v/>
      </c>
      <c r="AH497" s="6">
        <f>IF(O497=0,0,IF(Q497="",B497*P497/100,Q497))</f>
        <v/>
      </c>
      <c r="AI497" s="6">
        <f>IF(R497=0,0,IF(T497="",B497*S497/100,T497))</f>
        <v/>
      </c>
      <c r="AJ497" s="6">
        <f>B497*0.035</f>
        <v/>
      </c>
      <c r="AK497" s="6">
        <f>B497*0.065</f>
        <v/>
      </c>
      <c r="AL497" s="6">
        <f>SUM(B497,AD497,AE497,AF497,AG497,AH497,AI497,U497,V497,AJ497,AK497)</f>
        <v/>
      </c>
      <c r="AM497" s="6">
        <f>B497*0.055</f>
        <v/>
      </c>
      <c r="AN497" s="6">
        <f>B497*0.035</f>
        <v/>
      </c>
      <c r="AO497" s="6">
        <f>B497*0.165</f>
        <v/>
      </c>
      <c r="AP497" s="6">
        <f>MAX(0,AL497-AM497-AO497)</f>
        <v/>
      </c>
      <c r="AQ497" s="6">
        <f>IF(AP497&lt;=490,0,IF(AP497&lt;=600,(AP497-490)*0.05,IF(AP497&lt;=730,5.5+(AP497-600)*0.10,IF(AP497&lt;=3896.67,18.5+(AP497-730)*0.175,IF(AP497&lt;=19896.67,572.67+(AP497-3896.67)*0.25,IF(AP497&lt;=50416.67,4572.67+(AP497-19896.67)*0.30,13728.67+(AP497-50416.67)*0.35))))))</f>
        <v/>
      </c>
      <c r="AR497" s="6">
        <f>SUM(AM497,AQ497,W497,X497,Y497,Z497,AA497,AN497,AO497)</f>
        <v/>
      </c>
      <c r="AS497" s="6">
        <f>AL497-AR497</f>
        <v/>
      </c>
      <c r="AT497" s="6">
        <f>AB497-AC497</f>
        <v/>
      </c>
    </row>
    <row r="498">
      <c r="A498" s="2" t="n"/>
      <c r="B498" s="3" t="n"/>
      <c r="C498" s="4" t="n"/>
      <c r="D498" s="5" t="n"/>
      <c r="E498" s="3" t="n"/>
      <c r="F498" s="4" t="n"/>
      <c r="G498" s="5" t="n"/>
      <c r="H498" s="3" t="n"/>
      <c r="I498" s="4" t="n"/>
      <c r="J498" s="5" t="n"/>
      <c r="K498" s="3" t="n"/>
      <c r="L498" s="4" t="n"/>
      <c r="M498" s="5" t="n"/>
      <c r="N498" s="3" t="n"/>
      <c r="O498" s="4" t="n"/>
      <c r="P498" s="5" t="n"/>
      <c r="Q498" s="3" t="n"/>
      <c r="R498" s="4" t="n"/>
      <c r="S498" s="5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6">
        <f>IF(C498=0,0,IF(E498="",B498*D498/100,E498))</f>
        <v/>
      </c>
      <c r="AE498" s="6">
        <f>IF(F498=0,0,IF(H498="",B498*G498/100,H498))</f>
        <v/>
      </c>
      <c r="AF498" s="6">
        <f>IF(I498=0,0,IF(K498="",B498*J498/100,K498))</f>
        <v/>
      </c>
      <c r="AG498" s="6">
        <f>IF(L498=0,0,IF(N498="",B498*M498/100,N498))</f>
        <v/>
      </c>
      <c r="AH498" s="6">
        <f>IF(O498=0,0,IF(Q498="",B498*P498/100,Q498))</f>
        <v/>
      </c>
      <c r="AI498" s="6">
        <f>IF(R498=0,0,IF(T498="",B498*S498/100,T498))</f>
        <v/>
      </c>
      <c r="AJ498" s="6">
        <f>B498*0.035</f>
        <v/>
      </c>
      <c r="AK498" s="6">
        <f>B498*0.065</f>
        <v/>
      </c>
      <c r="AL498" s="6">
        <f>SUM(B498,AD498,AE498,AF498,AG498,AH498,AI498,U498,V498,AJ498,AK498)</f>
        <v/>
      </c>
      <c r="AM498" s="6">
        <f>B498*0.055</f>
        <v/>
      </c>
      <c r="AN498" s="6">
        <f>B498*0.035</f>
        <v/>
      </c>
      <c r="AO498" s="6">
        <f>B498*0.165</f>
        <v/>
      </c>
      <c r="AP498" s="6">
        <f>MAX(0,AL498-AM498-AO498)</f>
        <v/>
      </c>
      <c r="AQ498" s="6">
        <f>IF(AP498&lt;=490,0,IF(AP498&lt;=600,(AP498-490)*0.05,IF(AP498&lt;=730,5.5+(AP498-600)*0.10,IF(AP498&lt;=3896.67,18.5+(AP498-730)*0.175,IF(AP498&lt;=19896.67,572.67+(AP498-3896.67)*0.25,IF(AP498&lt;=50416.67,4572.67+(AP498-19896.67)*0.30,13728.67+(AP498-50416.67)*0.35))))))</f>
        <v/>
      </c>
      <c r="AR498" s="6">
        <f>SUM(AM498,AQ498,W498,X498,Y498,Z498,AA498,AN498,AO498)</f>
        <v/>
      </c>
      <c r="AS498" s="6">
        <f>AL498-AR498</f>
        <v/>
      </c>
      <c r="AT498" s="6">
        <f>AB498-AC498</f>
        <v/>
      </c>
    </row>
    <row r="499">
      <c r="A499" s="2" t="n"/>
      <c r="B499" s="3" t="n"/>
      <c r="C499" s="4" t="n"/>
      <c r="D499" s="5" t="n"/>
      <c r="E499" s="3" t="n"/>
      <c r="F499" s="4" t="n"/>
      <c r="G499" s="5" t="n"/>
      <c r="H499" s="3" t="n"/>
      <c r="I499" s="4" t="n"/>
      <c r="J499" s="5" t="n"/>
      <c r="K499" s="3" t="n"/>
      <c r="L499" s="4" t="n"/>
      <c r="M499" s="5" t="n"/>
      <c r="N499" s="3" t="n"/>
      <c r="O499" s="4" t="n"/>
      <c r="P499" s="5" t="n"/>
      <c r="Q499" s="3" t="n"/>
      <c r="R499" s="4" t="n"/>
      <c r="S499" s="5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6">
        <f>IF(C499=0,0,IF(E499="",B499*D499/100,E499))</f>
        <v/>
      </c>
      <c r="AE499" s="6">
        <f>IF(F499=0,0,IF(H499="",B499*G499/100,H499))</f>
        <v/>
      </c>
      <c r="AF499" s="6">
        <f>IF(I499=0,0,IF(K499="",B499*J499/100,K499))</f>
        <v/>
      </c>
      <c r="AG499" s="6">
        <f>IF(L499=0,0,IF(N499="",B499*M499/100,N499))</f>
        <v/>
      </c>
      <c r="AH499" s="6">
        <f>IF(O499=0,0,IF(Q499="",B499*P499/100,Q499))</f>
        <v/>
      </c>
      <c r="AI499" s="6">
        <f>IF(R499=0,0,IF(T499="",B499*S499/100,T499))</f>
        <v/>
      </c>
      <c r="AJ499" s="6">
        <f>B499*0.035</f>
        <v/>
      </c>
      <c r="AK499" s="6">
        <f>B499*0.065</f>
        <v/>
      </c>
      <c r="AL499" s="6">
        <f>SUM(B499,AD499,AE499,AF499,AG499,AH499,AI499,U499,V499,AJ499,AK499)</f>
        <v/>
      </c>
      <c r="AM499" s="6">
        <f>B499*0.055</f>
        <v/>
      </c>
      <c r="AN499" s="6">
        <f>B499*0.035</f>
        <v/>
      </c>
      <c r="AO499" s="6">
        <f>B499*0.165</f>
        <v/>
      </c>
      <c r="AP499" s="6">
        <f>MAX(0,AL499-AM499-AO499)</f>
        <v/>
      </c>
      <c r="AQ499" s="6">
        <f>IF(AP499&lt;=490,0,IF(AP499&lt;=600,(AP499-490)*0.05,IF(AP499&lt;=730,5.5+(AP499-600)*0.10,IF(AP499&lt;=3896.67,18.5+(AP499-730)*0.175,IF(AP499&lt;=19896.67,572.67+(AP499-3896.67)*0.25,IF(AP499&lt;=50416.67,4572.67+(AP499-19896.67)*0.30,13728.67+(AP499-50416.67)*0.35))))))</f>
        <v/>
      </c>
      <c r="AR499" s="6">
        <f>SUM(AM499,AQ499,W499,X499,Y499,Z499,AA499,AN499,AO499)</f>
        <v/>
      </c>
      <c r="AS499" s="6">
        <f>AL499-AR499</f>
        <v/>
      </c>
      <c r="AT499" s="6">
        <f>AB499-AC499</f>
        <v/>
      </c>
    </row>
    <row r="500">
      <c r="A500" s="2" t="n"/>
      <c r="B500" s="3" t="n"/>
      <c r="C500" s="4" t="n"/>
      <c r="D500" s="5" t="n"/>
      <c r="E500" s="3" t="n"/>
      <c r="F500" s="4" t="n"/>
      <c r="G500" s="5" t="n"/>
      <c r="H500" s="3" t="n"/>
      <c r="I500" s="4" t="n"/>
      <c r="J500" s="5" t="n"/>
      <c r="K500" s="3" t="n"/>
      <c r="L500" s="4" t="n"/>
      <c r="M500" s="5" t="n"/>
      <c r="N500" s="3" t="n"/>
      <c r="O500" s="4" t="n"/>
      <c r="P500" s="5" t="n"/>
      <c r="Q500" s="3" t="n"/>
      <c r="R500" s="4" t="n"/>
      <c r="S500" s="5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6">
        <f>IF(C500=0,0,IF(E500="",B500*D500/100,E500))</f>
        <v/>
      </c>
      <c r="AE500" s="6">
        <f>IF(F500=0,0,IF(H500="",B500*G500/100,H500))</f>
        <v/>
      </c>
      <c r="AF500" s="6">
        <f>IF(I500=0,0,IF(K500="",B500*J500/100,K500))</f>
        <v/>
      </c>
      <c r="AG500" s="6">
        <f>IF(L500=0,0,IF(N500="",B500*M500/100,N500))</f>
        <v/>
      </c>
      <c r="AH500" s="6">
        <f>IF(O500=0,0,IF(Q500="",B500*P500/100,Q500))</f>
        <v/>
      </c>
      <c r="AI500" s="6">
        <f>IF(R500=0,0,IF(T500="",B500*S500/100,T500))</f>
        <v/>
      </c>
      <c r="AJ500" s="6">
        <f>B500*0.035</f>
        <v/>
      </c>
      <c r="AK500" s="6">
        <f>B500*0.065</f>
        <v/>
      </c>
      <c r="AL500" s="6">
        <f>SUM(B500,AD500,AE500,AF500,AG500,AH500,AI500,U500,V500,AJ500,AK500)</f>
        <v/>
      </c>
      <c r="AM500" s="6">
        <f>B500*0.055</f>
        <v/>
      </c>
      <c r="AN500" s="6">
        <f>B500*0.035</f>
        <v/>
      </c>
      <c r="AO500" s="6">
        <f>B500*0.165</f>
        <v/>
      </c>
      <c r="AP500" s="6">
        <f>MAX(0,AL500-AM500-AO500)</f>
        <v/>
      </c>
      <c r="AQ500" s="6">
        <f>IF(AP500&lt;=490,0,IF(AP500&lt;=600,(AP500-490)*0.05,IF(AP500&lt;=730,5.5+(AP500-600)*0.10,IF(AP500&lt;=3896.67,18.5+(AP500-730)*0.175,IF(AP500&lt;=19896.67,572.67+(AP500-3896.67)*0.25,IF(AP500&lt;=50416.67,4572.67+(AP500-19896.67)*0.30,13728.67+(AP500-50416.67)*0.35))))))</f>
        <v/>
      </c>
      <c r="AR500" s="6">
        <f>SUM(AM500,AQ500,W500,X500,Y500,Z500,AA500,AN500,AO500)</f>
        <v/>
      </c>
      <c r="AS500" s="6">
        <f>AL500-AR500</f>
        <v/>
      </c>
      <c r="AT500" s="6">
        <f>AB500-AC500</f>
        <v/>
      </c>
    </row>
    <row r="501">
      <c r="A501" s="2" t="n"/>
      <c r="B501" s="3" t="n"/>
      <c r="C501" s="4" t="n"/>
      <c r="D501" s="5" t="n"/>
      <c r="E501" s="3" t="n"/>
      <c r="F501" s="4" t="n"/>
      <c r="G501" s="5" t="n"/>
      <c r="H501" s="3" t="n"/>
      <c r="I501" s="4" t="n"/>
      <c r="J501" s="5" t="n"/>
      <c r="K501" s="3" t="n"/>
      <c r="L501" s="4" t="n"/>
      <c r="M501" s="5" t="n"/>
      <c r="N501" s="3" t="n"/>
      <c r="O501" s="4" t="n"/>
      <c r="P501" s="5" t="n"/>
      <c r="Q501" s="3" t="n"/>
      <c r="R501" s="4" t="n"/>
      <c r="S501" s="5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6">
        <f>IF(C501=0,0,IF(E501="",B501*D501/100,E501))</f>
        <v/>
      </c>
      <c r="AE501" s="6">
        <f>IF(F501=0,0,IF(H501="",B501*G501/100,H501))</f>
        <v/>
      </c>
      <c r="AF501" s="6">
        <f>IF(I501=0,0,IF(K501="",B501*J501/100,K501))</f>
        <v/>
      </c>
      <c r="AG501" s="6">
        <f>IF(L501=0,0,IF(N501="",B501*M501/100,N501))</f>
        <v/>
      </c>
      <c r="AH501" s="6">
        <f>IF(O501=0,0,IF(Q501="",B501*P501/100,Q501))</f>
        <v/>
      </c>
      <c r="AI501" s="6">
        <f>IF(R501=0,0,IF(T501="",B501*S501/100,T501))</f>
        <v/>
      </c>
      <c r="AJ501" s="6">
        <f>B501*0.035</f>
        <v/>
      </c>
      <c r="AK501" s="6">
        <f>B501*0.065</f>
        <v/>
      </c>
      <c r="AL501" s="6">
        <f>SUM(B501,AD501,AE501,AF501,AG501,AH501,AI501,U501,V501,AJ501,AK501)</f>
        <v/>
      </c>
      <c r="AM501" s="6">
        <f>B501*0.055</f>
        <v/>
      </c>
      <c r="AN501" s="6">
        <f>B501*0.035</f>
        <v/>
      </c>
      <c r="AO501" s="6">
        <f>B501*0.165</f>
        <v/>
      </c>
      <c r="AP501" s="6">
        <f>MAX(0,AL501-AM501-AO501)</f>
        <v/>
      </c>
      <c r="AQ501" s="6">
        <f>IF(AP501&lt;=490,0,IF(AP501&lt;=600,(AP501-490)*0.05,IF(AP501&lt;=730,5.5+(AP501-600)*0.10,IF(AP501&lt;=3896.67,18.5+(AP501-730)*0.175,IF(AP501&lt;=19896.67,572.67+(AP501-3896.67)*0.25,IF(AP501&lt;=50416.67,4572.67+(AP501-19896.67)*0.30,13728.67+(AP501-50416.67)*0.35))))))</f>
        <v/>
      </c>
      <c r="AR501" s="6">
        <f>SUM(AM501,AQ501,W501,X501,Y501,Z501,AA501,AN501,AO501)</f>
        <v/>
      </c>
      <c r="AS501" s="6">
        <f>AL501-AR501</f>
        <v/>
      </c>
      <c r="AT501" s="6">
        <f>AB501-AC501</f>
        <v/>
      </c>
    </row>
    <row r="502">
      <c r="A502" s="2" t="n"/>
      <c r="B502" s="3" t="n"/>
      <c r="C502" s="4" t="n"/>
      <c r="D502" s="5" t="n"/>
      <c r="E502" s="3" t="n"/>
      <c r="F502" s="4" t="n"/>
      <c r="G502" s="5" t="n"/>
      <c r="H502" s="3" t="n"/>
      <c r="I502" s="4" t="n"/>
      <c r="J502" s="5" t="n"/>
      <c r="K502" s="3" t="n"/>
      <c r="L502" s="4" t="n"/>
      <c r="M502" s="5" t="n"/>
      <c r="N502" s="3" t="n"/>
      <c r="O502" s="4" t="n"/>
      <c r="P502" s="5" t="n"/>
      <c r="Q502" s="3" t="n"/>
      <c r="R502" s="4" t="n"/>
      <c r="S502" s="5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6">
        <f>IF(C502=0,0,IF(E502="",B502*D502/100,E502))</f>
        <v/>
      </c>
      <c r="AE502" s="6">
        <f>IF(F502=0,0,IF(H502="",B502*G502/100,H502))</f>
        <v/>
      </c>
      <c r="AF502" s="6">
        <f>IF(I502=0,0,IF(K502="",B502*J502/100,K502))</f>
        <v/>
      </c>
      <c r="AG502" s="6">
        <f>IF(L502=0,0,IF(N502="",B502*M502/100,N502))</f>
        <v/>
      </c>
      <c r="AH502" s="6">
        <f>IF(O502=0,0,IF(Q502="",B502*P502/100,Q502))</f>
        <v/>
      </c>
      <c r="AI502" s="6">
        <f>IF(R502=0,0,IF(T502="",B502*S502/100,T502))</f>
        <v/>
      </c>
      <c r="AJ502" s="6">
        <f>B502*0.035</f>
        <v/>
      </c>
      <c r="AK502" s="6">
        <f>B502*0.065</f>
        <v/>
      </c>
      <c r="AL502" s="6">
        <f>SUM(B502,AD502,AE502,AF502,AG502,AH502,AI502,U502,V502,AJ502,AK502)</f>
        <v/>
      </c>
      <c r="AM502" s="6">
        <f>B502*0.055</f>
        <v/>
      </c>
      <c r="AN502" s="6">
        <f>B502*0.035</f>
        <v/>
      </c>
      <c r="AO502" s="6">
        <f>B502*0.165</f>
        <v/>
      </c>
      <c r="AP502" s="6">
        <f>MAX(0,AL502-AM502-AO502)</f>
        <v/>
      </c>
      <c r="AQ502" s="6">
        <f>IF(AP502&lt;=490,0,IF(AP502&lt;=600,(AP502-490)*0.05,IF(AP502&lt;=730,5.5+(AP502-600)*0.10,IF(AP502&lt;=3896.67,18.5+(AP502-730)*0.175,IF(AP502&lt;=19896.67,572.67+(AP502-3896.67)*0.25,IF(AP502&lt;=50416.67,4572.67+(AP502-19896.67)*0.30,13728.67+(AP502-50416.67)*0.35))))))</f>
        <v/>
      </c>
      <c r="AR502" s="6">
        <f>SUM(AM502,AQ502,W502,X502,Y502,Z502,AA502,AN502,AO502)</f>
        <v/>
      </c>
      <c r="AS502" s="6">
        <f>AL502-AR502</f>
        <v/>
      </c>
      <c r="AT502" s="6">
        <f>AB502-AC502</f>
        <v/>
      </c>
    </row>
    <row r="503">
      <c r="A503" s="2" t="n"/>
      <c r="B503" s="3" t="n"/>
      <c r="C503" s="4" t="n"/>
      <c r="D503" s="5" t="n"/>
      <c r="E503" s="3" t="n"/>
      <c r="F503" s="4" t="n"/>
      <c r="G503" s="5" t="n"/>
      <c r="H503" s="3" t="n"/>
      <c r="I503" s="4" t="n"/>
      <c r="J503" s="5" t="n"/>
      <c r="K503" s="3" t="n"/>
      <c r="L503" s="4" t="n"/>
      <c r="M503" s="5" t="n"/>
      <c r="N503" s="3" t="n"/>
      <c r="O503" s="4" t="n"/>
      <c r="P503" s="5" t="n"/>
      <c r="Q503" s="3" t="n"/>
      <c r="R503" s="4" t="n"/>
      <c r="S503" s="5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6">
        <f>IF(C503=0,0,IF(E503="",B503*D503/100,E503))</f>
        <v/>
      </c>
      <c r="AE503" s="6">
        <f>IF(F503=0,0,IF(H503="",B503*G503/100,H503))</f>
        <v/>
      </c>
      <c r="AF503" s="6">
        <f>IF(I503=0,0,IF(K503="",B503*J503/100,K503))</f>
        <v/>
      </c>
      <c r="AG503" s="6">
        <f>IF(L503=0,0,IF(N503="",B503*M503/100,N503))</f>
        <v/>
      </c>
      <c r="AH503" s="6">
        <f>IF(O503=0,0,IF(Q503="",B503*P503/100,Q503))</f>
        <v/>
      </c>
      <c r="AI503" s="6">
        <f>IF(R503=0,0,IF(T503="",B503*S503/100,T503))</f>
        <v/>
      </c>
      <c r="AJ503" s="6">
        <f>B503*0.035</f>
        <v/>
      </c>
      <c r="AK503" s="6">
        <f>B503*0.065</f>
        <v/>
      </c>
      <c r="AL503" s="6">
        <f>SUM(B503,AD503,AE503,AF503,AG503,AH503,AI503,U503,V503,AJ503,AK503)</f>
        <v/>
      </c>
      <c r="AM503" s="6">
        <f>B503*0.055</f>
        <v/>
      </c>
      <c r="AN503" s="6">
        <f>B503*0.035</f>
        <v/>
      </c>
      <c r="AO503" s="6">
        <f>B503*0.165</f>
        <v/>
      </c>
      <c r="AP503" s="6">
        <f>MAX(0,AL503-AM503-AO503)</f>
        <v/>
      </c>
      <c r="AQ503" s="6">
        <f>IF(AP503&lt;=490,0,IF(AP503&lt;=600,(AP503-490)*0.05,IF(AP503&lt;=730,5.5+(AP503-600)*0.10,IF(AP503&lt;=3896.67,18.5+(AP503-730)*0.175,IF(AP503&lt;=19896.67,572.67+(AP503-3896.67)*0.25,IF(AP503&lt;=50416.67,4572.67+(AP503-19896.67)*0.30,13728.67+(AP503-50416.67)*0.35))))))</f>
        <v/>
      </c>
      <c r="AR503" s="6">
        <f>SUM(AM503,AQ503,W503,X503,Y503,Z503,AA503,AN503,AO503)</f>
        <v/>
      </c>
      <c r="AS503" s="6">
        <f>AL503-AR503</f>
        <v/>
      </c>
      <c r="AT503" s="6">
        <f>AB503-AC503</f>
        <v/>
      </c>
    </row>
    <row r="504">
      <c r="A504" s="2" t="n"/>
      <c r="B504" s="3" t="n"/>
      <c r="C504" s="4" t="n"/>
      <c r="D504" s="5" t="n"/>
      <c r="E504" s="3" t="n"/>
      <c r="F504" s="4" t="n"/>
      <c r="G504" s="5" t="n"/>
      <c r="H504" s="3" t="n"/>
      <c r="I504" s="4" t="n"/>
      <c r="J504" s="5" t="n"/>
      <c r="K504" s="3" t="n"/>
      <c r="L504" s="4" t="n"/>
      <c r="M504" s="5" t="n"/>
      <c r="N504" s="3" t="n"/>
      <c r="O504" s="4" t="n"/>
      <c r="P504" s="5" t="n"/>
      <c r="Q504" s="3" t="n"/>
      <c r="R504" s="4" t="n"/>
      <c r="S504" s="5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6">
        <f>IF(C504=0,0,IF(E504="",B504*D504/100,E504))</f>
        <v/>
      </c>
      <c r="AE504" s="6">
        <f>IF(F504=0,0,IF(H504="",B504*G504/100,H504))</f>
        <v/>
      </c>
      <c r="AF504" s="6">
        <f>IF(I504=0,0,IF(K504="",B504*J504/100,K504))</f>
        <v/>
      </c>
      <c r="AG504" s="6">
        <f>IF(L504=0,0,IF(N504="",B504*M504/100,N504))</f>
        <v/>
      </c>
      <c r="AH504" s="6">
        <f>IF(O504=0,0,IF(Q504="",B504*P504/100,Q504))</f>
        <v/>
      </c>
      <c r="AI504" s="6">
        <f>IF(R504=0,0,IF(T504="",B504*S504/100,T504))</f>
        <v/>
      </c>
      <c r="AJ504" s="6">
        <f>B504*0.035</f>
        <v/>
      </c>
      <c r="AK504" s="6">
        <f>B504*0.065</f>
        <v/>
      </c>
      <c r="AL504" s="6">
        <f>SUM(B504,AD504,AE504,AF504,AG504,AH504,AI504,U504,V504,AJ504,AK504)</f>
        <v/>
      </c>
      <c r="AM504" s="6">
        <f>B504*0.055</f>
        <v/>
      </c>
      <c r="AN504" s="6">
        <f>B504*0.035</f>
        <v/>
      </c>
      <c r="AO504" s="6">
        <f>B504*0.165</f>
        <v/>
      </c>
      <c r="AP504" s="6">
        <f>MAX(0,AL504-AM504-AO504)</f>
        <v/>
      </c>
      <c r="AQ504" s="6">
        <f>IF(AP504&lt;=490,0,IF(AP504&lt;=600,(AP504-490)*0.05,IF(AP504&lt;=730,5.5+(AP504-600)*0.10,IF(AP504&lt;=3896.67,18.5+(AP504-730)*0.175,IF(AP504&lt;=19896.67,572.67+(AP504-3896.67)*0.25,IF(AP504&lt;=50416.67,4572.67+(AP504-19896.67)*0.30,13728.67+(AP504-50416.67)*0.35))))))</f>
        <v/>
      </c>
      <c r="AR504" s="6">
        <f>SUM(AM504,AQ504,W504,X504,Y504,Z504,AA504,AN504,AO504)</f>
        <v/>
      </c>
      <c r="AS504" s="6">
        <f>AL504-AR504</f>
        <v/>
      </c>
      <c r="AT504" s="6">
        <f>AB504-AC504</f>
        <v/>
      </c>
    </row>
    <row r="505">
      <c r="A505" s="2" t="n"/>
      <c r="B505" s="3" t="n"/>
      <c r="C505" s="4" t="n"/>
      <c r="D505" s="5" t="n"/>
      <c r="E505" s="3" t="n"/>
      <c r="F505" s="4" t="n"/>
      <c r="G505" s="5" t="n"/>
      <c r="H505" s="3" t="n"/>
      <c r="I505" s="4" t="n"/>
      <c r="J505" s="5" t="n"/>
      <c r="K505" s="3" t="n"/>
      <c r="L505" s="4" t="n"/>
      <c r="M505" s="5" t="n"/>
      <c r="N505" s="3" t="n"/>
      <c r="O505" s="4" t="n"/>
      <c r="P505" s="5" t="n"/>
      <c r="Q505" s="3" t="n"/>
      <c r="R505" s="4" t="n"/>
      <c r="S505" s="5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6">
        <f>IF(C505=0,0,IF(E505="",B505*D505/100,E505))</f>
        <v/>
      </c>
      <c r="AE505" s="6">
        <f>IF(F505=0,0,IF(H505="",B505*G505/100,H505))</f>
        <v/>
      </c>
      <c r="AF505" s="6">
        <f>IF(I505=0,0,IF(K505="",B505*J505/100,K505))</f>
        <v/>
      </c>
      <c r="AG505" s="6">
        <f>IF(L505=0,0,IF(N505="",B505*M505/100,N505))</f>
        <v/>
      </c>
      <c r="AH505" s="6">
        <f>IF(O505=0,0,IF(Q505="",B505*P505/100,Q505))</f>
        <v/>
      </c>
      <c r="AI505" s="6">
        <f>IF(R505=0,0,IF(T505="",B505*S505/100,T505))</f>
        <v/>
      </c>
      <c r="AJ505" s="6">
        <f>B505*0.035</f>
        <v/>
      </c>
      <c r="AK505" s="6">
        <f>B505*0.065</f>
        <v/>
      </c>
      <c r="AL505" s="6">
        <f>SUM(B505,AD505,AE505,AF505,AG505,AH505,AI505,U505,V505,AJ505,AK505)</f>
        <v/>
      </c>
      <c r="AM505" s="6">
        <f>B505*0.055</f>
        <v/>
      </c>
      <c r="AN505" s="6">
        <f>B505*0.035</f>
        <v/>
      </c>
      <c r="AO505" s="6">
        <f>B505*0.165</f>
        <v/>
      </c>
      <c r="AP505" s="6">
        <f>MAX(0,AL505-AM505-AO505)</f>
        <v/>
      </c>
      <c r="AQ505" s="6">
        <f>IF(AP505&lt;=490,0,IF(AP505&lt;=600,(AP505-490)*0.05,IF(AP505&lt;=730,5.5+(AP505-600)*0.10,IF(AP505&lt;=3896.67,18.5+(AP505-730)*0.175,IF(AP505&lt;=19896.67,572.67+(AP505-3896.67)*0.25,IF(AP505&lt;=50416.67,4572.67+(AP505-19896.67)*0.30,13728.67+(AP505-50416.67)*0.35))))))</f>
        <v/>
      </c>
      <c r="AR505" s="6">
        <f>SUM(AM505,AQ505,W505,X505,Y505,Z505,AA505,AN505,AO505)</f>
        <v/>
      </c>
      <c r="AS505" s="6">
        <f>AL505-AR505</f>
        <v/>
      </c>
      <c r="AT505" s="6">
        <f>AB505-AC505</f>
        <v/>
      </c>
    </row>
    <row r="506">
      <c r="A506" s="2" t="n"/>
      <c r="B506" s="3" t="n"/>
      <c r="C506" s="4" t="n"/>
      <c r="D506" s="5" t="n"/>
      <c r="E506" s="3" t="n"/>
      <c r="F506" s="4" t="n"/>
      <c r="G506" s="5" t="n"/>
      <c r="H506" s="3" t="n"/>
      <c r="I506" s="4" t="n"/>
      <c r="J506" s="5" t="n"/>
      <c r="K506" s="3" t="n"/>
      <c r="L506" s="4" t="n"/>
      <c r="M506" s="5" t="n"/>
      <c r="N506" s="3" t="n"/>
      <c r="O506" s="4" t="n"/>
      <c r="P506" s="5" t="n"/>
      <c r="Q506" s="3" t="n"/>
      <c r="R506" s="4" t="n"/>
      <c r="S506" s="5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6">
        <f>IF(C506=0,0,IF(E506="",B506*D506/100,E506))</f>
        <v/>
      </c>
      <c r="AE506" s="6">
        <f>IF(F506=0,0,IF(H506="",B506*G506/100,H506))</f>
        <v/>
      </c>
      <c r="AF506" s="6">
        <f>IF(I506=0,0,IF(K506="",B506*J506/100,K506))</f>
        <v/>
      </c>
      <c r="AG506" s="6">
        <f>IF(L506=0,0,IF(N506="",B506*M506/100,N506))</f>
        <v/>
      </c>
      <c r="AH506" s="6">
        <f>IF(O506=0,0,IF(Q506="",B506*P506/100,Q506))</f>
        <v/>
      </c>
      <c r="AI506" s="6">
        <f>IF(R506=0,0,IF(T506="",B506*S506/100,T506))</f>
        <v/>
      </c>
      <c r="AJ506" s="6">
        <f>B506*0.035</f>
        <v/>
      </c>
      <c r="AK506" s="6">
        <f>B506*0.065</f>
        <v/>
      </c>
      <c r="AL506" s="6">
        <f>SUM(B506,AD506,AE506,AF506,AG506,AH506,AI506,U506,V506,AJ506,AK506)</f>
        <v/>
      </c>
      <c r="AM506" s="6">
        <f>B506*0.055</f>
        <v/>
      </c>
      <c r="AN506" s="6">
        <f>B506*0.035</f>
        <v/>
      </c>
      <c r="AO506" s="6">
        <f>B506*0.165</f>
        <v/>
      </c>
      <c r="AP506" s="6">
        <f>MAX(0,AL506-AM506-AO506)</f>
        <v/>
      </c>
      <c r="AQ506" s="6">
        <f>IF(AP506&lt;=490,0,IF(AP506&lt;=600,(AP506-490)*0.05,IF(AP506&lt;=730,5.5+(AP506-600)*0.10,IF(AP506&lt;=3896.67,18.5+(AP506-730)*0.175,IF(AP506&lt;=19896.67,572.67+(AP506-3896.67)*0.25,IF(AP506&lt;=50416.67,4572.67+(AP506-19896.67)*0.30,13728.67+(AP506-50416.67)*0.35))))))</f>
        <v/>
      </c>
      <c r="AR506" s="6">
        <f>SUM(AM506,AQ506,W506,X506,Y506,Z506,AA506,AN506,AO506)</f>
        <v/>
      </c>
      <c r="AS506" s="6">
        <f>AL506-AR506</f>
        <v/>
      </c>
      <c r="AT506" s="6">
        <f>AB506-AC506</f>
        <v/>
      </c>
    </row>
    <row r="507">
      <c r="A507" s="2" t="n"/>
      <c r="B507" s="3" t="n"/>
      <c r="C507" s="4" t="n"/>
      <c r="D507" s="5" t="n"/>
      <c r="E507" s="3" t="n"/>
      <c r="F507" s="4" t="n"/>
      <c r="G507" s="5" t="n"/>
      <c r="H507" s="3" t="n"/>
      <c r="I507" s="4" t="n"/>
      <c r="J507" s="5" t="n"/>
      <c r="K507" s="3" t="n"/>
      <c r="L507" s="4" t="n"/>
      <c r="M507" s="5" t="n"/>
      <c r="N507" s="3" t="n"/>
      <c r="O507" s="4" t="n"/>
      <c r="P507" s="5" t="n"/>
      <c r="Q507" s="3" t="n"/>
      <c r="R507" s="4" t="n"/>
      <c r="S507" s="5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6">
        <f>IF(C507=0,0,IF(E507="",B507*D507/100,E507))</f>
        <v/>
      </c>
      <c r="AE507" s="6">
        <f>IF(F507=0,0,IF(H507="",B507*G507/100,H507))</f>
        <v/>
      </c>
      <c r="AF507" s="6">
        <f>IF(I507=0,0,IF(K507="",B507*J507/100,K507))</f>
        <v/>
      </c>
      <c r="AG507" s="6">
        <f>IF(L507=0,0,IF(N507="",B507*M507/100,N507))</f>
        <v/>
      </c>
      <c r="AH507" s="6">
        <f>IF(O507=0,0,IF(Q507="",B507*P507/100,Q507))</f>
        <v/>
      </c>
      <c r="AI507" s="6">
        <f>IF(R507=0,0,IF(T507="",B507*S507/100,T507))</f>
        <v/>
      </c>
      <c r="AJ507" s="6">
        <f>B507*0.035</f>
        <v/>
      </c>
      <c r="AK507" s="6">
        <f>B507*0.065</f>
        <v/>
      </c>
      <c r="AL507" s="6">
        <f>SUM(B507,AD507,AE507,AF507,AG507,AH507,AI507,U507,V507,AJ507,AK507)</f>
        <v/>
      </c>
      <c r="AM507" s="6">
        <f>B507*0.055</f>
        <v/>
      </c>
      <c r="AN507" s="6">
        <f>B507*0.035</f>
        <v/>
      </c>
      <c r="AO507" s="6">
        <f>B507*0.165</f>
        <v/>
      </c>
      <c r="AP507" s="6">
        <f>MAX(0,AL507-AM507-AO507)</f>
        <v/>
      </c>
      <c r="AQ507" s="6">
        <f>IF(AP507&lt;=490,0,IF(AP507&lt;=600,(AP507-490)*0.05,IF(AP507&lt;=730,5.5+(AP507-600)*0.10,IF(AP507&lt;=3896.67,18.5+(AP507-730)*0.175,IF(AP507&lt;=19896.67,572.67+(AP507-3896.67)*0.25,IF(AP507&lt;=50416.67,4572.67+(AP507-19896.67)*0.30,13728.67+(AP507-50416.67)*0.35))))))</f>
        <v/>
      </c>
      <c r="AR507" s="6">
        <f>SUM(AM507,AQ507,W507,X507,Y507,Z507,AA507,AN507,AO507)</f>
        <v/>
      </c>
      <c r="AS507" s="6">
        <f>AL507-AR507</f>
        <v/>
      </c>
      <c r="AT507" s="6">
        <f>AB507-AC507</f>
        <v/>
      </c>
    </row>
    <row r="508">
      <c r="A508" s="2" t="n"/>
      <c r="B508" s="3" t="n"/>
      <c r="C508" s="4" t="n"/>
      <c r="D508" s="5" t="n"/>
      <c r="E508" s="3" t="n"/>
      <c r="F508" s="4" t="n"/>
      <c r="G508" s="5" t="n"/>
      <c r="H508" s="3" t="n"/>
      <c r="I508" s="4" t="n"/>
      <c r="J508" s="5" t="n"/>
      <c r="K508" s="3" t="n"/>
      <c r="L508" s="4" t="n"/>
      <c r="M508" s="5" t="n"/>
      <c r="N508" s="3" t="n"/>
      <c r="O508" s="4" t="n"/>
      <c r="P508" s="5" t="n"/>
      <c r="Q508" s="3" t="n"/>
      <c r="R508" s="4" t="n"/>
      <c r="S508" s="5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6">
        <f>IF(C508=0,0,IF(E508="",B508*D508/100,E508))</f>
        <v/>
      </c>
      <c r="AE508" s="6">
        <f>IF(F508=0,0,IF(H508="",B508*G508/100,H508))</f>
        <v/>
      </c>
      <c r="AF508" s="6">
        <f>IF(I508=0,0,IF(K508="",B508*J508/100,K508))</f>
        <v/>
      </c>
      <c r="AG508" s="6">
        <f>IF(L508=0,0,IF(N508="",B508*M508/100,N508))</f>
        <v/>
      </c>
      <c r="AH508" s="6">
        <f>IF(O508=0,0,IF(Q508="",B508*P508/100,Q508))</f>
        <v/>
      </c>
      <c r="AI508" s="6">
        <f>IF(R508=0,0,IF(T508="",B508*S508/100,T508))</f>
        <v/>
      </c>
      <c r="AJ508" s="6">
        <f>B508*0.035</f>
        <v/>
      </c>
      <c r="AK508" s="6">
        <f>B508*0.065</f>
        <v/>
      </c>
      <c r="AL508" s="6">
        <f>SUM(B508,AD508,AE508,AF508,AG508,AH508,AI508,U508,V508,AJ508,AK508)</f>
        <v/>
      </c>
      <c r="AM508" s="6">
        <f>B508*0.055</f>
        <v/>
      </c>
      <c r="AN508" s="6">
        <f>B508*0.035</f>
        <v/>
      </c>
      <c r="AO508" s="6">
        <f>B508*0.165</f>
        <v/>
      </c>
      <c r="AP508" s="6">
        <f>MAX(0,AL508-AM508-AO508)</f>
        <v/>
      </c>
      <c r="AQ508" s="6">
        <f>IF(AP508&lt;=490,0,IF(AP508&lt;=600,(AP508-490)*0.05,IF(AP508&lt;=730,5.5+(AP508-600)*0.10,IF(AP508&lt;=3896.67,18.5+(AP508-730)*0.175,IF(AP508&lt;=19896.67,572.67+(AP508-3896.67)*0.25,IF(AP508&lt;=50416.67,4572.67+(AP508-19896.67)*0.30,13728.67+(AP508-50416.67)*0.35))))))</f>
        <v/>
      </c>
      <c r="AR508" s="6">
        <f>SUM(AM508,AQ508,W508,X508,Y508,Z508,AA508,AN508,AO508)</f>
        <v/>
      </c>
      <c r="AS508" s="6">
        <f>AL508-AR508</f>
        <v/>
      </c>
      <c r="AT508" s="6">
        <f>AB508-AC508</f>
        <v/>
      </c>
    </row>
    <row r="509">
      <c r="A509" s="2" t="n"/>
      <c r="B509" s="3" t="n"/>
      <c r="C509" s="4" t="n"/>
      <c r="D509" s="5" t="n"/>
      <c r="E509" s="3" t="n"/>
      <c r="F509" s="4" t="n"/>
      <c r="G509" s="5" t="n"/>
      <c r="H509" s="3" t="n"/>
      <c r="I509" s="4" t="n"/>
      <c r="J509" s="5" t="n"/>
      <c r="K509" s="3" t="n"/>
      <c r="L509" s="4" t="n"/>
      <c r="M509" s="5" t="n"/>
      <c r="N509" s="3" t="n"/>
      <c r="O509" s="4" t="n"/>
      <c r="P509" s="5" t="n"/>
      <c r="Q509" s="3" t="n"/>
      <c r="R509" s="4" t="n"/>
      <c r="S509" s="5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6">
        <f>IF(C509=0,0,IF(E509="",B509*D509/100,E509))</f>
        <v/>
      </c>
      <c r="AE509" s="6">
        <f>IF(F509=0,0,IF(H509="",B509*G509/100,H509))</f>
        <v/>
      </c>
      <c r="AF509" s="6">
        <f>IF(I509=0,0,IF(K509="",B509*J509/100,K509))</f>
        <v/>
      </c>
      <c r="AG509" s="6">
        <f>IF(L509=0,0,IF(N509="",B509*M509/100,N509))</f>
        <v/>
      </c>
      <c r="AH509" s="6">
        <f>IF(O509=0,0,IF(Q509="",B509*P509/100,Q509))</f>
        <v/>
      </c>
      <c r="AI509" s="6">
        <f>IF(R509=0,0,IF(T509="",B509*S509/100,T509))</f>
        <v/>
      </c>
      <c r="AJ509" s="6">
        <f>B509*0.035</f>
        <v/>
      </c>
      <c r="AK509" s="6">
        <f>B509*0.065</f>
        <v/>
      </c>
      <c r="AL509" s="6">
        <f>SUM(B509,AD509,AE509,AF509,AG509,AH509,AI509,U509,V509,AJ509,AK509)</f>
        <v/>
      </c>
      <c r="AM509" s="6">
        <f>B509*0.055</f>
        <v/>
      </c>
      <c r="AN509" s="6">
        <f>B509*0.035</f>
        <v/>
      </c>
      <c r="AO509" s="6">
        <f>B509*0.165</f>
        <v/>
      </c>
      <c r="AP509" s="6">
        <f>MAX(0,AL509-AM509-AO509)</f>
        <v/>
      </c>
      <c r="AQ509" s="6">
        <f>IF(AP509&lt;=490,0,IF(AP509&lt;=600,(AP509-490)*0.05,IF(AP509&lt;=730,5.5+(AP509-600)*0.10,IF(AP509&lt;=3896.67,18.5+(AP509-730)*0.175,IF(AP509&lt;=19896.67,572.67+(AP509-3896.67)*0.25,IF(AP509&lt;=50416.67,4572.67+(AP509-19896.67)*0.30,13728.67+(AP509-50416.67)*0.35))))))</f>
        <v/>
      </c>
      <c r="AR509" s="6">
        <f>SUM(AM509,AQ509,W509,X509,Y509,Z509,AA509,AN509,AO509)</f>
        <v/>
      </c>
      <c r="AS509" s="6">
        <f>AL509-AR509</f>
        <v/>
      </c>
      <c r="AT509" s="6">
        <f>AB509-AC509</f>
        <v/>
      </c>
    </row>
    <row r="510">
      <c r="A510" s="2" t="n"/>
      <c r="B510" s="3" t="n"/>
      <c r="C510" s="4" t="n"/>
      <c r="D510" s="5" t="n"/>
      <c r="E510" s="3" t="n"/>
      <c r="F510" s="4" t="n"/>
      <c r="G510" s="5" t="n"/>
      <c r="H510" s="3" t="n"/>
      <c r="I510" s="4" t="n"/>
      <c r="J510" s="5" t="n"/>
      <c r="K510" s="3" t="n"/>
      <c r="L510" s="4" t="n"/>
      <c r="M510" s="5" t="n"/>
      <c r="N510" s="3" t="n"/>
      <c r="O510" s="4" t="n"/>
      <c r="P510" s="5" t="n"/>
      <c r="Q510" s="3" t="n"/>
      <c r="R510" s="4" t="n"/>
      <c r="S510" s="5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6">
        <f>IF(C510=0,0,IF(E510="",B510*D510/100,E510))</f>
        <v/>
      </c>
      <c r="AE510" s="6">
        <f>IF(F510=0,0,IF(H510="",B510*G510/100,H510))</f>
        <v/>
      </c>
      <c r="AF510" s="6">
        <f>IF(I510=0,0,IF(K510="",B510*J510/100,K510))</f>
        <v/>
      </c>
      <c r="AG510" s="6">
        <f>IF(L510=0,0,IF(N510="",B510*M510/100,N510))</f>
        <v/>
      </c>
      <c r="AH510" s="6">
        <f>IF(O510=0,0,IF(Q510="",B510*P510/100,Q510))</f>
        <v/>
      </c>
      <c r="AI510" s="6">
        <f>IF(R510=0,0,IF(T510="",B510*S510/100,T510))</f>
        <v/>
      </c>
      <c r="AJ510" s="6">
        <f>B510*0.035</f>
        <v/>
      </c>
      <c r="AK510" s="6">
        <f>B510*0.065</f>
        <v/>
      </c>
      <c r="AL510" s="6">
        <f>SUM(B510,AD510,AE510,AF510,AG510,AH510,AI510,U510,V510,AJ510,AK510)</f>
        <v/>
      </c>
      <c r="AM510" s="6">
        <f>B510*0.055</f>
        <v/>
      </c>
      <c r="AN510" s="6">
        <f>B510*0.035</f>
        <v/>
      </c>
      <c r="AO510" s="6">
        <f>B510*0.165</f>
        <v/>
      </c>
      <c r="AP510" s="6">
        <f>MAX(0,AL510-AM510-AO510)</f>
        <v/>
      </c>
      <c r="AQ510" s="6">
        <f>IF(AP510&lt;=490,0,IF(AP510&lt;=600,(AP510-490)*0.05,IF(AP510&lt;=730,5.5+(AP510-600)*0.10,IF(AP510&lt;=3896.67,18.5+(AP510-730)*0.175,IF(AP510&lt;=19896.67,572.67+(AP510-3896.67)*0.25,IF(AP510&lt;=50416.67,4572.67+(AP510-19896.67)*0.30,13728.67+(AP510-50416.67)*0.35))))))</f>
        <v/>
      </c>
      <c r="AR510" s="6">
        <f>SUM(AM510,AQ510,W510,X510,Y510,Z510,AA510,AN510,AO510)</f>
        <v/>
      </c>
      <c r="AS510" s="6">
        <f>AL510-AR510</f>
        <v/>
      </c>
      <c r="AT510" s="6">
        <f>AB510-AC510</f>
        <v/>
      </c>
    </row>
    <row r="511">
      <c r="A511" s="2" t="n"/>
      <c r="B511" s="3" t="n"/>
      <c r="C511" s="4" t="n"/>
      <c r="D511" s="5" t="n"/>
      <c r="E511" s="3" t="n"/>
      <c r="F511" s="4" t="n"/>
      <c r="G511" s="5" t="n"/>
      <c r="H511" s="3" t="n"/>
      <c r="I511" s="4" t="n"/>
      <c r="J511" s="5" t="n"/>
      <c r="K511" s="3" t="n"/>
      <c r="L511" s="4" t="n"/>
      <c r="M511" s="5" t="n"/>
      <c r="N511" s="3" t="n"/>
      <c r="O511" s="4" t="n"/>
      <c r="P511" s="5" t="n"/>
      <c r="Q511" s="3" t="n"/>
      <c r="R511" s="4" t="n"/>
      <c r="S511" s="5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6">
        <f>IF(C511=0,0,IF(E511="",B511*D511/100,E511))</f>
        <v/>
      </c>
      <c r="AE511" s="6">
        <f>IF(F511=0,0,IF(H511="",B511*G511/100,H511))</f>
        <v/>
      </c>
      <c r="AF511" s="6">
        <f>IF(I511=0,0,IF(K511="",B511*J511/100,K511))</f>
        <v/>
      </c>
      <c r="AG511" s="6">
        <f>IF(L511=0,0,IF(N511="",B511*M511/100,N511))</f>
        <v/>
      </c>
      <c r="AH511" s="6">
        <f>IF(O511=0,0,IF(Q511="",B511*P511/100,Q511))</f>
        <v/>
      </c>
      <c r="AI511" s="6">
        <f>IF(R511=0,0,IF(T511="",B511*S511/100,T511))</f>
        <v/>
      </c>
      <c r="AJ511" s="6">
        <f>B511*0.035</f>
        <v/>
      </c>
      <c r="AK511" s="6">
        <f>B511*0.065</f>
        <v/>
      </c>
      <c r="AL511" s="6">
        <f>SUM(B511,AD511,AE511,AF511,AG511,AH511,AI511,U511,V511,AJ511,AK511)</f>
        <v/>
      </c>
      <c r="AM511" s="6">
        <f>B511*0.055</f>
        <v/>
      </c>
      <c r="AN511" s="6">
        <f>B511*0.035</f>
        <v/>
      </c>
      <c r="AO511" s="6">
        <f>B511*0.165</f>
        <v/>
      </c>
      <c r="AP511" s="6">
        <f>MAX(0,AL511-AM511-AO511)</f>
        <v/>
      </c>
      <c r="AQ511" s="6">
        <f>IF(AP511&lt;=490,0,IF(AP511&lt;=600,(AP511-490)*0.05,IF(AP511&lt;=730,5.5+(AP511-600)*0.10,IF(AP511&lt;=3896.67,18.5+(AP511-730)*0.175,IF(AP511&lt;=19896.67,572.67+(AP511-3896.67)*0.25,IF(AP511&lt;=50416.67,4572.67+(AP511-19896.67)*0.30,13728.67+(AP511-50416.67)*0.35))))))</f>
        <v/>
      </c>
      <c r="AR511" s="6">
        <f>SUM(AM511,AQ511,W511,X511,Y511,Z511,AA511,AN511,AO511)</f>
        <v/>
      </c>
      <c r="AS511" s="6">
        <f>AL511-AR511</f>
        <v/>
      </c>
      <c r="AT511" s="6">
        <f>AB511-AC511</f>
        <v/>
      </c>
    </row>
    <row r="512">
      <c r="A512" s="2" t="n"/>
      <c r="B512" s="3" t="n"/>
      <c r="C512" s="4" t="n"/>
      <c r="D512" s="5" t="n"/>
      <c r="E512" s="3" t="n"/>
      <c r="F512" s="4" t="n"/>
      <c r="G512" s="5" t="n"/>
      <c r="H512" s="3" t="n"/>
      <c r="I512" s="4" t="n"/>
      <c r="J512" s="5" t="n"/>
      <c r="K512" s="3" t="n"/>
      <c r="L512" s="4" t="n"/>
      <c r="M512" s="5" t="n"/>
      <c r="N512" s="3" t="n"/>
      <c r="O512" s="4" t="n"/>
      <c r="P512" s="5" t="n"/>
      <c r="Q512" s="3" t="n"/>
      <c r="R512" s="4" t="n"/>
      <c r="S512" s="5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6">
        <f>IF(C512=0,0,IF(E512="",B512*D512/100,E512))</f>
        <v/>
      </c>
      <c r="AE512" s="6">
        <f>IF(F512=0,0,IF(H512="",B512*G512/100,H512))</f>
        <v/>
      </c>
      <c r="AF512" s="6">
        <f>IF(I512=0,0,IF(K512="",B512*J512/100,K512))</f>
        <v/>
      </c>
      <c r="AG512" s="6">
        <f>IF(L512=0,0,IF(N512="",B512*M512/100,N512))</f>
        <v/>
      </c>
      <c r="AH512" s="6">
        <f>IF(O512=0,0,IF(Q512="",B512*P512/100,Q512))</f>
        <v/>
      </c>
      <c r="AI512" s="6">
        <f>IF(R512=0,0,IF(T512="",B512*S512/100,T512))</f>
        <v/>
      </c>
      <c r="AJ512" s="6">
        <f>B512*0.035</f>
        <v/>
      </c>
      <c r="AK512" s="6">
        <f>B512*0.065</f>
        <v/>
      </c>
      <c r="AL512" s="6">
        <f>SUM(B512,AD512,AE512,AF512,AG512,AH512,AI512,U512,V512,AJ512,AK512)</f>
        <v/>
      </c>
      <c r="AM512" s="6">
        <f>B512*0.055</f>
        <v/>
      </c>
      <c r="AN512" s="6">
        <f>B512*0.035</f>
        <v/>
      </c>
      <c r="AO512" s="6">
        <f>B512*0.165</f>
        <v/>
      </c>
      <c r="AP512" s="6">
        <f>MAX(0,AL512-AM512-AO512)</f>
        <v/>
      </c>
      <c r="AQ512" s="6">
        <f>IF(AP512&lt;=490,0,IF(AP512&lt;=600,(AP512-490)*0.05,IF(AP512&lt;=730,5.5+(AP512-600)*0.10,IF(AP512&lt;=3896.67,18.5+(AP512-730)*0.175,IF(AP512&lt;=19896.67,572.67+(AP512-3896.67)*0.25,IF(AP512&lt;=50416.67,4572.67+(AP512-19896.67)*0.30,13728.67+(AP512-50416.67)*0.35))))))</f>
        <v/>
      </c>
      <c r="AR512" s="6">
        <f>SUM(AM512,AQ512,W512,X512,Y512,Z512,AA512,AN512,AO512)</f>
        <v/>
      </c>
      <c r="AS512" s="6">
        <f>AL512-AR512</f>
        <v/>
      </c>
      <c r="AT512" s="6">
        <f>AB512-AC512</f>
        <v/>
      </c>
    </row>
    <row r="513">
      <c r="A513" s="2" t="n"/>
      <c r="B513" s="3" t="n"/>
      <c r="C513" s="4" t="n"/>
      <c r="D513" s="5" t="n"/>
      <c r="E513" s="3" t="n"/>
      <c r="F513" s="4" t="n"/>
      <c r="G513" s="5" t="n"/>
      <c r="H513" s="3" t="n"/>
      <c r="I513" s="4" t="n"/>
      <c r="J513" s="5" t="n"/>
      <c r="K513" s="3" t="n"/>
      <c r="L513" s="4" t="n"/>
      <c r="M513" s="5" t="n"/>
      <c r="N513" s="3" t="n"/>
      <c r="O513" s="4" t="n"/>
      <c r="P513" s="5" t="n"/>
      <c r="Q513" s="3" t="n"/>
      <c r="R513" s="4" t="n"/>
      <c r="S513" s="5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6">
        <f>IF(C513=0,0,IF(E513="",B513*D513/100,E513))</f>
        <v/>
      </c>
      <c r="AE513" s="6">
        <f>IF(F513=0,0,IF(H513="",B513*G513/100,H513))</f>
        <v/>
      </c>
      <c r="AF513" s="6">
        <f>IF(I513=0,0,IF(K513="",B513*J513/100,K513))</f>
        <v/>
      </c>
      <c r="AG513" s="6">
        <f>IF(L513=0,0,IF(N513="",B513*M513/100,N513))</f>
        <v/>
      </c>
      <c r="AH513" s="6">
        <f>IF(O513=0,0,IF(Q513="",B513*P513/100,Q513))</f>
        <v/>
      </c>
      <c r="AI513" s="6">
        <f>IF(R513=0,0,IF(T513="",B513*S513/100,T513))</f>
        <v/>
      </c>
      <c r="AJ513" s="6">
        <f>B513*0.035</f>
        <v/>
      </c>
      <c r="AK513" s="6">
        <f>B513*0.065</f>
        <v/>
      </c>
      <c r="AL513" s="6">
        <f>SUM(B513,AD513,AE513,AF513,AG513,AH513,AI513,U513,V513,AJ513,AK513)</f>
        <v/>
      </c>
      <c r="AM513" s="6">
        <f>B513*0.055</f>
        <v/>
      </c>
      <c r="AN513" s="6">
        <f>B513*0.035</f>
        <v/>
      </c>
      <c r="AO513" s="6">
        <f>B513*0.165</f>
        <v/>
      </c>
      <c r="AP513" s="6">
        <f>MAX(0,AL513-AM513-AO513)</f>
        <v/>
      </c>
      <c r="AQ513" s="6">
        <f>IF(AP513&lt;=490,0,IF(AP513&lt;=600,(AP513-490)*0.05,IF(AP513&lt;=730,5.5+(AP513-600)*0.10,IF(AP513&lt;=3896.67,18.5+(AP513-730)*0.175,IF(AP513&lt;=19896.67,572.67+(AP513-3896.67)*0.25,IF(AP513&lt;=50416.67,4572.67+(AP513-19896.67)*0.30,13728.67+(AP513-50416.67)*0.35))))))</f>
        <v/>
      </c>
      <c r="AR513" s="6">
        <f>SUM(AM513,AQ513,W513,X513,Y513,Z513,AA513,AN513,AO513)</f>
        <v/>
      </c>
      <c r="AS513" s="6">
        <f>AL513-AR513</f>
        <v/>
      </c>
      <c r="AT513" s="6">
        <f>AB513-AC513</f>
        <v/>
      </c>
    </row>
    <row r="514">
      <c r="A514" s="2" t="n"/>
      <c r="B514" s="3" t="n"/>
      <c r="C514" s="4" t="n"/>
      <c r="D514" s="5" t="n"/>
      <c r="E514" s="3" t="n"/>
      <c r="F514" s="4" t="n"/>
      <c r="G514" s="5" t="n"/>
      <c r="H514" s="3" t="n"/>
      <c r="I514" s="4" t="n"/>
      <c r="J514" s="5" t="n"/>
      <c r="K514" s="3" t="n"/>
      <c r="L514" s="4" t="n"/>
      <c r="M514" s="5" t="n"/>
      <c r="N514" s="3" t="n"/>
      <c r="O514" s="4" t="n"/>
      <c r="P514" s="5" t="n"/>
      <c r="Q514" s="3" t="n"/>
      <c r="R514" s="4" t="n"/>
      <c r="S514" s="5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6">
        <f>IF(C514=0,0,IF(E514="",B514*D514/100,E514))</f>
        <v/>
      </c>
      <c r="AE514" s="6">
        <f>IF(F514=0,0,IF(H514="",B514*G514/100,H514))</f>
        <v/>
      </c>
      <c r="AF514" s="6">
        <f>IF(I514=0,0,IF(K514="",B514*J514/100,K514))</f>
        <v/>
      </c>
      <c r="AG514" s="6">
        <f>IF(L514=0,0,IF(N514="",B514*M514/100,N514))</f>
        <v/>
      </c>
      <c r="AH514" s="6">
        <f>IF(O514=0,0,IF(Q514="",B514*P514/100,Q514))</f>
        <v/>
      </c>
      <c r="AI514" s="6">
        <f>IF(R514=0,0,IF(T514="",B514*S514/100,T514))</f>
        <v/>
      </c>
      <c r="AJ514" s="6">
        <f>B514*0.035</f>
        <v/>
      </c>
      <c r="AK514" s="6">
        <f>B514*0.065</f>
        <v/>
      </c>
      <c r="AL514" s="6">
        <f>SUM(B514,AD514,AE514,AF514,AG514,AH514,AI514,U514,V514,AJ514,AK514)</f>
        <v/>
      </c>
      <c r="AM514" s="6">
        <f>B514*0.055</f>
        <v/>
      </c>
      <c r="AN514" s="6">
        <f>B514*0.035</f>
        <v/>
      </c>
      <c r="AO514" s="6">
        <f>B514*0.165</f>
        <v/>
      </c>
      <c r="AP514" s="6">
        <f>MAX(0,AL514-AM514-AO514)</f>
        <v/>
      </c>
      <c r="AQ514" s="6">
        <f>IF(AP514&lt;=490,0,IF(AP514&lt;=600,(AP514-490)*0.05,IF(AP514&lt;=730,5.5+(AP514-600)*0.10,IF(AP514&lt;=3896.67,18.5+(AP514-730)*0.175,IF(AP514&lt;=19896.67,572.67+(AP514-3896.67)*0.25,IF(AP514&lt;=50416.67,4572.67+(AP514-19896.67)*0.30,13728.67+(AP514-50416.67)*0.35))))))</f>
        <v/>
      </c>
      <c r="AR514" s="6">
        <f>SUM(AM514,AQ514,W514,X514,Y514,Z514,AA514,AN514,AO514)</f>
        <v/>
      </c>
      <c r="AS514" s="6">
        <f>AL514-AR514</f>
        <v/>
      </c>
      <c r="AT514" s="6">
        <f>AB514-AC514</f>
        <v/>
      </c>
    </row>
    <row r="515">
      <c r="A515" s="2" t="n"/>
      <c r="B515" s="3" t="n"/>
      <c r="C515" s="4" t="n"/>
      <c r="D515" s="5" t="n"/>
      <c r="E515" s="3" t="n"/>
      <c r="F515" s="4" t="n"/>
      <c r="G515" s="5" t="n"/>
      <c r="H515" s="3" t="n"/>
      <c r="I515" s="4" t="n"/>
      <c r="J515" s="5" t="n"/>
      <c r="K515" s="3" t="n"/>
      <c r="L515" s="4" t="n"/>
      <c r="M515" s="5" t="n"/>
      <c r="N515" s="3" t="n"/>
      <c r="O515" s="4" t="n"/>
      <c r="P515" s="5" t="n"/>
      <c r="Q515" s="3" t="n"/>
      <c r="R515" s="4" t="n"/>
      <c r="S515" s="5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6">
        <f>IF(C515=0,0,IF(E515="",B515*D515/100,E515))</f>
        <v/>
      </c>
      <c r="AE515" s="6">
        <f>IF(F515=0,0,IF(H515="",B515*G515/100,H515))</f>
        <v/>
      </c>
      <c r="AF515" s="6">
        <f>IF(I515=0,0,IF(K515="",B515*J515/100,K515))</f>
        <v/>
      </c>
      <c r="AG515" s="6">
        <f>IF(L515=0,0,IF(N515="",B515*M515/100,N515))</f>
        <v/>
      </c>
      <c r="AH515" s="6">
        <f>IF(O515=0,0,IF(Q515="",B515*P515/100,Q515))</f>
        <v/>
      </c>
      <c r="AI515" s="6">
        <f>IF(R515=0,0,IF(T515="",B515*S515/100,T515))</f>
        <v/>
      </c>
      <c r="AJ515" s="6">
        <f>B515*0.035</f>
        <v/>
      </c>
      <c r="AK515" s="6">
        <f>B515*0.065</f>
        <v/>
      </c>
      <c r="AL515" s="6">
        <f>SUM(B515,AD515,AE515,AF515,AG515,AH515,AI515,U515,V515,AJ515,AK515)</f>
        <v/>
      </c>
      <c r="AM515" s="6">
        <f>B515*0.055</f>
        <v/>
      </c>
      <c r="AN515" s="6">
        <f>B515*0.035</f>
        <v/>
      </c>
      <c r="AO515" s="6">
        <f>B515*0.165</f>
        <v/>
      </c>
      <c r="AP515" s="6">
        <f>MAX(0,AL515-AM515-AO515)</f>
        <v/>
      </c>
      <c r="AQ515" s="6">
        <f>IF(AP515&lt;=490,0,IF(AP515&lt;=600,(AP515-490)*0.05,IF(AP515&lt;=730,5.5+(AP515-600)*0.10,IF(AP515&lt;=3896.67,18.5+(AP515-730)*0.175,IF(AP515&lt;=19896.67,572.67+(AP515-3896.67)*0.25,IF(AP515&lt;=50416.67,4572.67+(AP515-19896.67)*0.30,13728.67+(AP515-50416.67)*0.35))))))</f>
        <v/>
      </c>
      <c r="AR515" s="6">
        <f>SUM(AM515,AQ515,W515,X515,Y515,Z515,AA515,AN515,AO515)</f>
        <v/>
      </c>
      <c r="AS515" s="6">
        <f>AL515-AR515</f>
        <v/>
      </c>
      <c r="AT515" s="6">
        <f>AB515-AC515</f>
        <v/>
      </c>
    </row>
    <row r="516">
      <c r="A516" s="2" t="n"/>
      <c r="B516" s="3" t="n"/>
      <c r="C516" s="4" t="n"/>
      <c r="D516" s="5" t="n"/>
      <c r="E516" s="3" t="n"/>
      <c r="F516" s="4" t="n"/>
      <c r="G516" s="5" t="n"/>
      <c r="H516" s="3" t="n"/>
      <c r="I516" s="4" t="n"/>
      <c r="J516" s="5" t="n"/>
      <c r="K516" s="3" t="n"/>
      <c r="L516" s="4" t="n"/>
      <c r="M516" s="5" t="n"/>
      <c r="N516" s="3" t="n"/>
      <c r="O516" s="4" t="n"/>
      <c r="P516" s="5" t="n"/>
      <c r="Q516" s="3" t="n"/>
      <c r="R516" s="4" t="n"/>
      <c r="S516" s="5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6">
        <f>IF(C516=0,0,IF(E516="",B516*D516/100,E516))</f>
        <v/>
      </c>
      <c r="AE516" s="6">
        <f>IF(F516=0,0,IF(H516="",B516*G516/100,H516))</f>
        <v/>
      </c>
      <c r="AF516" s="6">
        <f>IF(I516=0,0,IF(K516="",B516*J516/100,K516))</f>
        <v/>
      </c>
      <c r="AG516" s="6">
        <f>IF(L516=0,0,IF(N516="",B516*M516/100,N516))</f>
        <v/>
      </c>
      <c r="AH516" s="6">
        <f>IF(O516=0,0,IF(Q516="",B516*P516/100,Q516))</f>
        <v/>
      </c>
      <c r="AI516" s="6">
        <f>IF(R516=0,0,IF(T516="",B516*S516/100,T516))</f>
        <v/>
      </c>
      <c r="AJ516" s="6">
        <f>B516*0.035</f>
        <v/>
      </c>
      <c r="AK516" s="6">
        <f>B516*0.065</f>
        <v/>
      </c>
      <c r="AL516" s="6">
        <f>SUM(B516,AD516,AE516,AF516,AG516,AH516,AI516,U516,V516,AJ516,AK516)</f>
        <v/>
      </c>
      <c r="AM516" s="6">
        <f>B516*0.055</f>
        <v/>
      </c>
      <c r="AN516" s="6">
        <f>B516*0.035</f>
        <v/>
      </c>
      <c r="AO516" s="6">
        <f>B516*0.165</f>
        <v/>
      </c>
      <c r="AP516" s="6">
        <f>MAX(0,AL516-AM516-AO516)</f>
        <v/>
      </c>
      <c r="AQ516" s="6">
        <f>IF(AP516&lt;=490,0,IF(AP516&lt;=600,(AP516-490)*0.05,IF(AP516&lt;=730,5.5+(AP516-600)*0.10,IF(AP516&lt;=3896.67,18.5+(AP516-730)*0.175,IF(AP516&lt;=19896.67,572.67+(AP516-3896.67)*0.25,IF(AP516&lt;=50416.67,4572.67+(AP516-19896.67)*0.30,13728.67+(AP516-50416.67)*0.35))))))</f>
        <v/>
      </c>
      <c r="AR516" s="6">
        <f>SUM(AM516,AQ516,W516,X516,Y516,Z516,AA516,AN516,AO516)</f>
        <v/>
      </c>
      <c r="AS516" s="6">
        <f>AL516-AR516</f>
        <v/>
      </c>
      <c r="AT516" s="6">
        <f>AB516-AC516</f>
        <v/>
      </c>
    </row>
    <row r="517">
      <c r="A517" s="2" t="n"/>
      <c r="B517" s="3" t="n"/>
      <c r="C517" s="4" t="n"/>
      <c r="D517" s="5" t="n"/>
      <c r="E517" s="3" t="n"/>
      <c r="F517" s="4" t="n"/>
      <c r="G517" s="5" t="n"/>
      <c r="H517" s="3" t="n"/>
      <c r="I517" s="4" t="n"/>
      <c r="J517" s="5" t="n"/>
      <c r="K517" s="3" t="n"/>
      <c r="L517" s="4" t="n"/>
      <c r="M517" s="5" t="n"/>
      <c r="N517" s="3" t="n"/>
      <c r="O517" s="4" t="n"/>
      <c r="P517" s="5" t="n"/>
      <c r="Q517" s="3" t="n"/>
      <c r="R517" s="4" t="n"/>
      <c r="S517" s="5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6">
        <f>IF(C517=0,0,IF(E517="",B517*D517/100,E517))</f>
        <v/>
      </c>
      <c r="AE517" s="6">
        <f>IF(F517=0,0,IF(H517="",B517*G517/100,H517))</f>
        <v/>
      </c>
      <c r="AF517" s="6">
        <f>IF(I517=0,0,IF(K517="",B517*J517/100,K517))</f>
        <v/>
      </c>
      <c r="AG517" s="6">
        <f>IF(L517=0,0,IF(N517="",B517*M517/100,N517))</f>
        <v/>
      </c>
      <c r="AH517" s="6">
        <f>IF(O517=0,0,IF(Q517="",B517*P517/100,Q517))</f>
        <v/>
      </c>
      <c r="AI517" s="6">
        <f>IF(R517=0,0,IF(T517="",B517*S517/100,T517))</f>
        <v/>
      </c>
      <c r="AJ517" s="6">
        <f>B517*0.035</f>
        <v/>
      </c>
      <c r="AK517" s="6">
        <f>B517*0.065</f>
        <v/>
      </c>
      <c r="AL517" s="6">
        <f>SUM(B517,AD517,AE517,AF517,AG517,AH517,AI517,U517,V517,AJ517,AK517)</f>
        <v/>
      </c>
      <c r="AM517" s="6">
        <f>B517*0.055</f>
        <v/>
      </c>
      <c r="AN517" s="6">
        <f>B517*0.035</f>
        <v/>
      </c>
      <c r="AO517" s="6">
        <f>B517*0.165</f>
        <v/>
      </c>
      <c r="AP517" s="6">
        <f>MAX(0,AL517-AM517-AO517)</f>
        <v/>
      </c>
      <c r="AQ517" s="6">
        <f>IF(AP517&lt;=490,0,IF(AP517&lt;=600,(AP517-490)*0.05,IF(AP517&lt;=730,5.5+(AP517-600)*0.10,IF(AP517&lt;=3896.67,18.5+(AP517-730)*0.175,IF(AP517&lt;=19896.67,572.67+(AP517-3896.67)*0.25,IF(AP517&lt;=50416.67,4572.67+(AP517-19896.67)*0.30,13728.67+(AP517-50416.67)*0.35))))))</f>
        <v/>
      </c>
      <c r="AR517" s="6">
        <f>SUM(AM517,AQ517,W517,X517,Y517,Z517,AA517,AN517,AO517)</f>
        <v/>
      </c>
      <c r="AS517" s="6">
        <f>AL517-AR517</f>
        <v/>
      </c>
      <c r="AT517" s="6">
        <f>AB517-AC517</f>
        <v/>
      </c>
    </row>
    <row r="518">
      <c r="A518" s="2" t="n"/>
      <c r="B518" s="3" t="n"/>
      <c r="C518" s="4" t="n"/>
      <c r="D518" s="5" t="n"/>
      <c r="E518" s="3" t="n"/>
      <c r="F518" s="4" t="n"/>
      <c r="G518" s="5" t="n"/>
      <c r="H518" s="3" t="n"/>
      <c r="I518" s="4" t="n"/>
      <c r="J518" s="5" t="n"/>
      <c r="K518" s="3" t="n"/>
      <c r="L518" s="4" t="n"/>
      <c r="M518" s="5" t="n"/>
      <c r="N518" s="3" t="n"/>
      <c r="O518" s="4" t="n"/>
      <c r="P518" s="5" t="n"/>
      <c r="Q518" s="3" t="n"/>
      <c r="R518" s="4" t="n"/>
      <c r="S518" s="5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6">
        <f>IF(C518=0,0,IF(E518="",B518*D518/100,E518))</f>
        <v/>
      </c>
      <c r="AE518" s="6">
        <f>IF(F518=0,0,IF(H518="",B518*G518/100,H518))</f>
        <v/>
      </c>
      <c r="AF518" s="6">
        <f>IF(I518=0,0,IF(K518="",B518*J518/100,K518))</f>
        <v/>
      </c>
      <c r="AG518" s="6">
        <f>IF(L518=0,0,IF(N518="",B518*M518/100,N518))</f>
        <v/>
      </c>
      <c r="AH518" s="6">
        <f>IF(O518=0,0,IF(Q518="",B518*P518/100,Q518))</f>
        <v/>
      </c>
      <c r="AI518" s="6">
        <f>IF(R518=0,0,IF(T518="",B518*S518/100,T518))</f>
        <v/>
      </c>
      <c r="AJ518" s="6">
        <f>B518*0.035</f>
        <v/>
      </c>
      <c r="AK518" s="6">
        <f>B518*0.065</f>
        <v/>
      </c>
      <c r="AL518" s="6">
        <f>SUM(B518,AD518,AE518,AF518,AG518,AH518,AI518,U518,V518,AJ518,AK518)</f>
        <v/>
      </c>
      <c r="AM518" s="6">
        <f>B518*0.055</f>
        <v/>
      </c>
      <c r="AN518" s="6">
        <f>B518*0.035</f>
        <v/>
      </c>
      <c r="AO518" s="6">
        <f>B518*0.165</f>
        <v/>
      </c>
      <c r="AP518" s="6">
        <f>MAX(0,AL518-AM518-AO518)</f>
        <v/>
      </c>
      <c r="AQ518" s="6">
        <f>IF(AP518&lt;=490,0,IF(AP518&lt;=600,(AP518-490)*0.05,IF(AP518&lt;=730,5.5+(AP518-600)*0.10,IF(AP518&lt;=3896.67,18.5+(AP518-730)*0.175,IF(AP518&lt;=19896.67,572.67+(AP518-3896.67)*0.25,IF(AP518&lt;=50416.67,4572.67+(AP518-19896.67)*0.30,13728.67+(AP518-50416.67)*0.35))))))</f>
        <v/>
      </c>
      <c r="AR518" s="6">
        <f>SUM(AM518,AQ518,W518,X518,Y518,Z518,AA518,AN518,AO518)</f>
        <v/>
      </c>
      <c r="AS518" s="6">
        <f>AL518-AR518</f>
        <v/>
      </c>
      <c r="AT518" s="6">
        <f>AB518-AC518</f>
        <v/>
      </c>
    </row>
    <row r="519">
      <c r="A519" s="2" t="n"/>
      <c r="B519" s="3" t="n"/>
      <c r="C519" s="4" t="n"/>
      <c r="D519" s="5" t="n"/>
      <c r="E519" s="3" t="n"/>
      <c r="F519" s="4" t="n"/>
      <c r="G519" s="5" t="n"/>
      <c r="H519" s="3" t="n"/>
      <c r="I519" s="4" t="n"/>
      <c r="J519" s="5" t="n"/>
      <c r="K519" s="3" t="n"/>
      <c r="L519" s="4" t="n"/>
      <c r="M519" s="5" t="n"/>
      <c r="N519" s="3" t="n"/>
      <c r="O519" s="4" t="n"/>
      <c r="P519" s="5" t="n"/>
      <c r="Q519" s="3" t="n"/>
      <c r="R519" s="4" t="n"/>
      <c r="S519" s="5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6">
        <f>IF(C519=0,0,IF(E519="",B519*D519/100,E519))</f>
        <v/>
      </c>
      <c r="AE519" s="6">
        <f>IF(F519=0,0,IF(H519="",B519*G519/100,H519))</f>
        <v/>
      </c>
      <c r="AF519" s="6">
        <f>IF(I519=0,0,IF(K519="",B519*J519/100,K519))</f>
        <v/>
      </c>
      <c r="AG519" s="6">
        <f>IF(L519=0,0,IF(N519="",B519*M519/100,N519))</f>
        <v/>
      </c>
      <c r="AH519" s="6">
        <f>IF(O519=0,0,IF(Q519="",B519*P519/100,Q519))</f>
        <v/>
      </c>
      <c r="AI519" s="6">
        <f>IF(R519=0,0,IF(T519="",B519*S519/100,T519))</f>
        <v/>
      </c>
      <c r="AJ519" s="6">
        <f>B519*0.035</f>
        <v/>
      </c>
      <c r="AK519" s="6">
        <f>B519*0.065</f>
        <v/>
      </c>
      <c r="AL519" s="6">
        <f>SUM(B519,AD519,AE519,AF519,AG519,AH519,AI519,U519,V519,AJ519,AK519)</f>
        <v/>
      </c>
      <c r="AM519" s="6">
        <f>B519*0.055</f>
        <v/>
      </c>
      <c r="AN519" s="6">
        <f>B519*0.035</f>
        <v/>
      </c>
      <c r="AO519" s="6">
        <f>B519*0.165</f>
        <v/>
      </c>
      <c r="AP519" s="6">
        <f>MAX(0,AL519-AM519-AO519)</f>
        <v/>
      </c>
      <c r="AQ519" s="6">
        <f>IF(AP519&lt;=490,0,IF(AP519&lt;=600,(AP519-490)*0.05,IF(AP519&lt;=730,5.5+(AP519-600)*0.10,IF(AP519&lt;=3896.67,18.5+(AP519-730)*0.175,IF(AP519&lt;=19896.67,572.67+(AP519-3896.67)*0.25,IF(AP519&lt;=50416.67,4572.67+(AP519-19896.67)*0.30,13728.67+(AP519-50416.67)*0.35))))))</f>
        <v/>
      </c>
      <c r="AR519" s="6">
        <f>SUM(AM519,AQ519,W519,X519,Y519,Z519,AA519,AN519,AO519)</f>
        <v/>
      </c>
      <c r="AS519" s="6">
        <f>AL519-AR519</f>
        <v/>
      </c>
      <c r="AT519" s="6">
        <f>AB519-AC519</f>
        <v/>
      </c>
    </row>
    <row r="520">
      <c r="A520" s="2" t="n"/>
      <c r="B520" s="3" t="n"/>
      <c r="C520" s="4" t="n"/>
      <c r="D520" s="5" t="n"/>
      <c r="E520" s="3" t="n"/>
      <c r="F520" s="4" t="n"/>
      <c r="G520" s="5" t="n"/>
      <c r="H520" s="3" t="n"/>
      <c r="I520" s="4" t="n"/>
      <c r="J520" s="5" t="n"/>
      <c r="K520" s="3" t="n"/>
      <c r="L520" s="4" t="n"/>
      <c r="M520" s="5" t="n"/>
      <c r="N520" s="3" t="n"/>
      <c r="O520" s="4" t="n"/>
      <c r="P520" s="5" t="n"/>
      <c r="Q520" s="3" t="n"/>
      <c r="R520" s="4" t="n"/>
      <c r="S520" s="5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6">
        <f>IF(C520=0,0,IF(E520="",B520*D520/100,E520))</f>
        <v/>
      </c>
      <c r="AE520" s="6">
        <f>IF(F520=0,0,IF(H520="",B520*G520/100,H520))</f>
        <v/>
      </c>
      <c r="AF520" s="6">
        <f>IF(I520=0,0,IF(K520="",B520*J520/100,K520))</f>
        <v/>
      </c>
      <c r="AG520" s="6">
        <f>IF(L520=0,0,IF(N520="",B520*M520/100,N520))</f>
        <v/>
      </c>
      <c r="AH520" s="6">
        <f>IF(O520=0,0,IF(Q520="",B520*P520/100,Q520))</f>
        <v/>
      </c>
      <c r="AI520" s="6">
        <f>IF(R520=0,0,IF(T520="",B520*S520/100,T520))</f>
        <v/>
      </c>
      <c r="AJ520" s="6">
        <f>B520*0.035</f>
        <v/>
      </c>
      <c r="AK520" s="6">
        <f>B520*0.065</f>
        <v/>
      </c>
      <c r="AL520" s="6">
        <f>SUM(B520,AD520,AE520,AF520,AG520,AH520,AI520,U520,V520,AJ520,AK520)</f>
        <v/>
      </c>
      <c r="AM520" s="6">
        <f>B520*0.055</f>
        <v/>
      </c>
      <c r="AN520" s="6">
        <f>B520*0.035</f>
        <v/>
      </c>
      <c r="AO520" s="6">
        <f>B520*0.165</f>
        <v/>
      </c>
      <c r="AP520" s="6">
        <f>MAX(0,AL520-AM520-AO520)</f>
        <v/>
      </c>
      <c r="AQ520" s="6">
        <f>IF(AP520&lt;=490,0,IF(AP520&lt;=600,(AP520-490)*0.05,IF(AP520&lt;=730,5.5+(AP520-600)*0.10,IF(AP520&lt;=3896.67,18.5+(AP520-730)*0.175,IF(AP520&lt;=19896.67,572.67+(AP520-3896.67)*0.25,IF(AP520&lt;=50416.67,4572.67+(AP520-19896.67)*0.30,13728.67+(AP520-50416.67)*0.35))))))</f>
        <v/>
      </c>
      <c r="AR520" s="6">
        <f>SUM(AM520,AQ520,W520,X520,Y520,Z520,AA520,AN520,AO520)</f>
        <v/>
      </c>
      <c r="AS520" s="6">
        <f>AL520-AR520</f>
        <v/>
      </c>
      <c r="AT520" s="6">
        <f>AB520-AC520</f>
        <v/>
      </c>
    </row>
    <row r="521">
      <c r="A521" s="2" t="n"/>
      <c r="B521" s="3" t="n"/>
      <c r="C521" s="4" t="n"/>
      <c r="D521" s="5" t="n"/>
      <c r="E521" s="3" t="n"/>
      <c r="F521" s="4" t="n"/>
      <c r="G521" s="5" t="n"/>
      <c r="H521" s="3" t="n"/>
      <c r="I521" s="4" t="n"/>
      <c r="J521" s="5" t="n"/>
      <c r="K521" s="3" t="n"/>
      <c r="L521" s="4" t="n"/>
      <c r="M521" s="5" t="n"/>
      <c r="N521" s="3" t="n"/>
      <c r="O521" s="4" t="n"/>
      <c r="P521" s="5" t="n"/>
      <c r="Q521" s="3" t="n"/>
      <c r="R521" s="4" t="n"/>
      <c r="S521" s="5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6">
        <f>IF(C521=0,0,IF(E521="",B521*D521/100,E521))</f>
        <v/>
      </c>
      <c r="AE521" s="6">
        <f>IF(F521=0,0,IF(H521="",B521*G521/100,H521))</f>
        <v/>
      </c>
      <c r="AF521" s="6">
        <f>IF(I521=0,0,IF(K521="",B521*J521/100,K521))</f>
        <v/>
      </c>
      <c r="AG521" s="6">
        <f>IF(L521=0,0,IF(N521="",B521*M521/100,N521))</f>
        <v/>
      </c>
      <c r="AH521" s="6">
        <f>IF(O521=0,0,IF(Q521="",B521*P521/100,Q521))</f>
        <v/>
      </c>
      <c r="AI521" s="6">
        <f>IF(R521=0,0,IF(T521="",B521*S521/100,T521))</f>
        <v/>
      </c>
      <c r="AJ521" s="6">
        <f>B521*0.035</f>
        <v/>
      </c>
      <c r="AK521" s="6">
        <f>B521*0.065</f>
        <v/>
      </c>
      <c r="AL521" s="6">
        <f>SUM(B521,AD521,AE521,AF521,AG521,AH521,AI521,U521,V521,AJ521,AK521)</f>
        <v/>
      </c>
      <c r="AM521" s="6">
        <f>B521*0.055</f>
        <v/>
      </c>
      <c r="AN521" s="6">
        <f>B521*0.035</f>
        <v/>
      </c>
      <c r="AO521" s="6">
        <f>B521*0.165</f>
        <v/>
      </c>
      <c r="AP521" s="6">
        <f>MAX(0,AL521-AM521-AO521)</f>
        <v/>
      </c>
      <c r="AQ521" s="6">
        <f>IF(AP521&lt;=490,0,IF(AP521&lt;=600,(AP521-490)*0.05,IF(AP521&lt;=730,5.5+(AP521-600)*0.10,IF(AP521&lt;=3896.67,18.5+(AP521-730)*0.175,IF(AP521&lt;=19896.67,572.67+(AP521-3896.67)*0.25,IF(AP521&lt;=50416.67,4572.67+(AP521-19896.67)*0.30,13728.67+(AP521-50416.67)*0.35))))))</f>
        <v/>
      </c>
      <c r="AR521" s="6">
        <f>SUM(AM521,AQ521,W521,X521,Y521,Z521,AA521,AN521,AO521)</f>
        <v/>
      </c>
      <c r="AS521" s="6">
        <f>AL521-AR521</f>
        <v/>
      </c>
      <c r="AT521" s="6">
        <f>AB521-AC521</f>
        <v/>
      </c>
    </row>
    <row r="522">
      <c r="A522" s="2" t="n"/>
      <c r="B522" s="3" t="n"/>
      <c r="C522" s="4" t="n"/>
      <c r="D522" s="5" t="n"/>
      <c r="E522" s="3" t="n"/>
      <c r="F522" s="4" t="n"/>
      <c r="G522" s="5" t="n"/>
      <c r="H522" s="3" t="n"/>
      <c r="I522" s="4" t="n"/>
      <c r="J522" s="5" t="n"/>
      <c r="K522" s="3" t="n"/>
      <c r="L522" s="4" t="n"/>
      <c r="M522" s="5" t="n"/>
      <c r="N522" s="3" t="n"/>
      <c r="O522" s="4" t="n"/>
      <c r="P522" s="5" t="n"/>
      <c r="Q522" s="3" t="n"/>
      <c r="R522" s="4" t="n"/>
      <c r="S522" s="5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6">
        <f>IF(C522=0,0,IF(E522="",B522*D522/100,E522))</f>
        <v/>
      </c>
      <c r="AE522" s="6">
        <f>IF(F522=0,0,IF(H522="",B522*G522/100,H522))</f>
        <v/>
      </c>
      <c r="AF522" s="6">
        <f>IF(I522=0,0,IF(K522="",B522*J522/100,K522))</f>
        <v/>
      </c>
      <c r="AG522" s="6">
        <f>IF(L522=0,0,IF(N522="",B522*M522/100,N522))</f>
        <v/>
      </c>
      <c r="AH522" s="6">
        <f>IF(O522=0,0,IF(Q522="",B522*P522/100,Q522))</f>
        <v/>
      </c>
      <c r="AI522" s="6">
        <f>IF(R522=0,0,IF(T522="",B522*S522/100,T522))</f>
        <v/>
      </c>
      <c r="AJ522" s="6">
        <f>B522*0.035</f>
        <v/>
      </c>
      <c r="AK522" s="6">
        <f>B522*0.065</f>
        <v/>
      </c>
      <c r="AL522" s="6">
        <f>SUM(B522,AD522,AE522,AF522,AG522,AH522,AI522,U522,V522,AJ522,AK522)</f>
        <v/>
      </c>
      <c r="AM522" s="6">
        <f>B522*0.055</f>
        <v/>
      </c>
      <c r="AN522" s="6">
        <f>B522*0.035</f>
        <v/>
      </c>
      <c r="AO522" s="6">
        <f>B522*0.165</f>
        <v/>
      </c>
      <c r="AP522" s="6">
        <f>MAX(0,AL522-AM522-AO522)</f>
        <v/>
      </c>
      <c r="AQ522" s="6">
        <f>IF(AP522&lt;=490,0,IF(AP522&lt;=600,(AP522-490)*0.05,IF(AP522&lt;=730,5.5+(AP522-600)*0.10,IF(AP522&lt;=3896.67,18.5+(AP522-730)*0.175,IF(AP522&lt;=19896.67,572.67+(AP522-3896.67)*0.25,IF(AP522&lt;=50416.67,4572.67+(AP522-19896.67)*0.30,13728.67+(AP522-50416.67)*0.35))))))</f>
        <v/>
      </c>
      <c r="AR522" s="6">
        <f>SUM(AM522,AQ522,W522,X522,Y522,Z522,AA522,AN522,AO522)</f>
        <v/>
      </c>
      <c r="AS522" s="6">
        <f>AL522-AR522</f>
        <v/>
      </c>
      <c r="AT522" s="6">
        <f>AB522-AC522</f>
        <v/>
      </c>
    </row>
    <row r="523">
      <c r="A523" s="2" t="n"/>
      <c r="B523" s="3" t="n"/>
      <c r="C523" s="4" t="n"/>
      <c r="D523" s="5" t="n"/>
      <c r="E523" s="3" t="n"/>
      <c r="F523" s="4" t="n"/>
      <c r="G523" s="5" t="n"/>
      <c r="H523" s="3" t="n"/>
      <c r="I523" s="4" t="n"/>
      <c r="J523" s="5" t="n"/>
      <c r="K523" s="3" t="n"/>
      <c r="L523" s="4" t="n"/>
      <c r="M523" s="5" t="n"/>
      <c r="N523" s="3" t="n"/>
      <c r="O523" s="4" t="n"/>
      <c r="P523" s="5" t="n"/>
      <c r="Q523" s="3" t="n"/>
      <c r="R523" s="4" t="n"/>
      <c r="S523" s="5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6">
        <f>IF(C523=0,0,IF(E523="",B523*D523/100,E523))</f>
        <v/>
      </c>
      <c r="AE523" s="6">
        <f>IF(F523=0,0,IF(H523="",B523*G523/100,H523))</f>
        <v/>
      </c>
      <c r="AF523" s="6">
        <f>IF(I523=0,0,IF(K523="",B523*J523/100,K523))</f>
        <v/>
      </c>
      <c r="AG523" s="6">
        <f>IF(L523=0,0,IF(N523="",B523*M523/100,N523))</f>
        <v/>
      </c>
      <c r="AH523" s="6">
        <f>IF(O523=0,0,IF(Q523="",B523*P523/100,Q523))</f>
        <v/>
      </c>
      <c r="AI523" s="6">
        <f>IF(R523=0,0,IF(T523="",B523*S523/100,T523))</f>
        <v/>
      </c>
      <c r="AJ523" s="6">
        <f>B523*0.035</f>
        <v/>
      </c>
      <c r="AK523" s="6">
        <f>B523*0.065</f>
        <v/>
      </c>
      <c r="AL523" s="6">
        <f>SUM(B523,AD523,AE523,AF523,AG523,AH523,AI523,U523,V523,AJ523,AK523)</f>
        <v/>
      </c>
      <c r="AM523" s="6">
        <f>B523*0.055</f>
        <v/>
      </c>
      <c r="AN523" s="6">
        <f>B523*0.035</f>
        <v/>
      </c>
      <c r="AO523" s="6">
        <f>B523*0.165</f>
        <v/>
      </c>
      <c r="AP523" s="6">
        <f>MAX(0,AL523-AM523-AO523)</f>
        <v/>
      </c>
      <c r="AQ523" s="6">
        <f>IF(AP523&lt;=490,0,IF(AP523&lt;=600,(AP523-490)*0.05,IF(AP523&lt;=730,5.5+(AP523-600)*0.10,IF(AP523&lt;=3896.67,18.5+(AP523-730)*0.175,IF(AP523&lt;=19896.67,572.67+(AP523-3896.67)*0.25,IF(AP523&lt;=50416.67,4572.67+(AP523-19896.67)*0.30,13728.67+(AP523-50416.67)*0.35))))))</f>
        <v/>
      </c>
      <c r="AR523" s="6">
        <f>SUM(AM523,AQ523,W523,X523,Y523,Z523,AA523,AN523,AO523)</f>
        <v/>
      </c>
      <c r="AS523" s="6">
        <f>AL523-AR523</f>
        <v/>
      </c>
      <c r="AT523" s="6">
        <f>AB523-AC523</f>
        <v/>
      </c>
    </row>
    <row r="524">
      <c r="A524" s="2" t="n"/>
      <c r="B524" s="3" t="n"/>
      <c r="C524" s="4" t="n"/>
      <c r="D524" s="5" t="n"/>
      <c r="E524" s="3" t="n"/>
      <c r="F524" s="4" t="n"/>
      <c r="G524" s="5" t="n"/>
      <c r="H524" s="3" t="n"/>
      <c r="I524" s="4" t="n"/>
      <c r="J524" s="5" t="n"/>
      <c r="K524" s="3" t="n"/>
      <c r="L524" s="4" t="n"/>
      <c r="M524" s="5" t="n"/>
      <c r="N524" s="3" t="n"/>
      <c r="O524" s="4" t="n"/>
      <c r="P524" s="5" t="n"/>
      <c r="Q524" s="3" t="n"/>
      <c r="R524" s="4" t="n"/>
      <c r="S524" s="5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6">
        <f>IF(C524=0,0,IF(E524="",B524*D524/100,E524))</f>
        <v/>
      </c>
      <c r="AE524" s="6">
        <f>IF(F524=0,0,IF(H524="",B524*G524/100,H524))</f>
        <v/>
      </c>
      <c r="AF524" s="6">
        <f>IF(I524=0,0,IF(K524="",B524*J524/100,K524))</f>
        <v/>
      </c>
      <c r="AG524" s="6">
        <f>IF(L524=0,0,IF(N524="",B524*M524/100,N524))</f>
        <v/>
      </c>
      <c r="AH524" s="6">
        <f>IF(O524=0,0,IF(Q524="",B524*P524/100,Q524))</f>
        <v/>
      </c>
      <c r="AI524" s="6">
        <f>IF(R524=0,0,IF(T524="",B524*S524/100,T524))</f>
        <v/>
      </c>
      <c r="AJ524" s="6">
        <f>B524*0.035</f>
        <v/>
      </c>
      <c r="AK524" s="6">
        <f>B524*0.065</f>
        <v/>
      </c>
      <c r="AL524" s="6">
        <f>SUM(B524,AD524,AE524,AF524,AG524,AH524,AI524,U524,V524,AJ524,AK524)</f>
        <v/>
      </c>
      <c r="AM524" s="6">
        <f>B524*0.055</f>
        <v/>
      </c>
      <c r="AN524" s="6">
        <f>B524*0.035</f>
        <v/>
      </c>
      <c r="AO524" s="6">
        <f>B524*0.165</f>
        <v/>
      </c>
      <c r="AP524" s="6">
        <f>MAX(0,AL524-AM524-AO524)</f>
        <v/>
      </c>
      <c r="AQ524" s="6">
        <f>IF(AP524&lt;=490,0,IF(AP524&lt;=600,(AP524-490)*0.05,IF(AP524&lt;=730,5.5+(AP524-600)*0.10,IF(AP524&lt;=3896.67,18.5+(AP524-730)*0.175,IF(AP524&lt;=19896.67,572.67+(AP524-3896.67)*0.25,IF(AP524&lt;=50416.67,4572.67+(AP524-19896.67)*0.30,13728.67+(AP524-50416.67)*0.35))))))</f>
        <v/>
      </c>
      <c r="AR524" s="6">
        <f>SUM(AM524,AQ524,W524,X524,Y524,Z524,AA524,AN524,AO524)</f>
        <v/>
      </c>
      <c r="AS524" s="6">
        <f>AL524-AR524</f>
        <v/>
      </c>
      <c r="AT524" s="6">
        <f>AB524-AC524</f>
        <v/>
      </c>
    </row>
    <row r="525">
      <c r="A525" s="2" t="n"/>
      <c r="B525" s="3" t="n"/>
      <c r="C525" s="4" t="n"/>
      <c r="D525" s="5" t="n"/>
      <c r="E525" s="3" t="n"/>
      <c r="F525" s="4" t="n"/>
      <c r="G525" s="5" t="n"/>
      <c r="H525" s="3" t="n"/>
      <c r="I525" s="4" t="n"/>
      <c r="J525" s="5" t="n"/>
      <c r="K525" s="3" t="n"/>
      <c r="L525" s="4" t="n"/>
      <c r="M525" s="5" t="n"/>
      <c r="N525" s="3" t="n"/>
      <c r="O525" s="4" t="n"/>
      <c r="P525" s="5" t="n"/>
      <c r="Q525" s="3" t="n"/>
      <c r="R525" s="4" t="n"/>
      <c r="S525" s="5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6">
        <f>IF(C525=0,0,IF(E525="",B525*D525/100,E525))</f>
        <v/>
      </c>
      <c r="AE525" s="6">
        <f>IF(F525=0,0,IF(H525="",B525*G525/100,H525))</f>
        <v/>
      </c>
      <c r="AF525" s="6">
        <f>IF(I525=0,0,IF(K525="",B525*J525/100,K525))</f>
        <v/>
      </c>
      <c r="AG525" s="6">
        <f>IF(L525=0,0,IF(N525="",B525*M525/100,N525))</f>
        <v/>
      </c>
      <c r="AH525" s="6">
        <f>IF(O525=0,0,IF(Q525="",B525*P525/100,Q525))</f>
        <v/>
      </c>
      <c r="AI525" s="6">
        <f>IF(R525=0,0,IF(T525="",B525*S525/100,T525))</f>
        <v/>
      </c>
      <c r="AJ525" s="6">
        <f>B525*0.035</f>
        <v/>
      </c>
      <c r="AK525" s="6">
        <f>B525*0.065</f>
        <v/>
      </c>
      <c r="AL525" s="6">
        <f>SUM(B525,AD525,AE525,AF525,AG525,AH525,AI525,U525,V525,AJ525,AK525)</f>
        <v/>
      </c>
      <c r="AM525" s="6">
        <f>B525*0.055</f>
        <v/>
      </c>
      <c r="AN525" s="6">
        <f>B525*0.035</f>
        <v/>
      </c>
      <c r="AO525" s="6">
        <f>B525*0.165</f>
        <v/>
      </c>
      <c r="AP525" s="6">
        <f>MAX(0,AL525-AM525-AO525)</f>
        <v/>
      </c>
      <c r="AQ525" s="6">
        <f>IF(AP525&lt;=490,0,IF(AP525&lt;=600,(AP525-490)*0.05,IF(AP525&lt;=730,5.5+(AP525-600)*0.10,IF(AP525&lt;=3896.67,18.5+(AP525-730)*0.175,IF(AP525&lt;=19896.67,572.67+(AP525-3896.67)*0.25,IF(AP525&lt;=50416.67,4572.67+(AP525-19896.67)*0.30,13728.67+(AP525-50416.67)*0.35))))))</f>
        <v/>
      </c>
      <c r="AR525" s="6">
        <f>SUM(AM525,AQ525,W525,X525,Y525,Z525,AA525,AN525,AO525)</f>
        <v/>
      </c>
      <c r="AS525" s="6">
        <f>AL525-AR525</f>
        <v/>
      </c>
      <c r="AT525" s="6">
        <f>AB525-AC525</f>
        <v/>
      </c>
    </row>
    <row r="526">
      <c r="A526" s="2" t="n"/>
      <c r="B526" s="3" t="n"/>
      <c r="C526" s="4" t="n"/>
      <c r="D526" s="5" t="n"/>
      <c r="E526" s="3" t="n"/>
      <c r="F526" s="4" t="n"/>
      <c r="G526" s="5" t="n"/>
      <c r="H526" s="3" t="n"/>
      <c r="I526" s="4" t="n"/>
      <c r="J526" s="5" t="n"/>
      <c r="K526" s="3" t="n"/>
      <c r="L526" s="4" t="n"/>
      <c r="M526" s="5" t="n"/>
      <c r="N526" s="3" t="n"/>
      <c r="O526" s="4" t="n"/>
      <c r="P526" s="5" t="n"/>
      <c r="Q526" s="3" t="n"/>
      <c r="R526" s="4" t="n"/>
      <c r="S526" s="5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6">
        <f>IF(C526=0,0,IF(E526="",B526*D526/100,E526))</f>
        <v/>
      </c>
      <c r="AE526" s="6">
        <f>IF(F526=0,0,IF(H526="",B526*G526/100,H526))</f>
        <v/>
      </c>
      <c r="AF526" s="6">
        <f>IF(I526=0,0,IF(K526="",B526*J526/100,K526))</f>
        <v/>
      </c>
      <c r="AG526" s="6">
        <f>IF(L526=0,0,IF(N526="",B526*M526/100,N526))</f>
        <v/>
      </c>
      <c r="AH526" s="6">
        <f>IF(O526=0,0,IF(Q526="",B526*P526/100,Q526))</f>
        <v/>
      </c>
      <c r="AI526" s="6">
        <f>IF(R526=0,0,IF(T526="",B526*S526/100,T526))</f>
        <v/>
      </c>
      <c r="AJ526" s="6">
        <f>B526*0.035</f>
        <v/>
      </c>
      <c r="AK526" s="6">
        <f>B526*0.065</f>
        <v/>
      </c>
      <c r="AL526" s="6">
        <f>SUM(B526,AD526,AE526,AF526,AG526,AH526,AI526,U526,V526,AJ526,AK526)</f>
        <v/>
      </c>
      <c r="AM526" s="6">
        <f>B526*0.055</f>
        <v/>
      </c>
      <c r="AN526" s="6">
        <f>B526*0.035</f>
        <v/>
      </c>
      <c r="AO526" s="6">
        <f>B526*0.165</f>
        <v/>
      </c>
      <c r="AP526" s="6">
        <f>MAX(0,AL526-AM526-AO526)</f>
        <v/>
      </c>
      <c r="AQ526" s="6">
        <f>IF(AP526&lt;=490,0,IF(AP526&lt;=600,(AP526-490)*0.05,IF(AP526&lt;=730,5.5+(AP526-600)*0.10,IF(AP526&lt;=3896.67,18.5+(AP526-730)*0.175,IF(AP526&lt;=19896.67,572.67+(AP526-3896.67)*0.25,IF(AP526&lt;=50416.67,4572.67+(AP526-19896.67)*0.30,13728.67+(AP526-50416.67)*0.35))))))</f>
        <v/>
      </c>
      <c r="AR526" s="6">
        <f>SUM(AM526,AQ526,W526,X526,Y526,Z526,AA526,AN526,AO526)</f>
        <v/>
      </c>
      <c r="AS526" s="6">
        <f>AL526-AR526</f>
        <v/>
      </c>
      <c r="AT526" s="6">
        <f>AB526-AC526</f>
        <v/>
      </c>
    </row>
    <row r="527">
      <c r="A527" s="2" t="n"/>
      <c r="B527" s="3" t="n"/>
      <c r="C527" s="4" t="n"/>
      <c r="D527" s="5" t="n"/>
      <c r="E527" s="3" t="n"/>
      <c r="F527" s="4" t="n"/>
      <c r="G527" s="5" t="n"/>
      <c r="H527" s="3" t="n"/>
      <c r="I527" s="4" t="n"/>
      <c r="J527" s="5" t="n"/>
      <c r="K527" s="3" t="n"/>
      <c r="L527" s="4" t="n"/>
      <c r="M527" s="5" t="n"/>
      <c r="N527" s="3" t="n"/>
      <c r="O527" s="4" t="n"/>
      <c r="P527" s="5" t="n"/>
      <c r="Q527" s="3" t="n"/>
      <c r="R527" s="4" t="n"/>
      <c r="S527" s="5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6">
        <f>IF(C527=0,0,IF(E527="",B527*D527/100,E527))</f>
        <v/>
      </c>
      <c r="AE527" s="6">
        <f>IF(F527=0,0,IF(H527="",B527*G527/100,H527))</f>
        <v/>
      </c>
      <c r="AF527" s="6">
        <f>IF(I527=0,0,IF(K527="",B527*J527/100,K527))</f>
        <v/>
      </c>
      <c r="AG527" s="6">
        <f>IF(L527=0,0,IF(N527="",B527*M527/100,N527))</f>
        <v/>
      </c>
      <c r="AH527" s="6">
        <f>IF(O527=0,0,IF(Q527="",B527*P527/100,Q527))</f>
        <v/>
      </c>
      <c r="AI527" s="6">
        <f>IF(R527=0,0,IF(T527="",B527*S527/100,T527))</f>
        <v/>
      </c>
      <c r="AJ527" s="6">
        <f>B527*0.035</f>
        <v/>
      </c>
      <c r="AK527" s="6">
        <f>B527*0.065</f>
        <v/>
      </c>
      <c r="AL527" s="6">
        <f>SUM(B527,AD527,AE527,AF527,AG527,AH527,AI527,U527,V527,AJ527,AK527)</f>
        <v/>
      </c>
      <c r="AM527" s="6">
        <f>B527*0.055</f>
        <v/>
      </c>
      <c r="AN527" s="6">
        <f>B527*0.035</f>
        <v/>
      </c>
      <c r="AO527" s="6">
        <f>B527*0.165</f>
        <v/>
      </c>
      <c r="AP527" s="6">
        <f>MAX(0,AL527-AM527-AO527)</f>
        <v/>
      </c>
      <c r="AQ527" s="6">
        <f>IF(AP527&lt;=490,0,IF(AP527&lt;=600,(AP527-490)*0.05,IF(AP527&lt;=730,5.5+(AP527-600)*0.10,IF(AP527&lt;=3896.67,18.5+(AP527-730)*0.175,IF(AP527&lt;=19896.67,572.67+(AP527-3896.67)*0.25,IF(AP527&lt;=50416.67,4572.67+(AP527-19896.67)*0.30,13728.67+(AP527-50416.67)*0.35))))))</f>
        <v/>
      </c>
      <c r="AR527" s="6">
        <f>SUM(AM527,AQ527,W527,X527,Y527,Z527,AA527,AN527,AO527)</f>
        <v/>
      </c>
      <c r="AS527" s="6">
        <f>AL527-AR527</f>
        <v/>
      </c>
      <c r="AT527" s="6">
        <f>AB527-AC527</f>
        <v/>
      </c>
    </row>
    <row r="528">
      <c r="A528" s="2" t="n"/>
      <c r="B528" s="3" t="n"/>
      <c r="C528" s="4" t="n"/>
      <c r="D528" s="5" t="n"/>
      <c r="E528" s="3" t="n"/>
      <c r="F528" s="4" t="n"/>
      <c r="G528" s="5" t="n"/>
      <c r="H528" s="3" t="n"/>
      <c r="I528" s="4" t="n"/>
      <c r="J528" s="5" t="n"/>
      <c r="K528" s="3" t="n"/>
      <c r="L528" s="4" t="n"/>
      <c r="M528" s="5" t="n"/>
      <c r="N528" s="3" t="n"/>
      <c r="O528" s="4" t="n"/>
      <c r="P528" s="5" t="n"/>
      <c r="Q528" s="3" t="n"/>
      <c r="R528" s="4" t="n"/>
      <c r="S528" s="5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6">
        <f>IF(C528=0,0,IF(E528="",B528*D528/100,E528))</f>
        <v/>
      </c>
      <c r="AE528" s="6">
        <f>IF(F528=0,0,IF(H528="",B528*G528/100,H528))</f>
        <v/>
      </c>
      <c r="AF528" s="6">
        <f>IF(I528=0,0,IF(K528="",B528*J528/100,K528))</f>
        <v/>
      </c>
      <c r="AG528" s="6">
        <f>IF(L528=0,0,IF(N528="",B528*M528/100,N528))</f>
        <v/>
      </c>
      <c r="AH528" s="6">
        <f>IF(O528=0,0,IF(Q528="",B528*P528/100,Q528))</f>
        <v/>
      </c>
      <c r="AI528" s="6">
        <f>IF(R528=0,0,IF(T528="",B528*S528/100,T528))</f>
        <v/>
      </c>
      <c r="AJ528" s="6">
        <f>B528*0.035</f>
        <v/>
      </c>
      <c r="AK528" s="6">
        <f>B528*0.065</f>
        <v/>
      </c>
      <c r="AL528" s="6">
        <f>SUM(B528,AD528,AE528,AF528,AG528,AH528,AI528,U528,V528,AJ528,AK528)</f>
        <v/>
      </c>
      <c r="AM528" s="6">
        <f>B528*0.055</f>
        <v/>
      </c>
      <c r="AN528" s="6">
        <f>B528*0.035</f>
        <v/>
      </c>
      <c r="AO528" s="6">
        <f>B528*0.165</f>
        <v/>
      </c>
      <c r="AP528" s="6">
        <f>MAX(0,AL528-AM528-AO528)</f>
        <v/>
      </c>
      <c r="AQ528" s="6">
        <f>IF(AP528&lt;=490,0,IF(AP528&lt;=600,(AP528-490)*0.05,IF(AP528&lt;=730,5.5+(AP528-600)*0.10,IF(AP528&lt;=3896.67,18.5+(AP528-730)*0.175,IF(AP528&lt;=19896.67,572.67+(AP528-3896.67)*0.25,IF(AP528&lt;=50416.67,4572.67+(AP528-19896.67)*0.30,13728.67+(AP528-50416.67)*0.35))))))</f>
        <v/>
      </c>
      <c r="AR528" s="6">
        <f>SUM(AM528,AQ528,W528,X528,Y528,Z528,AA528,AN528,AO528)</f>
        <v/>
      </c>
      <c r="AS528" s="6">
        <f>AL528-AR528</f>
        <v/>
      </c>
      <c r="AT528" s="6">
        <f>AB528-AC528</f>
        <v/>
      </c>
    </row>
    <row r="529">
      <c r="A529" s="2" t="n"/>
      <c r="B529" s="3" t="n"/>
      <c r="C529" s="4" t="n"/>
      <c r="D529" s="5" t="n"/>
      <c r="E529" s="3" t="n"/>
      <c r="F529" s="4" t="n"/>
      <c r="G529" s="5" t="n"/>
      <c r="H529" s="3" t="n"/>
      <c r="I529" s="4" t="n"/>
      <c r="J529" s="5" t="n"/>
      <c r="K529" s="3" t="n"/>
      <c r="L529" s="4" t="n"/>
      <c r="M529" s="5" t="n"/>
      <c r="N529" s="3" t="n"/>
      <c r="O529" s="4" t="n"/>
      <c r="P529" s="5" t="n"/>
      <c r="Q529" s="3" t="n"/>
      <c r="R529" s="4" t="n"/>
      <c r="S529" s="5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6">
        <f>IF(C529=0,0,IF(E529="",B529*D529/100,E529))</f>
        <v/>
      </c>
      <c r="AE529" s="6">
        <f>IF(F529=0,0,IF(H529="",B529*G529/100,H529))</f>
        <v/>
      </c>
      <c r="AF529" s="6">
        <f>IF(I529=0,0,IF(K529="",B529*J529/100,K529))</f>
        <v/>
      </c>
      <c r="AG529" s="6">
        <f>IF(L529=0,0,IF(N529="",B529*M529/100,N529))</f>
        <v/>
      </c>
      <c r="AH529" s="6">
        <f>IF(O529=0,0,IF(Q529="",B529*P529/100,Q529))</f>
        <v/>
      </c>
      <c r="AI529" s="6">
        <f>IF(R529=0,0,IF(T529="",B529*S529/100,T529))</f>
        <v/>
      </c>
      <c r="AJ529" s="6">
        <f>B529*0.035</f>
        <v/>
      </c>
      <c r="AK529" s="6">
        <f>B529*0.065</f>
        <v/>
      </c>
      <c r="AL529" s="6">
        <f>SUM(B529,AD529,AE529,AF529,AG529,AH529,AI529,U529,V529,AJ529,AK529)</f>
        <v/>
      </c>
      <c r="AM529" s="6">
        <f>B529*0.055</f>
        <v/>
      </c>
      <c r="AN529" s="6">
        <f>B529*0.035</f>
        <v/>
      </c>
      <c r="AO529" s="6">
        <f>B529*0.165</f>
        <v/>
      </c>
      <c r="AP529" s="6">
        <f>MAX(0,AL529-AM529-AO529)</f>
        <v/>
      </c>
      <c r="AQ529" s="6">
        <f>IF(AP529&lt;=490,0,IF(AP529&lt;=600,(AP529-490)*0.05,IF(AP529&lt;=730,5.5+(AP529-600)*0.10,IF(AP529&lt;=3896.67,18.5+(AP529-730)*0.175,IF(AP529&lt;=19896.67,572.67+(AP529-3896.67)*0.25,IF(AP529&lt;=50416.67,4572.67+(AP529-19896.67)*0.30,13728.67+(AP529-50416.67)*0.35))))))</f>
        <v/>
      </c>
      <c r="AR529" s="6">
        <f>SUM(AM529,AQ529,W529,X529,Y529,Z529,AA529,AN529,AO529)</f>
        <v/>
      </c>
      <c r="AS529" s="6">
        <f>AL529-AR529</f>
        <v/>
      </c>
      <c r="AT529" s="6">
        <f>AB529-AC529</f>
        <v/>
      </c>
    </row>
    <row r="530">
      <c r="A530" s="2" t="n"/>
      <c r="B530" s="3" t="n"/>
      <c r="C530" s="4" t="n"/>
      <c r="D530" s="5" t="n"/>
      <c r="E530" s="3" t="n"/>
      <c r="F530" s="4" t="n"/>
      <c r="G530" s="5" t="n"/>
      <c r="H530" s="3" t="n"/>
      <c r="I530" s="4" t="n"/>
      <c r="J530" s="5" t="n"/>
      <c r="K530" s="3" t="n"/>
      <c r="L530" s="4" t="n"/>
      <c r="M530" s="5" t="n"/>
      <c r="N530" s="3" t="n"/>
      <c r="O530" s="4" t="n"/>
      <c r="P530" s="5" t="n"/>
      <c r="Q530" s="3" t="n"/>
      <c r="R530" s="4" t="n"/>
      <c r="S530" s="5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6">
        <f>IF(C530=0,0,IF(E530="",B530*D530/100,E530))</f>
        <v/>
      </c>
      <c r="AE530" s="6">
        <f>IF(F530=0,0,IF(H530="",B530*G530/100,H530))</f>
        <v/>
      </c>
      <c r="AF530" s="6">
        <f>IF(I530=0,0,IF(K530="",B530*J530/100,K530))</f>
        <v/>
      </c>
      <c r="AG530" s="6">
        <f>IF(L530=0,0,IF(N530="",B530*M530/100,N530))</f>
        <v/>
      </c>
      <c r="AH530" s="6">
        <f>IF(O530=0,0,IF(Q530="",B530*P530/100,Q530))</f>
        <v/>
      </c>
      <c r="AI530" s="6">
        <f>IF(R530=0,0,IF(T530="",B530*S530/100,T530))</f>
        <v/>
      </c>
      <c r="AJ530" s="6">
        <f>B530*0.035</f>
        <v/>
      </c>
      <c r="AK530" s="6">
        <f>B530*0.065</f>
        <v/>
      </c>
      <c r="AL530" s="6">
        <f>SUM(B530,AD530,AE530,AF530,AG530,AH530,AI530,U530,V530,AJ530,AK530)</f>
        <v/>
      </c>
      <c r="AM530" s="6">
        <f>B530*0.055</f>
        <v/>
      </c>
      <c r="AN530" s="6">
        <f>B530*0.035</f>
        <v/>
      </c>
      <c r="AO530" s="6">
        <f>B530*0.165</f>
        <v/>
      </c>
      <c r="AP530" s="6">
        <f>MAX(0,AL530-AM530-AO530)</f>
        <v/>
      </c>
      <c r="AQ530" s="6">
        <f>IF(AP530&lt;=490,0,IF(AP530&lt;=600,(AP530-490)*0.05,IF(AP530&lt;=730,5.5+(AP530-600)*0.10,IF(AP530&lt;=3896.67,18.5+(AP530-730)*0.175,IF(AP530&lt;=19896.67,572.67+(AP530-3896.67)*0.25,IF(AP530&lt;=50416.67,4572.67+(AP530-19896.67)*0.30,13728.67+(AP530-50416.67)*0.35))))))</f>
        <v/>
      </c>
      <c r="AR530" s="6">
        <f>SUM(AM530,AQ530,W530,X530,Y530,Z530,AA530,AN530,AO530)</f>
        <v/>
      </c>
      <c r="AS530" s="6">
        <f>AL530-AR530</f>
        <v/>
      </c>
      <c r="AT530" s="6">
        <f>AB530-AC530</f>
        <v/>
      </c>
    </row>
    <row r="531">
      <c r="A531" s="2" t="n"/>
      <c r="B531" s="3" t="n"/>
      <c r="C531" s="4" t="n"/>
      <c r="D531" s="5" t="n"/>
      <c r="E531" s="3" t="n"/>
      <c r="F531" s="4" t="n"/>
      <c r="G531" s="5" t="n"/>
      <c r="H531" s="3" t="n"/>
      <c r="I531" s="4" t="n"/>
      <c r="J531" s="5" t="n"/>
      <c r="K531" s="3" t="n"/>
      <c r="L531" s="4" t="n"/>
      <c r="M531" s="5" t="n"/>
      <c r="N531" s="3" t="n"/>
      <c r="O531" s="4" t="n"/>
      <c r="P531" s="5" t="n"/>
      <c r="Q531" s="3" t="n"/>
      <c r="R531" s="4" t="n"/>
      <c r="S531" s="5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6">
        <f>IF(C531=0,0,IF(E531="",B531*D531/100,E531))</f>
        <v/>
      </c>
      <c r="AE531" s="6">
        <f>IF(F531=0,0,IF(H531="",B531*G531/100,H531))</f>
        <v/>
      </c>
      <c r="AF531" s="6">
        <f>IF(I531=0,0,IF(K531="",B531*J531/100,K531))</f>
        <v/>
      </c>
      <c r="AG531" s="6">
        <f>IF(L531=0,0,IF(N531="",B531*M531/100,N531))</f>
        <v/>
      </c>
      <c r="AH531" s="6">
        <f>IF(O531=0,0,IF(Q531="",B531*P531/100,Q531))</f>
        <v/>
      </c>
      <c r="AI531" s="6">
        <f>IF(R531=0,0,IF(T531="",B531*S531/100,T531))</f>
        <v/>
      </c>
      <c r="AJ531" s="6">
        <f>B531*0.035</f>
        <v/>
      </c>
      <c r="AK531" s="6">
        <f>B531*0.065</f>
        <v/>
      </c>
      <c r="AL531" s="6">
        <f>SUM(B531,AD531,AE531,AF531,AG531,AH531,AI531,U531,V531,AJ531,AK531)</f>
        <v/>
      </c>
      <c r="AM531" s="6">
        <f>B531*0.055</f>
        <v/>
      </c>
      <c r="AN531" s="6">
        <f>B531*0.035</f>
        <v/>
      </c>
      <c r="AO531" s="6">
        <f>B531*0.165</f>
        <v/>
      </c>
      <c r="AP531" s="6">
        <f>MAX(0,AL531-AM531-AO531)</f>
        <v/>
      </c>
      <c r="AQ531" s="6">
        <f>IF(AP531&lt;=490,0,IF(AP531&lt;=600,(AP531-490)*0.05,IF(AP531&lt;=730,5.5+(AP531-600)*0.10,IF(AP531&lt;=3896.67,18.5+(AP531-730)*0.175,IF(AP531&lt;=19896.67,572.67+(AP531-3896.67)*0.25,IF(AP531&lt;=50416.67,4572.67+(AP531-19896.67)*0.30,13728.67+(AP531-50416.67)*0.35))))))</f>
        <v/>
      </c>
      <c r="AR531" s="6">
        <f>SUM(AM531,AQ531,W531,X531,Y531,Z531,AA531,AN531,AO531)</f>
        <v/>
      </c>
      <c r="AS531" s="6">
        <f>AL531-AR531</f>
        <v/>
      </c>
      <c r="AT531" s="6">
        <f>AB531-AC531</f>
        <v/>
      </c>
    </row>
    <row r="532">
      <c r="A532" s="2" t="n"/>
      <c r="B532" s="3" t="n"/>
      <c r="C532" s="4" t="n"/>
      <c r="D532" s="5" t="n"/>
      <c r="E532" s="3" t="n"/>
      <c r="F532" s="4" t="n"/>
      <c r="G532" s="5" t="n"/>
      <c r="H532" s="3" t="n"/>
      <c r="I532" s="4" t="n"/>
      <c r="J532" s="5" t="n"/>
      <c r="K532" s="3" t="n"/>
      <c r="L532" s="4" t="n"/>
      <c r="M532" s="5" t="n"/>
      <c r="N532" s="3" t="n"/>
      <c r="O532" s="4" t="n"/>
      <c r="P532" s="5" t="n"/>
      <c r="Q532" s="3" t="n"/>
      <c r="R532" s="4" t="n"/>
      <c r="S532" s="5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6">
        <f>IF(C532=0,0,IF(E532="",B532*D532/100,E532))</f>
        <v/>
      </c>
      <c r="AE532" s="6">
        <f>IF(F532=0,0,IF(H532="",B532*G532/100,H532))</f>
        <v/>
      </c>
      <c r="AF532" s="6">
        <f>IF(I532=0,0,IF(K532="",B532*J532/100,K532))</f>
        <v/>
      </c>
      <c r="AG532" s="6">
        <f>IF(L532=0,0,IF(N532="",B532*M532/100,N532))</f>
        <v/>
      </c>
      <c r="AH532" s="6">
        <f>IF(O532=0,0,IF(Q532="",B532*P532/100,Q532))</f>
        <v/>
      </c>
      <c r="AI532" s="6">
        <f>IF(R532=0,0,IF(T532="",B532*S532/100,T532))</f>
        <v/>
      </c>
      <c r="AJ532" s="6">
        <f>B532*0.035</f>
        <v/>
      </c>
      <c r="AK532" s="6">
        <f>B532*0.065</f>
        <v/>
      </c>
      <c r="AL532" s="6">
        <f>SUM(B532,AD532,AE532,AF532,AG532,AH532,AI532,U532,V532,AJ532,AK532)</f>
        <v/>
      </c>
      <c r="AM532" s="6">
        <f>B532*0.055</f>
        <v/>
      </c>
      <c r="AN532" s="6">
        <f>B532*0.035</f>
        <v/>
      </c>
      <c r="AO532" s="6">
        <f>B532*0.165</f>
        <v/>
      </c>
      <c r="AP532" s="6">
        <f>MAX(0,AL532-AM532-AO532)</f>
        <v/>
      </c>
      <c r="AQ532" s="6">
        <f>IF(AP532&lt;=490,0,IF(AP532&lt;=600,(AP532-490)*0.05,IF(AP532&lt;=730,5.5+(AP532-600)*0.10,IF(AP532&lt;=3896.67,18.5+(AP532-730)*0.175,IF(AP532&lt;=19896.67,572.67+(AP532-3896.67)*0.25,IF(AP532&lt;=50416.67,4572.67+(AP532-19896.67)*0.30,13728.67+(AP532-50416.67)*0.35))))))</f>
        <v/>
      </c>
      <c r="AR532" s="6">
        <f>SUM(AM532,AQ532,W532,X532,Y532,Z532,AA532,AN532,AO532)</f>
        <v/>
      </c>
      <c r="AS532" s="6">
        <f>AL532-AR532</f>
        <v/>
      </c>
      <c r="AT532" s="6">
        <f>AB532-AC532</f>
        <v/>
      </c>
    </row>
    <row r="533">
      <c r="A533" s="2" t="n"/>
      <c r="B533" s="3" t="n"/>
      <c r="C533" s="4" t="n"/>
      <c r="D533" s="5" t="n"/>
      <c r="E533" s="3" t="n"/>
      <c r="F533" s="4" t="n"/>
      <c r="G533" s="5" t="n"/>
      <c r="H533" s="3" t="n"/>
      <c r="I533" s="4" t="n"/>
      <c r="J533" s="5" t="n"/>
      <c r="K533" s="3" t="n"/>
      <c r="L533" s="4" t="n"/>
      <c r="M533" s="5" t="n"/>
      <c r="N533" s="3" t="n"/>
      <c r="O533" s="4" t="n"/>
      <c r="P533" s="5" t="n"/>
      <c r="Q533" s="3" t="n"/>
      <c r="R533" s="4" t="n"/>
      <c r="S533" s="5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6">
        <f>IF(C533=0,0,IF(E533="",B533*D533/100,E533))</f>
        <v/>
      </c>
      <c r="AE533" s="6">
        <f>IF(F533=0,0,IF(H533="",B533*G533/100,H533))</f>
        <v/>
      </c>
      <c r="AF533" s="6">
        <f>IF(I533=0,0,IF(K533="",B533*J533/100,K533))</f>
        <v/>
      </c>
      <c r="AG533" s="6">
        <f>IF(L533=0,0,IF(N533="",B533*M533/100,N533))</f>
        <v/>
      </c>
      <c r="AH533" s="6">
        <f>IF(O533=0,0,IF(Q533="",B533*P533/100,Q533))</f>
        <v/>
      </c>
      <c r="AI533" s="6">
        <f>IF(R533=0,0,IF(T533="",B533*S533/100,T533))</f>
        <v/>
      </c>
      <c r="AJ533" s="6">
        <f>B533*0.035</f>
        <v/>
      </c>
      <c r="AK533" s="6">
        <f>B533*0.065</f>
        <v/>
      </c>
      <c r="AL533" s="6">
        <f>SUM(B533,AD533,AE533,AF533,AG533,AH533,AI533,U533,V533,AJ533,AK533)</f>
        <v/>
      </c>
      <c r="AM533" s="6">
        <f>B533*0.055</f>
        <v/>
      </c>
      <c r="AN533" s="6">
        <f>B533*0.035</f>
        <v/>
      </c>
      <c r="AO533" s="6">
        <f>B533*0.165</f>
        <v/>
      </c>
      <c r="AP533" s="6">
        <f>MAX(0,AL533-AM533-AO533)</f>
        <v/>
      </c>
      <c r="AQ533" s="6">
        <f>IF(AP533&lt;=490,0,IF(AP533&lt;=600,(AP533-490)*0.05,IF(AP533&lt;=730,5.5+(AP533-600)*0.10,IF(AP533&lt;=3896.67,18.5+(AP533-730)*0.175,IF(AP533&lt;=19896.67,572.67+(AP533-3896.67)*0.25,IF(AP533&lt;=50416.67,4572.67+(AP533-19896.67)*0.30,13728.67+(AP533-50416.67)*0.35))))))</f>
        <v/>
      </c>
      <c r="AR533" s="6">
        <f>SUM(AM533,AQ533,W533,X533,Y533,Z533,AA533,AN533,AO533)</f>
        <v/>
      </c>
      <c r="AS533" s="6">
        <f>AL533-AR533</f>
        <v/>
      </c>
      <c r="AT533" s="6">
        <f>AB533-AC533</f>
        <v/>
      </c>
    </row>
    <row r="534">
      <c r="A534" s="2" t="n"/>
      <c r="B534" s="3" t="n"/>
      <c r="C534" s="4" t="n"/>
      <c r="D534" s="5" t="n"/>
      <c r="E534" s="3" t="n"/>
      <c r="F534" s="4" t="n"/>
      <c r="G534" s="5" t="n"/>
      <c r="H534" s="3" t="n"/>
      <c r="I534" s="4" t="n"/>
      <c r="J534" s="5" t="n"/>
      <c r="K534" s="3" t="n"/>
      <c r="L534" s="4" t="n"/>
      <c r="M534" s="5" t="n"/>
      <c r="N534" s="3" t="n"/>
      <c r="O534" s="4" t="n"/>
      <c r="P534" s="5" t="n"/>
      <c r="Q534" s="3" t="n"/>
      <c r="R534" s="4" t="n"/>
      <c r="S534" s="5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6">
        <f>IF(C534=0,0,IF(E534="",B534*D534/100,E534))</f>
        <v/>
      </c>
      <c r="AE534" s="6">
        <f>IF(F534=0,0,IF(H534="",B534*G534/100,H534))</f>
        <v/>
      </c>
      <c r="AF534" s="6">
        <f>IF(I534=0,0,IF(K534="",B534*J534/100,K534))</f>
        <v/>
      </c>
      <c r="AG534" s="6">
        <f>IF(L534=0,0,IF(N534="",B534*M534/100,N534))</f>
        <v/>
      </c>
      <c r="AH534" s="6">
        <f>IF(O534=0,0,IF(Q534="",B534*P534/100,Q534))</f>
        <v/>
      </c>
      <c r="AI534" s="6">
        <f>IF(R534=0,0,IF(T534="",B534*S534/100,T534))</f>
        <v/>
      </c>
      <c r="AJ534" s="6">
        <f>B534*0.035</f>
        <v/>
      </c>
      <c r="AK534" s="6">
        <f>B534*0.065</f>
        <v/>
      </c>
      <c r="AL534" s="6">
        <f>SUM(B534,AD534,AE534,AF534,AG534,AH534,AI534,U534,V534,AJ534,AK534)</f>
        <v/>
      </c>
      <c r="AM534" s="6">
        <f>B534*0.055</f>
        <v/>
      </c>
      <c r="AN534" s="6">
        <f>B534*0.035</f>
        <v/>
      </c>
      <c r="AO534" s="6">
        <f>B534*0.165</f>
        <v/>
      </c>
      <c r="AP534" s="6">
        <f>MAX(0,AL534-AM534-AO534)</f>
        <v/>
      </c>
      <c r="AQ534" s="6">
        <f>IF(AP534&lt;=490,0,IF(AP534&lt;=600,(AP534-490)*0.05,IF(AP534&lt;=730,5.5+(AP534-600)*0.10,IF(AP534&lt;=3896.67,18.5+(AP534-730)*0.175,IF(AP534&lt;=19896.67,572.67+(AP534-3896.67)*0.25,IF(AP534&lt;=50416.67,4572.67+(AP534-19896.67)*0.30,13728.67+(AP534-50416.67)*0.35))))))</f>
        <v/>
      </c>
      <c r="AR534" s="6">
        <f>SUM(AM534,AQ534,W534,X534,Y534,Z534,AA534,AN534,AO534)</f>
        <v/>
      </c>
      <c r="AS534" s="6">
        <f>AL534-AR534</f>
        <v/>
      </c>
      <c r="AT534" s="6">
        <f>AB534-AC534</f>
        <v/>
      </c>
    </row>
    <row r="535">
      <c r="A535" s="2" t="n"/>
      <c r="B535" s="3" t="n"/>
      <c r="C535" s="4" t="n"/>
      <c r="D535" s="5" t="n"/>
      <c r="E535" s="3" t="n"/>
      <c r="F535" s="4" t="n"/>
      <c r="G535" s="5" t="n"/>
      <c r="H535" s="3" t="n"/>
      <c r="I535" s="4" t="n"/>
      <c r="J535" s="5" t="n"/>
      <c r="K535" s="3" t="n"/>
      <c r="L535" s="4" t="n"/>
      <c r="M535" s="5" t="n"/>
      <c r="N535" s="3" t="n"/>
      <c r="O535" s="4" t="n"/>
      <c r="P535" s="5" t="n"/>
      <c r="Q535" s="3" t="n"/>
      <c r="R535" s="4" t="n"/>
      <c r="S535" s="5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6">
        <f>IF(C535=0,0,IF(E535="",B535*D535/100,E535))</f>
        <v/>
      </c>
      <c r="AE535" s="6">
        <f>IF(F535=0,0,IF(H535="",B535*G535/100,H535))</f>
        <v/>
      </c>
      <c r="AF535" s="6">
        <f>IF(I535=0,0,IF(K535="",B535*J535/100,K535))</f>
        <v/>
      </c>
      <c r="AG535" s="6">
        <f>IF(L535=0,0,IF(N535="",B535*M535/100,N535))</f>
        <v/>
      </c>
      <c r="AH535" s="6">
        <f>IF(O535=0,0,IF(Q535="",B535*P535/100,Q535))</f>
        <v/>
      </c>
      <c r="AI535" s="6">
        <f>IF(R535=0,0,IF(T535="",B535*S535/100,T535))</f>
        <v/>
      </c>
      <c r="AJ535" s="6">
        <f>B535*0.035</f>
        <v/>
      </c>
      <c r="AK535" s="6">
        <f>B535*0.065</f>
        <v/>
      </c>
      <c r="AL535" s="6">
        <f>SUM(B535,AD535,AE535,AF535,AG535,AH535,AI535,U535,V535,AJ535,AK535)</f>
        <v/>
      </c>
      <c r="AM535" s="6">
        <f>B535*0.055</f>
        <v/>
      </c>
      <c r="AN535" s="6">
        <f>B535*0.035</f>
        <v/>
      </c>
      <c r="AO535" s="6">
        <f>B535*0.165</f>
        <v/>
      </c>
      <c r="AP535" s="6">
        <f>MAX(0,AL535-AM535-AO535)</f>
        <v/>
      </c>
      <c r="AQ535" s="6">
        <f>IF(AP535&lt;=490,0,IF(AP535&lt;=600,(AP535-490)*0.05,IF(AP535&lt;=730,5.5+(AP535-600)*0.10,IF(AP535&lt;=3896.67,18.5+(AP535-730)*0.175,IF(AP535&lt;=19896.67,572.67+(AP535-3896.67)*0.25,IF(AP535&lt;=50416.67,4572.67+(AP535-19896.67)*0.30,13728.67+(AP535-50416.67)*0.35))))))</f>
        <v/>
      </c>
      <c r="AR535" s="6">
        <f>SUM(AM535,AQ535,W535,X535,Y535,Z535,AA535,AN535,AO535)</f>
        <v/>
      </c>
      <c r="AS535" s="6">
        <f>AL535-AR535</f>
        <v/>
      </c>
      <c r="AT535" s="6">
        <f>AB535-AC535</f>
        <v/>
      </c>
    </row>
    <row r="536">
      <c r="A536" s="2" t="n"/>
      <c r="B536" s="3" t="n"/>
      <c r="C536" s="4" t="n"/>
      <c r="D536" s="5" t="n"/>
      <c r="E536" s="3" t="n"/>
      <c r="F536" s="4" t="n"/>
      <c r="G536" s="5" t="n"/>
      <c r="H536" s="3" t="n"/>
      <c r="I536" s="4" t="n"/>
      <c r="J536" s="5" t="n"/>
      <c r="K536" s="3" t="n"/>
      <c r="L536" s="4" t="n"/>
      <c r="M536" s="5" t="n"/>
      <c r="N536" s="3" t="n"/>
      <c r="O536" s="4" t="n"/>
      <c r="P536" s="5" t="n"/>
      <c r="Q536" s="3" t="n"/>
      <c r="R536" s="4" t="n"/>
      <c r="S536" s="5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6">
        <f>IF(C536=0,0,IF(E536="",B536*D536/100,E536))</f>
        <v/>
      </c>
      <c r="AE536" s="6">
        <f>IF(F536=0,0,IF(H536="",B536*G536/100,H536))</f>
        <v/>
      </c>
      <c r="AF536" s="6">
        <f>IF(I536=0,0,IF(K536="",B536*J536/100,K536))</f>
        <v/>
      </c>
      <c r="AG536" s="6">
        <f>IF(L536=0,0,IF(N536="",B536*M536/100,N536))</f>
        <v/>
      </c>
      <c r="AH536" s="6">
        <f>IF(O536=0,0,IF(Q536="",B536*P536/100,Q536))</f>
        <v/>
      </c>
      <c r="AI536" s="6">
        <f>IF(R536=0,0,IF(T536="",B536*S536/100,T536))</f>
        <v/>
      </c>
      <c r="AJ536" s="6">
        <f>B536*0.035</f>
        <v/>
      </c>
      <c r="AK536" s="6">
        <f>B536*0.065</f>
        <v/>
      </c>
      <c r="AL536" s="6">
        <f>SUM(B536,AD536,AE536,AF536,AG536,AH536,AI536,U536,V536,AJ536,AK536)</f>
        <v/>
      </c>
      <c r="AM536" s="6">
        <f>B536*0.055</f>
        <v/>
      </c>
      <c r="AN536" s="6">
        <f>B536*0.035</f>
        <v/>
      </c>
      <c r="AO536" s="6">
        <f>B536*0.165</f>
        <v/>
      </c>
      <c r="AP536" s="6">
        <f>MAX(0,AL536-AM536-AO536)</f>
        <v/>
      </c>
      <c r="AQ536" s="6">
        <f>IF(AP536&lt;=490,0,IF(AP536&lt;=600,(AP536-490)*0.05,IF(AP536&lt;=730,5.5+(AP536-600)*0.10,IF(AP536&lt;=3896.67,18.5+(AP536-730)*0.175,IF(AP536&lt;=19896.67,572.67+(AP536-3896.67)*0.25,IF(AP536&lt;=50416.67,4572.67+(AP536-19896.67)*0.30,13728.67+(AP536-50416.67)*0.35))))))</f>
        <v/>
      </c>
      <c r="AR536" s="6">
        <f>SUM(AM536,AQ536,W536,X536,Y536,Z536,AA536,AN536,AO536)</f>
        <v/>
      </c>
      <c r="AS536" s="6">
        <f>AL536-AR536</f>
        <v/>
      </c>
      <c r="AT536" s="6">
        <f>AB536-AC536</f>
        <v/>
      </c>
    </row>
    <row r="537">
      <c r="A537" s="2" t="n"/>
      <c r="B537" s="3" t="n"/>
      <c r="C537" s="4" t="n"/>
      <c r="D537" s="5" t="n"/>
      <c r="E537" s="3" t="n"/>
      <c r="F537" s="4" t="n"/>
      <c r="G537" s="5" t="n"/>
      <c r="H537" s="3" t="n"/>
      <c r="I537" s="4" t="n"/>
      <c r="J537" s="5" t="n"/>
      <c r="K537" s="3" t="n"/>
      <c r="L537" s="4" t="n"/>
      <c r="M537" s="5" t="n"/>
      <c r="N537" s="3" t="n"/>
      <c r="O537" s="4" t="n"/>
      <c r="P537" s="5" t="n"/>
      <c r="Q537" s="3" t="n"/>
      <c r="R537" s="4" t="n"/>
      <c r="S537" s="5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6">
        <f>IF(C537=0,0,IF(E537="",B537*D537/100,E537))</f>
        <v/>
      </c>
      <c r="AE537" s="6">
        <f>IF(F537=0,0,IF(H537="",B537*G537/100,H537))</f>
        <v/>
      </c>
      <c r="AF537" s="6">
        <f>IF(I537=0,0,IF(K537="",B537*J537/100,K537))</f>
        <v/>
      </c>
      <c r="AG537" s="6">
        <f>IF(L537=0,0,IF(N537="",B537*M537/100,N537))</f>
        <v/>
      </c>
      <c r="AH537" s="6">
        <f>IF(O537=0,0,IF(Q537="",B537*P537/100,Q537))</f>
        <v/>
      </c>
      <c r="AI537" s="6">
        <f>IF(R537=0,0,IF(T537="",B537*S537/100,T537))</f>
        <v/>
      </c>
      <c r="AJ537" s="6">
        <f>B537*0.035</f>
        <v/>
      </c>
      <c r="AK537" s="6">
        <f>B537*0.065</f>
        <v/>
      </c>
      <c r="AL537" s="6">
        <f>SUM(B537,AD537,AE537,AF537,AG537,AH537,AI537,U537,V537,AJ537,AK537)</f>
        <v/>
      </c>
      <c r="AM537" s="6">
        <f>B537*0.055</f>
        <v/>
      </c>
      <c r="AN537" s="6">
        <f>B537*0.035</f>
        <v/>
      </c>
      <c r="AO537" s="6">
        <f>B537*0.165</f>
        <v/>
      </c>
      <c r="AP537" s="6">
        <f>MAX(0,AL537-AM537-AO537)</f>
        <v/>
      </c>
      <c r="AQ537" s="6">
        <f>IF(AP537&lt;=490,0,IF(AP537&lt;=600,(AP537-490)*0.05,IF(AP537&lt;=730,5.5+(AP537-600)*0.10,IF(AP537&lt;=3896.67,18.5+(AP537-730)*0.175,IF(AP537&lt;=19896.67,572.67+(AP537-3896.67)*0.25,IF(AP537&lt;=50416.67,4572.67+(AP537-19896.67)*0.30,13728.67+(AP537-50416.67)*0.35))))))</f>
        <v/>
      </c>
      <c r="AR537" s="6">
        <f>SUM(AM537,AQ537,W537,X537,Y537,Z537,AA537,AN537,AO537)</f>
        <v/>
      </c>
      <c r="AS537" s="6">
        <f>AL537-AR537</f>
        <v/>
      </c>
      <c r="AT537" s="6">
        <f>AB537-AC537</f>
        <v/>
      </c>
    </row>
    <row r="538">
      <c r="A538" s="2" t="n"/>
      <c r="B538" s="3" t="n"/>
      <c r="C538" s="4" t="n"/>
      <c r="D538" s="5" t="n"/>
      <c r="E538" s="3" t="n"/>
      <c r="F538" s="4" t="n"/>
      <c r="G538" s="5" t="n"/>
      <c r="H538" s="3" t="n"/>
      <c r="I538" s="4" t="n"/>
      <c r="J538" s="5" t="n"/>
      <c r="K538" s="3" t="n"/>
      <c r="L538" s="4" t="n"/>
      <c r="M538" s="5" t="n"/>
      <c r="N538" s="3" t="n"/>
      <c r="O538" s="4" t="n"/>
      <c r="P538" s="5" t="n"/>
      <c r="Q538" s="3" t="n"/>
      <c r="R538" s="4" t="n"/>
      <c r="S538" s="5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6">
        <f>IF(C538=0,0,IF(E538="",B538*D538/100,E538))</f>
        <v/>
      </c>
      <c r="AE538" s="6">
        <f>IF(F538=0,0,IF(H538="",B538*G538/100,H538))</f>
        <v/>
      </c>
      <c r="AF538" s="6">
        <f>IF(I538=0,0,IF(K538="",B538*J538/100,K538))</f>
        <v/>
      </c>
      <c r="AG538" s="6">
        <f>IF(L538=0,0,IF(N538="",B538*M538/100,N538))</f>
        <v/>
      </c>
      <c r="AH538" s="6">
        <f>IF(O538=0,0,IF(Q538="",B538*P538/100,Q538))</f>
        <v/>
      </c>
      <c r="AI538" s="6">
        <f>IF(R538=0,0,IF(T538="",B538*S538/100,T538))</f>
        <v/>
      </c>
      <c r="AJ538" s="6">
        <f>B538*0.035</f>
        <v/>
      </c>
      <c r="AK538" s="6">
        <f>B538*0.065</f>
        <v/>
      </c>
      <c r="AL538" s="6">
        <f>SUM(B538,AD538,AE538,AF538,AG538,AH538,AI538,U538,V538,AJ538,AK538)</f>
        <v/>
      </c>
      <c r="AM538" s="6">
        <f>B538*0.055</f>
        <v/>
      </c>
      <c r="AN538" s="6">
        <f>B538*0.035</f>
        <v/>
      </c>
      <c r="AO538" s="6">
        <f>B538*0.165</f>
        <v/>
      </c>
      <c r="AP538" s="6">
        <f>MAX(0,AL538-AM538-AO538)</f>
        <v/>
      </c>
      <c r="AQ538" s="6">
        <f>IF(AP538&lt;=490,0,IF(AP538&lt;=600,(AP538-490)*0.05,IF(AP538&lt;=730,5.5+(AP538-600)*0.10,IF(AP538&lt;=3896.67,18.5+(AP538-730)*0.175,IF(AP538&lt;=19896.67,572.67+(AP538-3896.67)*0.25,IF(AP538&lt;=50416.67,4572.67+(AP538-19896.67)*0.30,13728.67+(AP538-50416.67)*0.35))))))</f>
        <v/>
      </c>
      <c r="AR538" s="6">
        <f>SUM(AM538,AQ538,W538,X538,Y538,Z538,AA538,AN538,AO538)</f>
        <v/>
      </c>
      <c r="AS538" s="6">
        <f>AL538-AR538</f>
        <v/>
      </c>
      <c r="AT538" s="6">
        <f>AB538-AC538</f>
        <v/>
      </c>
    </row>
    <row r="539">
      <c r="A539" s="2" t="n"/>
      <c r="B539" s="3" t="n"/>
      <c r="C539" s="4" t="n"/>
      <c r="D539" s="5" t="n"/>
      <c r="E539" s="3" t="n"/>
      <c r="F539" s="4" t="n"/>
      <c r="G539" s="5" t="n"/>
      <c r="H539" s="3" t="n"/>
      <c r="I539" s="4" t="n"/>
      <c r="J539" s="5" t="n"/>
      <c r="K539" s="3" t="n"/>
      <c r="L539" s="4" t="n"/>
      <c r="M539" s="5" t="n"/>
      <c r="N539" s="3" t="n"/>
      <c r="O539" s="4" t="n"/>
      <c r="P539" s="5" t="n"/>
      <c r="Q539" s="3" t="n"/>
      <c r="R539" s="4" t="n"/>
      <c r="S539" s="5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6">
        <f>IF(C539=0,0,IF(E539="",B539*D539/100,E539))</f>
        <v/>
      </c>
      <c r="AE539" s="6">
        <f>IF(F539=0,0,IF(H539="",B539*G539/100,H539))</f>
        <v/>
      </c>
      <c r="AF539" s="6">
        <f>IF(I539=0,0,IF(K539="",B539*J539/100,K539))</f>
        <v/>
      </c>
      <c r="AG539" s="6">
        <f>IF(L539=0,0,IF(N539="",B539*M539/100,N539))</f>
        <v/>
      </c>
      <c r="AH539" s="6">
        <f>IF(O539=0,0,IF(Q539="",B539*P539/100,Q539))</f>
        <v/>
      </c>
      <c r="AI539" s="6">
        <f>IF(R539=0,0,IF(T539="",B539*S539/100,T539))</f>
        <v/>
      </c>
      <c r="AJ539" s="6">
        <f>B539*0.035</f>
        <v/>
      </c>
      <c r="AK539" s="6">
        <f>B539*0.065</f>
        <v/>
      </c>
      <c r="AL539" s="6">
        <f>SUM(B539,AD539,AE539,AF539,AG539,AH539,AI539,U539,V539,AJ539,AK539)</f>
        <v/>
      </c>
      <c r="AM539" s="6">
        <f>B539*0.055</f>
        <v/>
      </c>
      <c r="AN539" s="6">
        <f>B539*0.035</f>
        <v/>
      </c>
      <c r="AO539" s="6">
        <f>B539*0.165</f>
        <v/>
      </c>
      <c r="AP539" s="6">
        <f>MAX(0,AL539-AM539-AO539)</f>
        <v/>
      </c>
      <c r="AQ539" s="6">
        <f>IF(AP539&lt;=490,0,IF(AP539&lt;=600,(AP539-490)*0.05,IF(AP539&lt;=730,5.5+(AP539-600)*0.10,IF(AP539&lt;=3896.67,18.5+(AP539-730)*0.175,IF(AP539&lt;=19896.67,572.67+(AP539-3896.67)*0.25,IF(AP539&lt;=50416.67,4572.67+(AP539-19896.67)*0.30,13728.67+(AP539-50416.67)*0.35))))))</f>
        <v/>
      </c>
      <c r="AR539" s="6">
        <f>SUM(AM539,AQ539,W539,X539,Y539,Z539,AA539,AN539,AO539)</f>
        <v/>
      </c>
      <c r="AS539" s="6">
        <f>AL539-AR539</f>
        <v/>
      </c>
      <c r="AT539" s="6">
        <f>AB539-AC539</f>
        <v/>
      </c>
    </row>
    <row r="540">
      <c r="A540" s="2" t="n"/>
      <c r="B540" s="3" t="n"/>
      <c r="C540" s="4" t="n"/>
      <c r="D540" s="5" t="n"/>
      <c r="E540" s="3" t="n"/>
      <c r="F540" s="4" t="n"/>
      <c r="G540" s="5" t="n"/>
      <c r="H540" s="3" t="n"/>
      <c r="I540" s="4" t="n"/>
      <c r="J540" s="5" t="n"/>
      <c r="K540" s="3" t="n"/>
      <c r="L540" s="4" t="n"/>
      <c r="M540" s="5" t="n"/>
      <c r="N540" s="3" t="n"/>
      <c r="O540" s="4" t="n"/>
      <c r="P540" s="5" t="n"/>
      <c r="Q540" s="3" t="n"/>
      <c r="R540" s="4" t="n"/>
      <c r="S540" s="5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6">
        <f>IF(C540=0,0,IF(E540="",B540*D540/100,E540))</f>
        <v/>
      </c>
      <c r="AE540" s="6">
        <f>IF(F540=0,0,IF(H540="",B540*G540/100,H540))</f>
        <v/>
      </c>
      <c r="AF540" s="6">
        <f>IF(I540=0,0,IF(K540="",B540*J540/100,K540))</f>
        <v/>
      </c>
      <c r="AG540" s="6">
        <f>IF(L540=0,0,IF(N540="",B540*M540/100,N540))</f>
        <v/>
      </c>
      <c r="AH540" s="6">
        <f>IF(O540=0,0,IF(Q540="",B540*P540/100,Q540))</f>
        <v/>
      </c>
      <c r="AI540" s="6">
        <f>IF(R540=0,0,IF(T540="",B540*S540/100,T540))</f>
        <v/>
      </c>
      <c r="AJ540" s="6">
        <f>B540*0.035</f>
        <v/>
      </c>
      <c r="AK540" s="6">
        <f>B540*0.065</f>
        <v/>
      </c>
      <c r="AL540" s="6">
        <f>SUM(B540,AD540,AE540,AF540,AG540,AH540,AI540,U540,V540,AJ540,AK540)</f>
        <v/>
      </c>
      <c r="AM540" s="6">
        <f>B540*0.055</f>
        <v/>
      </c>
      <c r="AN540" s="6">
        <f>B540*0.035</f>
        <v/>
      </c>
      <c r="AO540" s="6">
        <f>B540*0.165</f>
        <v/>
      </c>
      <c r="AP540" s="6">
        <f>MAX(0,AL540-AM540-AO540)</f>
        <v/>
      </c>
      <c r="AQ540" s="6">
        <f>IF(AP540&lt;=490,0,IF(AP540&lt;=600,(AP540-490)*0.05,IF(AP540&lt;=730,5.5+(AP540-600)*0.10,IF(AP540&lt;=3896.67,18.5+(AP540-730)*0.175,IF(AP540&lt;=19896.67,572.67+(AP540-3896.67)*0.25,IF(AP540&lt;=50416.67,4572.67+(AP540-19896.67)*0.30,13728.67+(AP540-50416.67)*0.35))))))</f>
        <v/>
      </c>
      <c r="AR540" s="6">
        <f>SUM(AM540,AQ540,W540,X540,Y540,Z540,AA540,AN540,AO540)</f>
        <v/>
      </c>
      <c r="AS540" s="6">
        <f>AL540-AR540</f>
        <v/>
      </c>
      <c r="AT540" s="6">
        <f>AB540-AC540</f>
        <v/>
      </c>
    </row>
    <row r="541">
      <c r="A541" s="2" t="n"/>
      <c r="B541" s="3" t="n"/>
      <c r="C541" s="4" t="n"/>
      <c r="D541" s="5" t="n"/>
      <c r="E541" s="3" t="n"/>
      <c r="F541" s="4" t="n"/>
      <c r="G541" s="5" t="n"/>
      <c r="H541" s="3" t="n"/>
      <c r="I541" s="4" t="n"/>
      <c r="J541" s="5" t="n"/>
      <c r="K541" s="3" t="n"/>
      <c r="L541" s="4" t="n"/>
      <c r="M541" s="5" t="n"/>
      <c r="N541" s="3" t="n"/>
      <c r="O541" s="4" t="n"/>
      <c r="P541" s="5" t="n"/>
      <c r="Q541" s="3" t="n"/>
      <c r="R541" s="4" t="n"/>
      <c r="S541" s="5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6">
        <f>IF(C541=0,0,IF(E541="",B541*D541/100,E541))</f>
        <v/>
      </c>
      <c r="AE541" s="6">
        <f>IF(F541=0,0,IF(H541="",B541*G541/100,H541))</f>
        <v/>
      </c>
      <c r="AF541" s="6">
        <f>IF(I541=0,0,IF(K541="",B541*J541/100,K541))</f>
        <v/>
      </c>
      <c r="AG541" s="6">
        <f>IF(L541=0,0,IF(N541="",B541*M541/100,N541))</f>
        <v/>
      </c>
      <c r="AH541" s="6">
        <f>IF(O541=0,0,IF(Q541="",B541*P541/100,Q541))</f>
        <v/>
      </c>
      <c r="AI541" s="6">
        <f>IF(R541=0,0,IF(T541="",B541*S541/100,T541))</f>
        <v/>
      </c>
      <c r="AJ541" s="6">
        <f>B541*0.035</f>
        <v/>
      </c>
      <c r="AK541" s="6">
        <f>B541*0.065</f>
        <v/>
      </c>
      <c r="AL541" s="6">
        <f>SUM(B541,AD541,AE541,AF541,AG541,AH541,AI541,U541,V541,AJ541,AK541)</f>
        <v/>
      </c>
      <c r="AM541" s="6">
        <f>B541*0.055</f>
        <v/>
      </c>
      <c r="AN541" s="6">
        <f>B541*0.035</f>
        <v/>
      </c>
      <c r="AO541" s="6">
        <f>B541*0.165</f>
        <v/>
      </c>
      <c r="AP541" s="6">
        <f>MAX(0,AL541-AM541-AO541)</f>
        <v/>
      </c>
      <c r="AQ541" s="6">
        <f>IF(AP541&lt;=490,0,IF(AP541&lt;=600,(AP541-490)*0.05,IF(AP541&lt;=730,5.5+(AP541-600)*0.10,IF(AP541&lt;=3896.67,18.5+(AP541-730)*0.175,IF(AP541&lt;=19896.67,572.67+(AP541-3896.67)*0.25,IF(AP541&lt;=50416.67,4572.67+(AP541-19896.67)*0.30,13728.67+(AP541-50416.67)*0.35))))))</f>
        <v/>
      </c>
      <c r="AR541" s="6">
        <f>SUM(AM541,AQ541,W541,X541,Y541,Z541,AA541,AN541,AO541)</f>
        <v/>
      </c>
      <c r="AS541" s="6">
        <f>AL541-AR541</f>
        <v/>
      </c>
      <c r="AT541" s="6">
        <f>AB541-AC541</f>
        <v/>
      </c>
    </row>
    <row r="542">
      <c r="A542" s="2" t="n"/>
      <c r="B542" s="3" t="n"/>
      <c r="C542" s="4" t="n"/>
      <c r="D542" s="5" t="n"/>
      <c r="E542" s="3" t="n"/>
      <c r="F542" s="4" t="n"/>
      <c r="G542" s="5" t="n"/>
      <c r="H542" s="3" t="n"/>
      <c r="I542" s="4" t="n"/>
      <c r="J542" s="5" t="n"/>
      <c r="K542" s="3" t="n"/>
      <c r="L542" s="4" t="n"/>
      <c r="M542" s="5" t="n"/>
      <c r="N542" s="3" t="n"/>
      <c r="O542" s="4" t="n"/>
      <c r="P542" s="5" t="n"/>
      <c r="Q542" s="3" t="n"/>
      <c r="R542" s="4" t="n"/>
      <c r="S542" s="5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6">
        <f>IF(C542=0,0,IF(E542="",B542*D542/100,E542))</f>
        <v/>
      </c>
      <c r="AE542" s="6">
        <f>IF(F542=0,0,IF(H542="",B542*G542/100,H542))</f>
        <v/>
      </c>
      <c r="AF542" s="6">
        <f>IF(I542=0,0,IF(K542="",B542*J542/100,K542))</f>
        <v/>
      </c>
      <c r="AG542" s="6">
        <f>IF(L542=0,0,IF(N542="",B542*M542/100,N542))</f>
        <v/>
      </c>
      <c r="AH542" s="6">
        <f>IF(O542=0,0,IF(Q542="",B542*P542/100,Q542))</f>
        <v/>
      </c>
      <c r="AI542" s="6">
        <f>IF(R542=0,0,IF(T542="",B542*S542/100,T542))</f>
        <v/>
      </c>
      <c r="AJ542" s="6">
        <f>B542*0.035</f>
        <v/>
      </c>
      <c r="AK542" s="6">
        <f>B542*0.065</f>
        <v/>
      </c>
      <c r="AL542" s="6">
        <f>SUM(B542,AD542,AE542,AF542,AG542,AH542,AI542,U542,V542,AJ542,AK542)</f>
        <v/>
      </c>
      <c r="AM542" s="6">
        <f>B542*0.055</f>
        <v/>
      </c>
      <c r="AN542" s="6">
        <f>B542*0.035</f>
        <v/>
      </c>
      <c r="AO542" s="6">
        <f>B542*0.165</f>
        <v/>
      </c>
      <c r="AP542" s="6">
        <f>MAX(0,AL542-AM542-AO542)</f>
        <v/>
      </c>
      <c r="AQ542" s="6">
        <f>IF(AP542&lt;=490,0,IF(AP542&lt;=600,(AP542-490)*0.05,IF(AP542&lt;=730,5.5+(AP542-600)*0.10,IF(AP542&lt;=3896.67,18.5+(AP542-730)*0.175,IF(AP542&lt;=19896.67,572.67+(AP542-3896.67)*0.25,IF(AP542&lt;=50416.67,4572.67+(AP542-19896.67)*0.30,13728.67+(AP542-50416.67)*0.35))))))</f>
        <v/>
      </c>
      <c r="AR542" s="6">
        <f>SUM(AM542,AQ542,W542,X542,Y542,Z542,AA542,AN542,AO542)</f>
        <v/>
      </c>
      <c r="AS542" s="6">
        <f>AL542-AR542</f>
        <v/>
      </c>
      <c r="AT542" s="6">
        <f>AB542-AC542</f>
        <v/>
      </c>
    </row>
    <row r="543">
      <c r="A543" s="2" t="n"/>
      <c r="B543" s="3" t="n"/>
      <c r="C543" s="4" t="n"/>
      <c r="D543" s="5" t="n"/>
      <c r="E543" s="3" t="n"/>
      <c r="F543" s="4" t="n"/>
      <c r="G543" s="5" t="n"/>
      <c r="H543" s="3" t="n"/>
      <c r="I543" s="4" t="n"/>
      <c r="J543" s="5" t="n"/>
      <c r="K543" s="3" t="n"/>
      <c r="L543" s="4" t="n"/>
      <c r="M543" s="5" t="n"/>
      <c r="N543" s="3" t="n"/>
      <c r="O543" s="4" t="n"/>
      <c r="P543" s="5" t="n"/>
      <c r="Q543" s="3" t="n"/>
      <c r="R543" s="4" t="n"/>
      <c r="S543" s="5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6">
        <f>IF(C543=0,0,IF(E543="",B543*D543/100,E543))</f>
        <v/>
      </c>
      <c r="AE543" s="6">
        <f>IF(F543=0,0,IF(H543="",B543*G543/100,H543))</f>
        <v/>
      </c>
      <c r="AF543" s="6">
        <f>IF(I543=0,0,IF(K543="",B543*J543/100,K543))</f>
        <v/>
      </c>
      <c r="AG543" s="6">
        <f>IF(L543=0,0,IF(N543="",B543*M543/100,N543))</f>
        <v/>
      </c>
      <c r="AH543" s="6">
        <f>IF(O543=0,0,IF(Q543="",B543*P543/100,Q543))</f>
        <v/>
      </c>
      <c r="AI543" s="6">
        <f>IF(R543=0,0,IF(T543="",B543*S543/100,T543))</f>
        <v/>
      </c>
      <c r="AJ543" s="6">
        <f>B543*0.035</f>
        <v/>
      </c>
      <c r="AK543" s="6">
        <f>B543*0.065</f>
        <v/>
      </c>
      <c r="AL543" s="6">
        <f>SUM(B543,AD543,AE543,AF543,AG543,AH543,AI543,U543,V543,AJ543,AK543)</f>
        <v/>
      </c>
      <c r="AM543" s="6">
        <f>B543*0.055</f>
        <v/>
      </c>
      <c r="AN543" s="6">
        <f>B543*0.035</f>
        <v/>
      </c>
      <c r="AO543" s="6">
        <f>B543*0.165</f>
        <v/>
      </c>
      <c r="AP543" s="6">
        <f>MAX(0,AL543-AM543-AO543)</f>
        <v/>
      </c>
      <c r="AQ543" s="6">
        <f>IF(AP543&lt;=490,0,IF(AP543&lt;=600,(AP543-490)*0.05,IF(AP543&lt;=730,5.5+(AP543-600)*0.10,IF(AP543&lt;=3896.67,18.5+(AP543-730)*0.175,IF(AP543&lt;=19896.67,572.67+(AP543-3896.67)*0.25,IF(AP543&lt;=50416.67,4572.67+(AP543-19896.67)*0.30,13728.67+(AP543-50416.67)*0.35))))))</f>
        <v/>
      </c>
      <c r="AR543" s="6">
        <f>SUM(AM543,AQ543,W543,X543,Y543,Z543,AA543,AN543,AO543)</f>
        <v/>
      </c>
      <c r="AS543" s="6">
        <f>AL543-AR543</f>
        <v/>
      </c>
      <c r="AT543" s="6">
        <f>AB543-AC543</f>
        <v/>
      </c>
    </row>
    <row r="544">
      <c r="A544" s="2" t="n"/>
      <c r="B544" s="3" t="n"/>
      <c r="C544" s="4" t="n"/>
      <c r="D544" s="5" t="n"/>
      <c r="E544" s="3" t="n"/>
      <c r="F544" s="4" t="n"/>
      <c r="G544" s="5" t="n"/>
      <c r="H544" s="3" t="n"/>
      <c r="I544" s="4" t="n"/>
      <c r="J544" s="5" t="n"/>
      <c r="K544" s="3" t="n"/>
      <c r="L544" s="4" t="n"/>
      <c r="M544" s="5" t="n"/>
      <c r="N544" s="3" t="n"/>
      <c r="O544" s="4" t="n"/>
      <c r="P544" s="5" t="n"/>
      <c r="Q544" s="3" t="n"/>
      <c r="R544" s="4" t="n"/>
      <c r="S544" s="5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6">
        <f>IF(C544=0,0,IF(E544="",B544*D544/100,E544))</f>
        <v/>
      </c>
      <c r="AE544" s="6">
        <f>IF(F544=0,0,IF(H544="",B544*G544/100,H544))</f>
        <v/>
      </c>
      <c r="AF544" s="6">
        <f>IF(I544=0,0,IF(K544="",B544*J544/100,K544))</f>
        <v/>
      </c>
      <c r="AG544" s="6">
        <f>IF(L544=0,0,IF(N544="",B544*M544/100,N544))</f>
        <v/>
      </c>
      <c r="AH544" s="6">
        <f>IF(O544=0,0,IF(Q544="",B544*P544/100,Q544))</f>
        <v/>
      </c>
      <c r="AI544" s="6">
        <f>IF(R544=0,0,IF(T544="",B544*S544/100,T544))</f>
        <v/>
      </c>
      <c r="AJ544" s="6">
        <f>B544*0.035</f>
        <v/>
      </c>
      <c r="AK544" s="6">
        <f>B544*0.065</f>
        <v/>
      </c>
      <c r="AL544" s="6">
        <f>SUM(B544,AD544,AE544,AF544,AG544,AH544,AI544,U544,V544,AJ544,AK544)</f>
        <v/>
      </c>
      <c r="AM544" s="6">
        <f>B544*0.055</f>
        <v/>
      </c>
      <c r="AN544" s="6">
        <f>B544*0.035</f>
        <v/>
      </c>
      <c r="AO544" s="6">
        <f>B544*0.165</f>
        <v/>
      </c>
      <c r="AP544" s="6">
        <f>MAX(0,AL544-AM544-AO544)</f>
        <v/>
      </c>
      <c r="AQ544" s="6">
        <f>IF(AP544&lt;=490,0,IF(AP544&lt;=600,(AP544-490)*0.05,IF(AP544&lt;=730,5.5+(AP544-600)*0.10,IF(AP544&lt;=3896.67,18.5+(AP544-730)*0.175,IF(AP544&lt;=19896.67,572.67+(AP544-3896.67)*0.25,IF(AP544&lt;=50416.67,4572.67+(AP544-19896.67)*0.30,13728.67+(AP544-50416.67)*0.35))))))</f>
        <v/>
      </c>
      <c r="AR544" s="6">
        <f>SUM(AM544,AQ544,W544,X544,Y544,Z544,AA544,AN544,AO544)</f>
        <v/>
      </c>
      <c r="AS544" s="6">
        <f>AL544-AR544</f>
        <v/>
      </c>
      <c r="AT544" s="6">
        <f>AB544-AC544</f>
        <v/>
      </c>
    </row>
    <row r="545">
      <c r="A545" s="2" t="n"/>
      <c r="B545" s="3" t="n"/>
      <c r="C545" s="4" t="n"/>
      <c r="D545" s="5" t="n"/>
      <c r="E545" s="3" t="n"/>
      <c r="F545" s="4" t="n"/>
      <c r="G545" s="5" t="n"/>
      <c r="H545" s="3" t="n"/>
      <c r="I545" s="4" t="n"/>
      <c r="J545" s="5" t="n"/>
      <c r="K545" s="3" t="n"/>
      <c r="L545" s="4" t="n"/>
      <c r="M545" s="5" t="n"/>
      <c r="N545" s="3" t="n"/>
      <c r="O545" s="4" t="n"/>
      <c r="P545" s="5" t="n"/>
      <c r="Q545" s="3" t="n"/>
      <c r="R545" s="4" t="n"/>
      <c r="S545" s="5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6">
        <f>IF(C545=0,0,IF(E545="",B545*D545/100,E545))</f>
        <v/>
      </c>
      <c r="AE545" s="6">
        <f>IF(F545=0,0,IF(H545="",B545*G545/100,H545))</f>
        <v/>
      </c>
      <c r="AF545" s="6">
        <f>IF(I545=0,0,IF(K545="",B545*J545/100,K545))</f>
        <v/>
      </c>
      <c r="AG545" s="6">
        <f>IF(L545=0,0,IF(N545="",B545*M545/100,N545))</f>
        <v/>
      </c>
      <c r="AH545" s="6">
        <f>IF(O545=0,0,IF(Q545="",B545*P545/100,Q545))</f>
        <v/>
      </c>
      <c r="AI545" s="6">
        <f>IF(R545=0,0,IF(T545="",B545*S545/100,T545))</f>
        <v/>
      </c>
      <c r="AJ545" s="6">
        <f>B545*0.035</f>
        <v/>
      </c>
      <c r="AK545" s="6">
        <f>B545*0.065</f>
        <v/>
      </c>
      <c r="AL545" s="6">
        <f>SUM(B545,AD545,AE545,AF545,AG545,AH545,AI545,U545,V545,AJ545,AK545)</f>
        <v/>
      </c>
      <c r="AM545" s="6">
        <f>B545*0.055</f>
        <v/>
      </c>
      <c r="AN545" s="6">
        <f>B545*0.035</f>
        <v/>
      </c>
      <c r="AO545" s="6">
        <f>B545*0.165</f>
        <v/>
      </c>
      <c r="AP545" s="6">
        <f>MAX(0,AL545-AM545-AO545)</f>
        <v/>
      </c>
      <c r="AQ545" s="6">
        <f>IF(AP545&lt;=490,0,IF(AP545&lt;=600,(AP545-490)*0.05,IF(AP545&lt;=730,5.5+(AP545-600)*0.10,IF(AP545&lt;=3896.67,18.5+(AP545-730)*0.175,IF(AP545&lt;=19896.67,572.67+(AP545-3896.67)*0.25,IF(AP545&lt;=50416.67,4572.67+(AP545-19896.67)*0.30,13728.67+(AP545-50416.67)*0.35))))))</f>
        <v/>
      </c>
      <c r="AR545" s="6">
        <f>SUM(AM545,AQ545,W545,X545,Y545,Z545,AA545,AN545,AO545)</f>
        <v/>
      </c>
      <c r="AS545" s="6">
        <f>AL545-AR545</f>
        <v/>
      </c>
      <c r="AT545" s="6">
        <f>AB545-AC545</f>
        <v/>
      </c>
    </row>
    <row r="546">
      <c r="A546" s="2" t="n"/>
      <c r="B546" s="3" t="n"/>
      <c r="C546" s="4" t="n"/>
      <c r="D546" s="5" t="n"/>
      <c r="E546" s="3" t="n"/>
      <c r="F546" s="4" t="n"/>
      <c r="G546" s="5" t="n"/>
      <c r="H546" s="3" t="n"/>
      <c r="I546" s="4" t="n"/>
      <c r="J546" s="5" t="n"/>
      <c r="K546" s="3" t="n"/>
      <c r="L546" s="4" t="n"/>
      <c r="M546" s="5" t="n"/>
      <c r="N546" s="3" t="n"/>
      <c r="O546" s="4" t="n"/>
      <c r="P546" s="5" t="n"/>
      <c r="Q546" s="3" t="n"/>
      <c r="R546" s="4" t="n"/>
      <c r="S546" s="5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6">
        <f>IF(C546=0,0,IF(E546="",B546*D546/100,E546))</f>
        <v/>
      </c>
      <c r="AE546" s="6">
        <f>IF(F546=0,0,IF(H546="",B546*G546/100,H546))</f>
        <v/>
      </c>
      <c r="AF546" s="6">
        <f>IF(I546=0,0,IF(K546="",B546*J546/100,K546))</f>
        <v/>
      </c>
      <c r="AG546" s="6">
        <f>IF(L546=0,0,IF(N546="",B546*M546/100,N546))</f>
        <v/>
      </c>
      <c r="AH546" s="6">
        <f>IF(O546=0,0,IF(Q546="",B546*P546/100,Q546))</f>
        <v/>
      </c>
      <c r="AI546" s="6">
        <f>IF(R546=0,0,IF(T546="",B546*S546/100,T546))</f>
        <v/>
      </c>
      <c r="AJ546" s="6">
        <f>B546*0.035</f>
        <v/>
      </c>
      <c r="AK546" s="6">
        <f>B546*0.065</f>
        <v/>
      </c>
      <c r="AL546" s="6">
        <f>SUM(B546,AD546,AE546,AF546,AG546,AH546,AI546,U546,V546,AJ546,AK546)</f>
        <v/>
      </c>
      <c r="AM546" s="6">
        <f>B546*0.055</f>
        <v/>
      </c>
      <c r="AN546" s="6">
        <f>B546*0.035</f>
        <v/>
      </c>
      <c r="AO546" s="6">
        <f>B546*0.165</f>
        <v/>
      </c>
      <c r="AP546" s="6">
        <f>MAX(0,AL546-AM546-AO546)</f>
        <v/>
      </c>
      <c r="AQ546" s="6">
        <f>IF(AP546&lt;=490,0,IF(AP546&lt;=600,(AP546-490)*0.05,IF(AP546&lt;=730,5.5+(AP546-600)*0.10,IF(AP546&lt;=3896.67,18.5+(AP546-730)*0.175,IF(AP546&lt;=19896.67,572.67+(AP546-3896.67)*0.25,IF(AP546&lt;=50416.67,4572.67+(AP546-19896.67)*0.30,13728.67+(AP546-50416.67)*0.35))))))</f>
        <v/>
      </c>
      <c r="AR546" s="6">
        <f>SUM(AM546,AQ546,W546,X546,Y546,Z546,AA546,AN546,AO546)</f>
        <v/>
      </c>
      <c r="AS546" s="6">
        <f>AL546-AR546</f>
        <v/>
      </c>
      <c r="AT546" s="6">
        <f>AB546-AC546</f>
        <v/>
      </c>
    </row>
    <row r="547">
      <c r="A547" s="2" t="n"/>
      <c r="B547" s="3" t="n"/>
      <c r="C547" s="4" t="n"/>
      <c r="D547" s="5" t="n"/>
      <c r="E547" s="3" t="n"/>
      <c r="F547" s="4" t="n"/>
      <c r="G547" s="5" t="n"/>
      <c r="H547" s="3" t="n"/>
      <c r="I547" s="4" t="n"/>
      <c r="J547" s="5" t="n"/>
      <c r="K547" s="3" t="n"/>
      <c r="L547" s="4" t="n"/>
      <c r="M547" s="5" t="n"/>
      <c r="N547" s="3" t="n"/>
      <c r="O547" s="4" t="n"/>
      <c r="P547" s="5" t="n"/>
      <c r="Q547" s="3" t="n"/>
      <c r="R547" s="4" t="n"/>
      <c r="S547" s="5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6">
        <f>IF(C547=0,0,IF(E547="",B547*D547/100,E547))</f>
        <v/>
      </c>
      <c r="AE547" s="6">
        <f>IF(F547=0,0,IF(H547="",B547*G547/100,H547))</f>
        <v/>
      </c>
      <c r="AF547" s="6">
        <f>IF(I547=0,0,IF(K547="",B547*J547/100,K547))</f>
        <v/>
      </c>
      <c r="AG547" s="6">
        <f>IF(L547=0,0,IF(N547="",B547*M547/100,N547))</f>
        <v/>
      </c>
      <c r="AH547" s="6">
        <f>IF(O547=0,0,IF(Q547="",B547*P547/100,Q547))</f>
        <v/>
      </c>
      <c r="AI547" s="6">
        <f>IF(R547=0,0,IF(T547="",B547*S547/100,T547))</f>
        <v/>
      </c>
      <c r="AJ547" s="6">
        <f>B547*0.035</f>
        <v/>
      </c>
      <c r="AK547" s="6">
        <f>B547*0.065</f>
        <v/>
      </c>
      <c r="AL547" s="6">
        <f>SUM(B547,AD547,AE547,AF547,AG547,AH547,AI547,U547,V547,AJ547,AK547)</f>
        <v/>
      </c>
      <c r="AM547" s="6">
        <f>B547*0.055</f>
        <v/>
      </c>
      <c r="AN547" s="6">
        <f>B547*0.035</f>
        <v/>
      </c>
      <c r="AO547" s="6">
        <f>B547*0.165</f>
        <v/>
      </c>
      <c r="AP547" s="6">
        <f>MAX(0,AL547-AM547-AO547)</f>
        <v/>
      </c>
      <c r="AQ547" s="6">
        <f>IF(AP547&lt;=490,0,IF(AP547&lt;=600,(AP547-490)*0.05,IF(AP547&lt;=730,5.5+(AP547-600)*0.10,IF(AP547&lt;=3896.67,18.5+(AP547-730)*0.175,IF(AP547&lt;=19896.67,572.67+(AP547-3896.67)*0.25,IF(AP547&lt;=50416.67,4572.67+(AP547-19896.67)*0.30,13728.67+(AP547-50416.67)*0.35))))))</f>
        <v/>
      </c>
      <c r="AR547" s="6">
        <f>SUM(AM547,AQ547,W547,X547,Y547,Z547,AA547,AN547,AO547)</f>
        <v/>
      </c>
      <c r="AS547" s="6">
        <f>AL547-AR547</f>
        <v/>
      </c>
      <c r="AT547" s="6">
        <f>AB547-AC547</f>
        <v/>
      </c>
    </row>
    <row r="548">
      <c r="A548" s="2" t="n"/>
      <c r="B548" s="3" t="n"/>
      <c r="C548" s="4" t="n"/>
      <c r="D548" s="5" t="n"/>
      <c r="E548" s="3" t="n"/>
      <c r="F548" s="4" t="n"/>
      <c r="G548" s="5" t="n"/>
      <c r="H548" s="3" t="n"/>
      <c r="I548" s="4" t="n"/>
      <c r="J548" s="5" t="n"/>
      <c r="K548" s="3" t="n"/>
      <c r="L548" s="4" t="n"/>
      <c r="M548" s="5" t="n"/>
      <c r="N548" s="3" t="n"/>
      <c r="O548" s="4" t="n"/>
      <c r="P548" s="5" t="n"/>
      <c r="Q548" s="3" t="n"/>
      <c r="R548" s="4" t="n"/>
      <c r="S548" s="5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6">
        <f>IF(C548=0,0,IF(E548="",B548*D548/100,E548))</f>
        <v/>
      </c>
      <c r="AE548" s="6">
        <f>IF(F548=0,0,IF(H548="",B548*G548/100,H548))</f>
        <v/>
      </c>
      <c r="AF548" s="6">
        <f>IF(I548=0,0,IF(K548="",B548*J548/100,K548))</f>
        <v/>
      </c>
      <c r="AG548" s="6">
        <f>IF(L548=0,0,IF(N548="",B548*M548/100,N548))</f>
        <v/>
      </c>
      <c r="AH548" s="6">
        <f>IF(O548=0,0,IF(Q548="",B548*P548/100,Q548))</f>
        <v/>
      </c>
      <c r="AI548" s="6">
        <f>IF(R548=0,0,IF(T548="",B548*S548/100,T548))</f>
        <v/>
      </c>
      <c r="AJ548" s="6">
        <f>B548*0.035</f>
        <v/>
      </c>
      <c r="AK548" s="6">
        <f>B548*0.065</f>
        <v/>
      </c>
      <c r="AL548" s="6">
        <f>SUM(B548,AD548,AE548,AF548,AG548,AH548,AI548,U548,V548,AJ548,AK548)</f>
        <v/>
      </c>
      <c r="AM548" s="6">
        <f>B548*0.055</f>
        <v/>
      </c>
      <c r="AN548" s="6">
        <f>B548*0.035</f>
        <v/>
      </c>
      <c r="AO548" s="6">
        <f>B548*0.165</f>
        <v/>
      </c>
      <c r="AP548" s="6">
        <f>MAX(0,AL548-AM548-AO548)</f>
        <v/>
      </c>
      <c r="AQ548" s="6">
        <f>IF(AP548&lt;=490,0,IF(AP548&lt;=600,(AP548-490)*0.05,IF(AP548&lt;=730,5.5+(AP548-600)*0.10,IF(AP548&lt;=3896.67,18.5+(AP548-730)*0.175,IF(AP548&lt;=19896.67,572.67+(AP548-3896.67)*0.25,IF(AP548&lt;=50416.67,4572.67+(AP548-19896.67)*0.30,13728.67+(AP548-50416.67)*0.35))))))</f>
        <v/>
      </c>
      <c r="AR548" s="6">
        <f>SUM(AM548,AQ548,W548,X548,Y548,Z548,AA548,AN548,AO548)</f>
        <v/>
      </c>
      <c r="AS548" s="6">
        <f>AL548-AR548</f>
        <v/>
      </c>
      <c r="AT548" s="6">
        <f>AB548-AC548</f>
        <v/>
      </c>
    </row>
    <row r="549">
      <c r="A549" s="2" t="n"/>
      <c r="B549" s="3" t="n"/>
      <c r="C549" s="4" t="n"/>
      <c r="D549" s="5" t="n"/>
      <c r="E549" s="3" t="n"/>
      <c r="F549" s="4" t="n"/>
      <c r="G549" s="5" t="n"/>
      <c r="H549" s="3" t="n"/>
      <c r="I549" s="4" t="n"/>
      <c r="J549" s="5" t="n"/>
      <c r="K549" s="3" t="n"/>
      <c r="L549" s="4" t="n"/>
      <c r="M549" s="5" t="n"/>
      <c r="N549" s="3" t="n"/>
      <c r="O549" s="4" t="n"/>
      <c r="P549" s="5" t="n"/>
      <c r="Q549" s="3" t="n"/>
      <c r="R549" s="4" t="n"/>
      <c r="S549" s="5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6">
        <f>IF(C549=0,0,IF(E549="",B549*D549/100,E549))</f>
        <v/>
      </c>
      <c r="AE549" s="6">
        <f>IF(F549=0,0,IF(H549="",B549*G549/100,H549))</f>
        <v/>
      </c>
      <c r="AF549" s="6">
        <f>IF(I549=0,0,IF(K549="",B549*J549/100,K549))</f>
        <v/>
      </c>
      <c r="AG549" s="6">
        <f>IF(L549=0,0,IF(N549="",B549*M549/100,N549))</f>
        <v/>
      </c>
      <c r="AH549" s="6">
        <f>IF(O549=0,0,IF(Q549="",B549*P549/100,Q549))</f>
        <v/>
      </c>
      <c r="AI549" s="6">
        <f>IF(R549=0,0,IF(T549="",B549*S549/100,T549))</f>
        <v/>
      </c>
      <c r="AJ549" s="6">
        <f>B549*0.035</f>
        <v/>
      </c>
      <c r="AK549" s="6">
        <f>B549*0.065</f>
        <v/>
      </c>
      <c r="AL549" s="6">
        <f>SUM(B549,AD549,AE549,AF549,AG549,AH549,AI549,U549,V549,AJ549,AK549)</f>
        <v/>
      </c>
      <c r="AM549" s="6">
        <f>B549*0.055</f>
        <v/>
      </c>
      <c r="AN549" s="6">
        <f>B549*0.035</f>
        <v/>
      </c>
      <c r="AO549" s="6">
        <f>B549*0.165</f>
        <v/>
      </c>
      <c r="AP549" s="6">
        <f>MAX(0,AL549-AM549-AO549)</f>
        <v/>
      </c>
      <c r="AQ549" s="6">
        <f>IF(AP549&lt;=490,0,IF(AP549&lt;=600,(AP549-490)*0.05,IF(AP549&lt;=730,5.5+(AP549-600)*0.10,IF(AP549&lt;=3896.67,18.5+(AP549-730)*0.175,IF(AP549&lt;=19896.67,572.67+(AP549-3896.67)*0.25,IF(AP549&lt;=50416.67,4572.67+(AP549-19896.67)*0.30,13728.67+(AP549-50416.67)*0.35))))))</f>
        <v/>
      </c>
      <c r="AR549" s="6">
        <f>SUM(AM549,AQ549,W549,X549,Y549,Z549,AA549,AN549,AO549)</f>
        <v/>
      </c>
      <c r="AS549" s="6">
        <f>AL549-AR549</f>
        <v/>
      </c>
      <c r="AT549" s="6">
        <f>AB549-AC549</f>
        <v/>
      </c>
    </row>
    <row r="550">
      <c r="A550" s="2" t="n"/>
      <c r="B550" s="3" t="n"/>
      <c r="C550" s="4" t="n"/>
      <c r="D550" s="5" t="n"/>
      <c r="E550" s="3" t="n"/>
      <c r="F550" s="4" t="n"/>
      <c r="G550" s="5" t="n"/>
      <c r="H550" s="3" t="n"/>
      <c r="I550" s="4" t="n"/>
      <c r="J550" s="5" t="n"/>
      <c r="K550" s="3" t="n"/>
      <c r="L550" s="4" t="n"/>
      <c r="M550" s="5" t="n"/>
      <c r="N550" s="3" t="n"/>
      <c r="O550" s="4" t="n"/>
      <c r="P550" s="5" t="n"/>
      <c r="Q550" s="3" t="n"/>
      <c r="R550" s="4" t="n"/>
      <c r="S550" s="5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6">
        <f>IF(C550=0,0,IF(E550="",B550*D550/100,E550))</f>
        <v/>
      </c>
      <c r="AE550" s="6">
        <f>IF(F550=0,0,IF(H550="",B550*G550/100,H550))</f>
        <v/>
      </c>
      <c r="AF550" s="6">
        <f>IF(I550=0,0,IF(K550="",B550*J550/100,K550))</f>
        <v/>
      </c>
      <c r="AG550" s="6">
        <f>IF(L550=0,0,IF(N550="",B550*M550/100,N550))</f>
        <v/>
      </c>
      <c r="AH550" s="6">
        <f>IF(O550=0,0,IF(Q550="",B550*P550/100,Q550))</f>
        <v/>
      </c>
      <c r="AI550" s="6">
        <f>IF(R550=0,0,IF(T550="",B550*S550/100,T550))</f>
        <v/>
      </c>
      <c r="AJ550" s="6">
        <f>B550*0.035</f>
        <v/>
      </c>
      <c r="AK550" s="6">
        <f>B550*0.065</f>
        <v/>
      </c>
      <c r="AL550" s="6">
        <f>SUM(B550,AD550,AE550,AF550,AG550,AH550,AI550,U550,V550,AJ550,AK550)</f>
        <v/>
      </c>
      <c r="AM550" s="6">
        <f>B550*0.055</f>
        <v/>
      </c>
      <c r="AN550" s="6">
        <f>B550*0.035</f>
        <v/>
      </c>
      <c r="AO550" s="6">
        <f>B550*0.165</f>
        <v/>
      </c>
      <c r="AP550" s="6">
        <f>MAX(0,AL550-AM550-AO550)</f>
        <v/>
      </c>
      <c r="AQ550" s="6">
        <f>IF(AP550&lt;=490,0,IF(AP550&lt;=600,(AP550-490)*0.05,IF(AP550&lt;=730,5.5+(AP550-600)*0.10,IF(AP550&lt;=3896.67,18.5+(AP550-730)*0.175,IF(AP550&lt;=19896.67,572.67+(AP550-3896.67)*0.25,IF(AP550&lt;=50416.67,4572.67+(AP550-19896.67)*0.30,13728.67+(AP550-50416.67)*0.35))))))</f>
        <v/>
      </c>
      <c r="AR550" s="6">
        <f>SUM(AM550,AQ550,W550,X550,Y550,Z550,AA550,AN550,AO550)</f>
        <v/>
      </c>
      <c r="AS550" s="6">
        <f>AL550-AR550</f>
        <v/>
      </c>
      <c r="AT550" s="6">
        <f>AB550-AC550</f>
        <v/>
      </c>
    </row>
    <row r="551">
      <c r="A551" s="2" t="n"/>
      <c r="B551" s="3" t="n"/>
      <c r="C551" s="4" t="n"/>
      <c r="D551" s="5" t="n"/>
      <c r="E551" s="3" t="n"/>
      <c r="F551" s="4" t="n"/>
      <c r="G551" s="5" t="n"/>
      <c r="H551" s="3" t="n"/>
      <c r="I551" s="4" t="n"/>
      <c r="J551" s="5" t="n"/>
      <c r="K551" s="3" t="n"/>
      <c r="L551" s="4" t="n"/>
      <c r="M551" s="5" t="n"/>
      <c r="N551" s="3" t="n"/>
      <c r="O551" s="4" t="n"/>
      <c r="P551" s="5" t="n"/>
      <c r="Q551" s="3" t="n"/>
      <c r="R551" s="4" t="n"/>
      <c r="S551" s="5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6">
        <f>IF(C551=0,0,IF(E551="",B551*D551/100,E551))</f>
        <v/>
      </c>
      <c r="AE551" s="6">
        <f>IF(F551=0,0,IF(H551="",B551*G551/100,H551))</f>
        <v/>
      </c>
      <c r="AF551" s="6">
        <f>IF(I551=0,0,IF(K551="",B551*J551/100,K551))</f>
        <v/>
      </c>
      <c r="AG551" s="6">
        <f>IF(L551=0,0,IF(N551="",B551*M551/100,N551))</f>
        <v/>
      </c>
      <c r="AH551" s="6">
        <f>IF(O551=0,0,IF(Q551="",B551*P551/100,Q551))</f>
        <v/>
      </c>
      <c r="AI551" s="6">
        <f>IF(R551=0,0,IF(T551="",B551*S551/100,T551))</f>
        <v/>
      </c>
      <c r="AJ551" s="6">
        <f>B551*0.035</f>
        <v/>
      </c>
      <c r="AK551" s="6">
        <f>B551*0.065</f>
        <v/>
      </c>
      <c r="AL551" s="6">
        <f>SUM(B551,AD551,AE551,AF551,AG551,AH551,AI551,U551,V551,AJ551,AK551)</f>
        <v/>
      </c>
      <c r="AM551" s="6">
        <f>B551*0.055</f>
        <v/>
      </c>
      <c r="AN551" s="6">
        <f>B551*0.035</f>
        <v/>
      </c>
      <c r="AO551" s="6">
        <f>B551*0.165</f>
        <v/>
      </c>
      <c r="AP551" s="6">
        <f>MAX(0,AL551-AM551-AO551)</f>
        <v/>
      </c>
      <c r="AQ551" s="6">
        <f>IF(AP551&lt;=490,0,IF(AP551&lt;=600,(AP551-490)*0.05,IF(AP551&lt;=730,5.5+(AP551-600)*0.10,IF(AP551&lt;=3896.67,18.5+(AP551-730)*0.175,IF(AP551&lt;=19896.67,572.67+(AP551-3896.67)*0.25,IF(AP551&lt;=50416.67,4572.67+(AP551-19896.67)*0.30,13728.67+(AP551-50416.67)*0.35))))))</f>
        <v/>
      </c>
      <c r="AR551" s="6">
        <f>SUM(AM551,AQ551,W551,X551,Y551,Z551,AA551,AN551,AO551)</f>
        <v/>
      </c>
      <c r="AS551" s="6">
        <f>AL551-AR551</f>
        <v/>
      </c>
      <c r="AT551" s="6">
        <f>AB551-AC551</f>
        <v/>
      </c>
    </row>
    <row r="552">
      <c r="A552" s="2" t="n"/>
      <c r="B552" s="3" t="n"/>
      <c r="C552" s="4" t="n"/>
      <c r="D552" s="5" t="n"/>
      <c r="E552" s="3" t="n"/>
      <c r="F552" s="4" t="n"/>
      <c r="G552" s="5" t="n"/>
      <c r="H552" s="3" t="n"/>
      <c r="I552" s="4" t="n"/>
      <c r="J552" s="5" t="n"/>
      <c r="K552" s="3" t="n"/>
      <c r="L552" s="4" t="n"/>
      <c r="M552" s="5" t="n"/>
      <c r="N552" s="3" t="n"/>
      <c r="O552" s="4" t="n"/>
      <c r="P552" s="5" t="n"/>
      <c r="Q552" s="3" t="n"/>
      <c r="R552" s="4" t="n"/>
      <c r="S552" s="5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6">
        <f>IF(C552=0,0,IF(E552="",B552*D552/100,E552))</f>
        <v/>
      </c>
      <c r="AE552" s="6">
        <f>IF(F552=0,0,IF(H552="",B552*G552/100,H552))</f>
        <v/>
      </c>
      <c r="AF552" s="6">
        <f>IF(I552=0,0,IF(K552="",B552*J552/100,K552))</f>
        <v/>
      </c>
      <c r="AG552" s="6">
        <f>IF(L552=0,0,IF(N552="",B552*M552/100,N552))</f>
        <v/>
      </c>
      <c r="AH552" s="6">
        <f>IF(O552=0,0,IF(Q552="",B552*P552/100,Q552))</f>
        <v/>
      </c>
      <c r="AI552" s="6">
        <f>IF(R552=0,0,IF(T552="",B552*S552/100,T552))</f>
        <v/>
      </c>
      <c r="AJ552" s="6">
        <f>B552*0.035</f>
        <v/>
      </c>
      <c r="AK552" s="6">
        <f>B552*0.065</f>
        <v/>
      </c>
      <c r="AL552" s="6">
        <f>SUM(B552,AD552,AE552,AF552,AG552,AH552,AI552,U552,V552,AJ552,AK552)</f>
        <v/>
      </c>
      <c r="AM552" s="6">
        <f>B552*0.055</f>
        <v/>
      </c>
      <c r="AN552" s="6">
        <f>B552*0.035</f>
        <v/>
      </c>
      <c r="AO552" s="6">
        <f>B552*0.165</f>
        <v/>
      </c>
      <c r="AP552" s="6">
        <f>MAX(0,AL552-AM552-AO552)</f>
        <v/>
      </c>
      <c r="AQ552" s="6">
        <f>IF(AP552&lt;=490,0,IF(AP552&lt;=600,(AP552-490)*0.05,IF(AP552&lt;=730,5.5+(AP552-600)*0.10,IF(AP552&lt;=3896.67,18.5+(AP552-730)*0.175,IF(AP552&lt;=19896.67,572.67+(AP552-3896.67)*0.25,IF(AP552&lt;=50416.67,4572.67+(AP552-19896.67)*0.30,13728.67+(AP552-50416.67)*0.35))))))</f>
        <v/>
      </c>
      <c r="AR552" s="6">
        <f>SUM(AM552,AQ552,W552,X552,Y552,Z552,AA552,AN552,AO552)</f>
        <v/>
      </c>
      <c r="AS552" s="6">
        <f>AL552-AR552</f>
        <v/>
      </c>
      <c r="AT552" s="6">
        <f>AB552-AC552</f>
        <v/>
      </c>
    </row>
    <row r="553">
      <c r="A553" s="2" t="n"/>
      <c r="B553" s="3" t="n"/>
      <c r="C553" s="4" t="n"/>
      <c r="D553" s="5" t="n"/>
      <c r="E553" s="3" t="n"/>
      <c r="F553" s="4" t="n"/>
      <c r="G553" s="5" t="n"/>
      <c r="H553" s="3" t="n"/>
      <c r="I553" s="4" t="n"/>
      <c r="J553" s="5" t="n"/>
      <c r="K553" s="3" t="n"/>
      <c r="L553" s="4" t="n"/>
      <c r="M553" s="5" t="n"/>
      <c r="N553" s="3" t="n"/>
      <c r="O553" s="4" t="n"/>
      <c r="P553" s="5" t="n"/>
      <c r="Q553" s="3" t="n"/>
      <c r="R553" s="4" t="n"/>
      <c r="S553" s="5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6">
        <f>IF(C553=0,0,IF(E553="",B553*D553/100,E553))</f>
        <v/>
      </c>
      <c r="AE553" s="6">
        <f>IF(F553=0,0,IF(H553="",B553*G553/100,H553))</f>
        <v/>
      </c>
      <c r="AF553" s="6">
        <f>IF(I553=0,0,IF(K553="",B553*J553/100,K553))</f>
        <v/>
      </c>
      <c r="AG553" s="6">
        <f>IF(L553=0,0,IF(N553="",B553*M553/100,N553))</f>
        <v/>
      </c>
      <c r="AH553" s="6">
        <f>IF(O553=0,0,IF(Q553="",B553*P553/100,Q553))</f>
        <v/>
      </c>
      <c r="AI553" s="6">
        <f>IF(R553=0,0,IF(T553="",B553*S553/100,T553))</f>
        <v/>
      </c>
      <c r="AJ553" s="6">
        <f>B553*0.035</f>
        <v/>
      </c>
      <c r="AK553" s="6">
        <f>B553*0.065</f>
        <v/>
      </c>
      <c r="AL553" s="6">
        <f>SUM(B553,AD553,AE553,AF553,AG553,AH553,AI553,U553,V553,AJ553,AK553)</f>
        <v/>
      </c>
      <c r="AM553" s="6">
        <f>B553*0.055</f>
        <v/>
      </c>
      <c r="AN553" s="6">
        <f>B553*0.035</f>
        <v/>
      </c>
      <c r="AO553" s="6">
        <f>B553*0.165</f>
        <v/>
      </c>
      <c r="AP553" s="6">
        <f>MAX(0,AL553-AM553-AO553)</f>
        <v/>
      </c>
      <c r="AQ553" s="6">
        <f>IF(AP553&lt;=490,0,IF(AP553&lt;=600,(AP553-490)*0.05,IF(AP553&lt;=730,5.5+(AP553-600)*0.10,IF(AP553&lt;=3896.67,18.5+(AP553-730)*0.175,IF(AP553&lt;=19896.67,572.67+(AP553-3896.67)*0.25,IF(AP553&lt;=50416.67,4572.67+(AP553-19896.67)*0.30,13728.67+(AP553-50416.67)*0.35))))))</f>
        <v/>
      </c>
      <c r="AR553" s="6">
        <f>SUM(AM553,AQ553,W553,X553,Y553,Z553,AA553,AN553,AO553)</f>
        <v/>
      </c>
      <c r="AS553" s="6">
        <f>AL553-AR553</f>
        <v/>
      </c>
      <c r="AT553" s="6">
        <f>AB553-AC553</f>
        <v/>
      </c>
    </row>
    <row r="554">
      <c r="A554" s="2" t="n"/>
      <c r="B554" s="3" t="n"/>
      <c r="C554" s="4" t="n"/>
      <c r="D554" s="5" t="n"/>
      <c r="E554" s="3" t="n"/>
      <c r="F554" s="4" t="n"/>
      <c r="G554" s="5" t="n"/>
      <c r="H554" s="3" t="n"/>
      <c r="I554" s="4" t="n"/>
      <c r="J554" s="5" t="n"/>
      <c r="K554" s="3" t="n"/>
      <c r="L554" s="4" t="n"/>
      <c r="M554" s="5" t="n"/>
      <c r="N554" s="3" t="n"/>
      <c r="O554" s="4" t="n"/>
      <c r="P554" s="5" t="n"/>
      <c r="Q554" s="3" t="n"/>
      <c r="R554" s="4" t="n"/>
      <c r="S554" s="5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6">
        <f>IF(C554=0,0,IF(E554="",B554*D554/100,E554))</f>
        <v/>
      </c>
      <c r="AE554" s="6">
        <f>IF(F554=0,0,IF(H554="",B554*G554/100,H554))</f>
        <v/>
      </c>
      <c r="AF554" s="6">
        <f>IF(I554=0,0,IF(K554="",B554*J554/100,K554))</f>
        <v/>
      </c>
      <c r="AG554" s="6">
        <f>IF(L554=0,0,IF(N554="",B554*M554/100,N554))</f>
        <v/>
      </c>
      <c r="AH554" s="6">
        <f>IF(O554=0,0,IF(Q554="",B554*P554/100,Q554))</f>
        <v/>
      </c>
      <c r="AI554" s="6">
        <f>IF(R554=0,0,IF(T554="",B554*S554/100,T554))</f>
        <v/>
      </c>
      <c r="AJ554" s="6">
        <f>B554*0.035</f>
        <v/>
      </c>
      <c r="AK554" s="6">
        <f>B554*0.065</f>
        <v/>
      </c>
      <c r="AL554" s="6">
        <f>SUM(B554,AD554,AE554,AF554,AG554,AH554,AI554,U554,V554,AJ554,AK554)</f>
        <v/>
      </c>
      <c r="AM554" s="6">
        <f>B554*0.055</f>
        <v/>
      </c>
      <c r="AN554" s="6">
        <f>B554*0.035</f>
        <v/>
      </c>
      <c r="AO554" s="6">
        <f>B554*0.165</f>
        <v/>
      </c>
      <c r="AP554" s="6">
        <f>MAX(0,AL554-AM554-AO554)</f>
        <v/>
      </c>
      <c r="AQ554" s="6">
        <f>IF(AP554&lt;=490,0,IF(AP554&lt;=600,(AP554-490)*0.05,IF(AP554&lt;=730,5.5+(AP554-600)*0.10,IF(AP554&lt;=3896.67,18.5+(AP554-730)*0.175,IF(AP554&lt;=19896.67,572.67+(AP554-3896.67)*0.25,IF(AP554&lt;=50416.67,4572.67+(AP554-19896.67)*0.30,13728.67+(AP554-50416.67)*0.35))))))</f>
        <v/>
      </c>
      <c r="AR554" s="6">
        <f>SUM(AM554,AQ554,W554,X554,Y554,Z554,AA554,AN554,AO554)</f>
        <v/>
      </c>
      <c r="AS554" s="6">
        <f>AL554-AR554</f>
        <v/>
      </c>
      <c r="AT554" s="6">
        <f>AB554-AC554</f>
        <v/>
      </c>
    </row>
    <row r="555">
      <c r="A555" s="2" t="n"/>
      <c r="B555" s="3" t="n"/>
      <c r="C555" s="4" t="n"/>
      <c r="D555" s="5" t="n"/>
      <c r="E555" s="3" t="n"/>
      <c r="F555" s="4" t="n"/>
      <c r="G555" s="5" t="n"/>
      <c r="H555" s="3" t="n"/>
      <c r="I555" s="4" t="n"/>
      <c r="J555" s="5" t="n"/>
      <c r="K555" s="3" t="n"/>
      <c r="L555" s="4" t="n"/>
      <c r="M555" s="5" t="n"/>
      <c r="N555" s="3" t="n"/>
      <c r="O555" s="4" t="n"/>
      <c r="P555" s="5" t="n"/>
      <c r="Q555" s="3" t="n"/>
      <c r="R555" s="4" t="n"/>
      <c r="S555" s="5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6">
        <f>IF(C555=0,0,IF(E555="",B555*D555/100,E555))</f>
        <v/>
      </c>
      <c r="AE555" s="6">
        <f>IF(F555=0,0,IF(H555="",B555*G555/100,H555))</f>
        <v/>
      </c>
      <c r="AF555" s="6">
        <f>IF(I555=0,0,IF(K555="",B555*J555/100,K555))</f>
        <v/>
      </c>
      <c r="AG555" s="6">
        <f>IF(L555=0,0,IF(N555="",B555*M555/100,N555))</f>
        <v/>
      </c>
      <c r="AH555" s="6">
        <f>IF(O555=0,0,IF(Q555="",B555*P555/100,Q555))</f>
        <v/>
      </c>
      <c r="AI555" s="6">
        <f>IF(R555=0,0,IF(T555="",B555*S555/100,T555))</f>
        <v/>
      </c>
      <c r="AJ555" s="6">
        <f>B555*0.035</f>
        <v/>
      </c>
      <c r="AK555" s="6">
        <f>B555*0.065</f>
        <v/>
      </c>
      <c r="AL555" s="6">
        <f>SUM(B555,AD555,AE555,AF555,AG555,AH555,AI555,U555,V555,AJ555,AK555)</f>
        <v/>
      </c>
      <c r="AM555" s="6">
        <f>B555*0.055</f>
        <v/>
      </c>
      <c r="AN555" s="6">
        <f>B555*0.035</f>
        <v/>
      </c>
      <c r="AO555" s="6">
        <f>B555*0.165</f>
        <v/>
      </c>
      <c r="AP555" s="6">
        <f>MAX(0,AL555-AM555-AO555)</f>
        <v/>
      </c>
      <c r="AQ555" s="6">
        <f>IF(AP555&lt;=490,0,IF(AP555&lt;=600,(AP555-490)*0.05,IF(AP555&lt;=730,5.5+(AP555-600)*0.10,IF(AP555&lt;=3896.67,18.5+(AP555-730)*0.175,IF(AP555&lt;=19896.67,572.67+(AP555-3896.67)*0.25,IF(AP555&lt;=50416.67,4572.67+(AP555-19896.67)*0.30,13728.67+(AP555-50416.67)*0.35))))))</f>
        <v/>
      </c>
      <c r="AR555" s="6">
        <f>SUM(AM555,AQ555,W555,X555,Y555,Z555,AA555,AN555,AO555)</f>
        <v/>
      </c>
      <c r="AS555" s="6">
        <f>AL555-AR555</f>
        <v/>
      </c>
      <c r="AT555" s="6">
        <f>AB555-AC555</f>
        <v/>
      </c>
    </row>
    <row r="556">
      <c r="A556" s="2" t="n"/>
      <c r="B556" s="3" t="n"/>
      <c r="C556" s="4" t="n"/>
      <c r="D556" s="5" t="n"/>
      <c r="E556" s="3" t="n"/>
      <c r="F556" s="4" t="n"/>
      <c r="G556" s="5" t="n"/>
      <c r="H556" s="3" t="n"/>
      <c r="I556" s="4" t="n"/>
      <c r="J556" s="5" t="n"/>
      <c r="K556" s="3" t="n"/>
      <c r="L556" s="4" t="n"/>
      <c r="M556" s="5" t="n"/>
      <c r="N556" s="3" t="n"/>
      <c r="O556" s="4" t="n"/>
      <c r="P556" s="5" t="n"/>
      <c r="Q556" s="3" t="n"/>
      <c r="R556" s="4" t="n"/>
      <c r="S556" s="5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6">
        <f>IF(C556=0,0,IF(E556="",B556*D556/100,E556))</f>
        <v/>
      </c>
      <c r="AE556" s="6">
        <f>IF(F556=0,0,IF(H556="",B556*G556/100,H556))</f>
        <v/>
      </c>
      <c r="AF556" s="6">
        <f>IF(I556=0,0,IF(K556="",B556*J556/100,K556))</f>
        <v/>
      </c>
      <c r="AG556" s="6">
        <f>IF(L556=0,0,IF(N556="",B556*M556/100,N556))</f>
        <v/>
      </c>
      <c r="AH556" s="6">
        <f>IF(O556=0,0,IF(Q556="",B556*P556/100,Q556))</f>
        <v/>
      </c>
      <c r="AI556" s="6">
        <f>IF(R556=0,0,IF(T556="",B556*S556/100,T556))</f>
        <v/>
      </c>
      <c r="AJ556" s="6">
        <f>B556*0.035</f>
        <v/>
      </c>
      <c r="AK556" s="6">
        <f>B556*0.065</f>
        <v/>
      </c>
      <c r="AL556" s="6">
        <f>SUM(B556,AD556,AE556,AF556,AG556,AH556,AI556,U556,V556,AJ556,AK556)</f>
        <v/>
      </c>
      <c r="AM556" s="6">
        <f>B556*0.055</f>
        <v/>
      </c>
      <c r="AN556" s="6">
        <f>B556*0.035</f>
        <v/>
      </c>
      <c r="AO556" s="6">
        <f>B556*0.165</f>
        <v/>
      </c>
      <c r="AP556" s="6">
        <f>MAX(0,AL556-AM556-AO556)</f>
        <v/>
      </c>
      <c r="AQ556" s="6">
        <f>IF(AP556&lt;=490,0,IF(AP556&lt;=600,(AP556-490)*0.05,IF(AP556&lt;=730,5.5+(AP556-600)*0.10,IF(AP556&lt;=3896.67,18.5+(AP556-730)*0.175,IF(AP556&lt;=19896.67,572.67+(AP556-3896.67)*0.25,IF(AP556&lt;=50416.67,4572.67+(AP556-19896.67)*0.30,13728.67+(AP556-50416.67)*0.35))))))</f>
        <v/>
      </c>
      <c r="AR556" s="6">
        <f>SUM(AM556,AQ556,W556,X556,Y556,Z556,AA556,AN556,AO556)</f>
        <v/>
      </c>
      <c r="AS556" s="6">
        <f>AL556-AR556</f>
        <v/>
      </c>
      <c r="AT556" s="6">
        <f>AB556-AC556</f>
        <v/>
      </c>
    </row>
    <row r="557">
      <c r="A557" s="2" t="n"/>
      <c r="B557" s="3" t="n"/>
      <c r="C557" s="4" t="n"/>
      <c r="D557" s="5" t="n"/>
      <c r="E557" s="3" t="n"/>
      <c r="F557" s="4" t="n"/>
      <c r="G557" s="5" t="n"/>
      <c r="H557" s="3" t="n"/>
      <c r="I557" s="4" t="n"/>
      <c r="J557" s="5" t="n"/>
      <c r="K557" s="3" t="n"/>
      <c r="L557" s="4" t="n"/>
      <c r="M557" s="5" t="n"/>
      <c r="N557" s="3" t="n"/>
      <c r="O557" s="4" t="n"/>
      <c r="P557" s="5" t="n"/>
      <c r="Q557" s="3" t="n"/>
      <c r="R557" s="4" t="n"/>
      <c r="S557" s="5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6">
        <f>IF(C557=0,0,IF(E557="",B557*D557/100,E557))</f>
        <v/>
      </c>
      <c r="AE557" s="6">
        <f>IF(F557=0,0,IF(H557="",B557*G557/100,H557))</f>
        <v/>
      </c>
      <c r="AF557" s="6">
        <f>IF(I557=0,0,IF(K557="",B557*J557/100,K557))</f>
        <v/>
      </c>
      <c r="AG557" s="6">
        <f>IF(L557=0,0,IF(N557="",B557*M557/100,N557))</f>
        <v/>
      </c>
      <c r="AH557" s="6">
        <f>IF(O557=0,0,IF(Q557="",B557*P557/100,Q557))</f>
        <v/>
      </c>
      <c r="AI557" s="6">
        <f>IF(R557=0,0,IF(T557="",B557*S557/100,T557))</f>
        <v/>
      </c>
      <c r="AJ557" s="6">
        <f>B557*0.035</f>
        <v/>
      </c>
      <c r="AK557" s="6">
        <f>B557*0.065</f>
        <v/>
      </c>
      <c r="AL557" s="6">
        <f>SUM(B557,AD557,AE557,AF557,AG557,AH557,AI557,U557,V557,AJ557,AK557)</f>
        <v/>
      </c>
      <c r="AM557" s="6">
        <f>B557*0.055</f>
        <v/>
      </c>
      <c r="AN557" s="6">
        <f>B557*0.035</f>
        <v/>
      </c>
      <c r="AO557" s="6">
        <f>B557*0.165</f>
        <v/>
      </c>
      <c r="AP557" s="6">
        <f>MAX(0,AL557-AM557-AO557)</f>
        <v/>
      </c>
      <c r="AQ557" s="6">
        <f>IF(AP557&lt;=490,0,IF(AP557&lt;=600,(AP557-490)*0.05,IF(AP557&lt;=730,5.5+(AP557-600)*0.10,IF(AP557&lt;=3896.67,18.5+(AP557-730)*0.175,IF(AP557&lt;=19896.67,572.67+(AP557-3896.67)*0.25,IF(AP557&lt;=50416.67,4572.67+(AP557-19896.67)*0.30,13728.67+(AP557-50416.67)*0.35))))))</f>
        <v/>
      </c>
      <c r="AR557" s="6">
        <f>SUM(AM557,AQ557,W557,X557,Y557,Z557,AA557,AN557,AO557)</f>
        <v/>
      </c>
      <c r="AS557" s="6">
        <f>AL557-AR557</f>
        <v/>
      </c>
      <c r="AT557" s="6">
        <f>AB557-AC557</f>
        <v/>
      </c>
    </row>
    <row r="558">
      <c r="A558" s="2" t="n"/>
      <c r="B558" s="3" t="n"/>
      <c r="C558" s="4" t="n"/>
      <c r="D558" s="5" t="n"/>
      <c r="E558" s="3" t="n"/>
      <c r="F558" s="4" t="n"/>
      <c r="G558" s="5" t="n"/>
      <c r="H558" s="3" t="n"/>
      <c r="I558" s="4" t="n"/>
      <c r="J558" s="5" t="n"/>
      <c r="K558" s="3" t="n"/>
      <c r="L558" s="4" t="n"/>
      <c r="M558" s="5" t="n"/>
      <c r="N558" s="3" t="n"/>
      <c r="O558" s="4" t="n"/>
      <c r="P558" s="5" t="n"/>
      <c r="Q558" s="3" t="n"/>
      <c r="R558" s="4" t="n"/>
      <c r="S558" s="5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6">
        <f>IF(C558=0,0,IF(E558="",B558*D558/100,E558))</f>
        <v/>
      </c>
      <c r="AE558" s="6">
        <f>IF(F558=0,0,IF(H558="",B558*G558/100,H558))</f>
        <v/>
      </c>
      <c r="AF558" s="6">
        <f>IF(I558=0,0,IF(K558="",B558*J558/100,K558))</f>
        <v/>
      </c>
      <c r="AG558" s="6">
        <f>IF(L558=0,0,IF(N558="",B558*M558/100,N558))</f>
        <v/>
      </c>
      <c r="AH558" s="6">
        <f>IF(O558=0,0,IF(Q558="",B558*P558/100,Q558))</f>
        <v/>
      </c>
      <c r="AI558" s="6">
        <f>IF(R558=0,0,IF(T558="",B558*S558/100,T558))</f>
        <v/>
      </c>
      <c r="AJ558" s="6">
        <f>B558*0.035</f>
        <v/>
      </c>
      <c r="AK558" s="6">
        <f>B558*0.065</f>
        <v/>
      </c>
      <c r="AL558" s="6">
        <f>SUM(B558,AD558,AE558,AF558,AG558,AH558,AI558,U558,V558,AJ558,AK558)</f>
        <v/>
      </c>
      <c r="AM558" s="6">
        <f>B558*0.055</f>
        <v/>
      </c>
      <c r="AN558" s="6">
        <f>B558*0.035</f>
        <v/>
      </c>
      <c r="AO558" s="6">
        <f>B558*0.165</f>
        <v/>
      </c>
      <c r="AP558" s="6">
        <f>MAX(0,AL558-AM558-AO558)</f>
        <v/>
      </c>
      <c r="AQ558" s="6">
        <f>IF(AP558&lt;=490,0,IF(AP558&lt;=600,(AP558-490)*0.05,IF(AP558&lt;=730,5.5+(AP558-600)*0.10,IF(AP558&lt;=3896.67,18.5+(AP558-730)*0.175,IF(AP558&lt;=19896.67,572.67+(AP558-3896.67)*0.25,IF(AP558&lt;=50416.67,4572.67+(AP558-19896.67)*0.30,13728.67+(AP558-50416.67)*0.35))))))</f>
        <v/>
      </c>
      <c r="AR558" s="6">
        <f>SUM(AM558,AQ558,W558,X558,Y558,Z558,AA558,AN558,AO558)</f>
        <v/>
      </c>
      <c r="AS558" s="6">
        <f>AL558-AR558</f>
        <v/>
      </c>
      <c r="AT558" s="6">
        <f>AB558-AC558</f>
        <v/>
      </c>
    </row>
    <row r="559">
      <c r="A559" s="2" t="n"/>
      <c r="B559" s="3" t="n"/>
      <c r="C559" s="4" t="n"/>
      <c r="D559" s="5" t="n"/>
      <c r="E559" s="3" t="n"/>
      <c r="F559" s="4" t="n"/>
      <c r="G559" s="5" t="n"/>
      <c r="H559" s="3" t="n"/>
      <c r="I559" s="4" t="n"/>
      <c r="J559" s="5" t="n"/>
      <c r="K559" s="3" t="n"/>
      <c r="L559" s="4" t="n"/>
      <c r="M559" s="5" t="n"/>
      <c r="N559" s="3" t="n"/>
      <c r="O559" s="4" t="n"/>
      <c r="P559" s="5" t="n"/>
      <c r="Q559" s="3" t="n"/>
      <c r="R559" s="4" t="n"/>
      <c r="S559" s="5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6">
        <f>IF(C559=0,0,IF(E559="",B559*D559/100,E559))</f>
        <v/>
      </c>
      <c r="AE559" s="6">
        <f>IF(F559=0,0,IF(H559="",B559*G559/100,H559))</f>
        <v/>
      </c>
      <c r="AF559" s="6">
        <f>IF(I559=0,0,IF(K559="",B559*J559/100,K559))</f>
        <v/>
      </c>
      <c r="AG559" s="6">
        <f>IF(L559=0,0,IF(N559="",B559*M559/100,N559))</f>
        <v/>
      </c>
      <c r="AH559" s="6">
        <f>IF(O559=0,0,IF(Q559="",B559*P559/100,Q559))</f>
        <v/>
      </c>
      <c r="AI559" s="6">
        <f>IF(R559=0,0,IF(T559="",B559*S559/100,T559))</f>
        <v/>
      </c>
      <c r="AJ559" s="6">
        <f>B559*0.035</f>
        <v/>
      </c>
      <c r="AK559" s="6">
        <f>B559*0.065</f>
        <v/>
      </c>
      <c r="AL559" s="6">
        <f>SUM(B559,AD559,AE559,AF559,AG559,AH559,AI559,U559,V559,AJ559,AK559)</f>
        <v/>
      </c>
      <c r="AM559" s="6">
        <f>B559*0.055</f>
        <v/>
      </c>
      <c r="AN559" s="6">
        <f>B559*0.035</f>
        <v/>
      </c>
      <c r="AO559" s="6">
        <f>B559*0.165</f>
        <v/>
      </c>
      <c r="AP559" s="6">
        <f>MAX(0,AL559-AM559-AO559)</f>
        <v/>
      </c>
      <c r="AQ559" s="6">
        <f>IF(AP559&lt;=490,0,IF(AP559&lt;=600,(AP559-490)*0.05,IF(AP559&lt;=730,5.5+(AP559-600)*0.10,IF(AP559&lt;=3896.67,18.5+(AP559-730)*0.175,IF(AP559&lt;=19896.67,572.67+(AP559-3896.67)*0.25,IF(AP559&lt;=50416.67,4572.67+(AP559-19896.67)*0.30,13728.67+(AP559-50416.67)*0.35))))))</f>
        <v/>
      </c>
      <c r="AR559" s="6">
        <f>SUM(AM559,AQ559,W559,X559,Y559,Z559,AA559,AN559,AO559)</f>
        <v/>
      </c>
      <c r="AS559" s="6">
        <f>AL559-AR559</f>
        <v/>
      </c>
      <c r="AT559" s="6">
        <f>AB559-AC559</f>
        <v/>
      </c>
    </row>
    <row r="560">
      <c r="A560" s="2" t="n"/>
      <c r="B560" s="3" t="n"/>
      <c r="C560" s="4" t="n"/>
      <c r="D560" s="5" t="n"/>
      <c r="E560" s="3" t="n"/>
      <c r="F560" s="4" t="n"/>
      <c r="G560" s="5" t="n"/>
      <c r="H560" s="3" t="n"/>
      <c r="I560" s="4" t="n"/>
      <c r="J560" s="5" t="n"/>
      <c r="K560" s="3" t="n"/>
      <c r="L560" s="4" t="n"/>
      <c r="M560" s="5" t="n"/>
      <c r="N560" s="3" t="n"/>
      <c r="O560" s="4" t="n"/>
      <c r="P560" s="5" t="n"/>
      <c r="Q560" s="3" t="n"/>
      <c r="R560" s="4" t="n"/>
      <c r="S560" s="5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6">
        <f>IF(C560=0,0,IF(E560="",B560*D560/100,E560))</f>
        <v/>
      </c>
      <c r="AE560" s="6">
        <f>IF(F560=0,0,IF(H560="",B560*G560/100,H560))</f>
        <v/>
      </c>
      <c r="AF560" s="6">
        <f>IF(I560=0,0,IF(K560="",B560*J560/100,K560))</f>
        <v/>
      </c>
      <c r="AG560" s="6">
        <f>IF(L560=0,0,IF(N560="",B560*M560/100,N560))</f>
        <v/>
      </c>
      <c r="AH560" s="6">
        <f>IF(O560=0,0,IF(Q560="",B560*P560/100,Q560))</f>
        <v/>
      </c>
      <c r="AI560" s="6">
        <f>IF(R560=0,0,IF(T560="",B560*S560/100,T560))</f>
        <v/>
      </c>
      <c r="AJ560" s="6">
        <f>B560*0.035</f>
        <v/>
      </c>
      <c r="AK560" s="6">
        <f>B560*0.065</f>
        <v/>
      </c>
      <c r="AL560" s="6">
        <f>SUM(B560,AD560,AE560,AF560,AG560,AH560,AI560,U560,V560,AJ560,AK560)</f>
        <v/>
      </c>
      <c r="AM560" s="6">
        <f>B560*0.055</f>
        <v/>
      </c>
      <c r="AN560" s="6">
        <f>B560*0.035</f>
        <v/>
      </c>
      <c r="AO560" s="6">
        <f>B560*0.165</f>
        <v/>
      </c>
      <c r="AP560" s="6">
        <f>MAX(0,AL560-AM560-AO560)</f>
        <v/>
      </c>
      <c r="AQ560" s="6">
        <f>IF(AP560&lt;=490,0,IF(AP560&lt;=600,(AP560-490)*0.05,IF(AP560&lt;=730,5.5+(AP560-600)*0.10,IF(AP560&lt;=3896.67,18.5+(AP560-730)*0.175,IF(AP560&lt;=19896.67,572.67+(AP560-3896.67)*0.25,IF(AP560&lt;=50416.67,4572.67+(AP560-19896.67)*0.30,13728.67+(AP560-50416.67)*0.35))))))</f>
        <v/>
      </c>
      <c r="AR560" s="6">
        <f>SUM(AM560,AQ560,W560,X560,Y560,Z560,AA560,AN560,AO560)</f>
        <v/>
      </c>
      <c r="AS560" s="6">
        <f>AL560-AR560</f>
        <v/>
      </c>
      <c r="AT560" s="6">
        <f>AB560-AC560</f>
        <v/>
      </c>
    </row>
    <row r="561">
      <c r="A561" s="2" t="n"/>
      <c r="B561" s="3" t="n"/>
      <c r="C561" s="4" t="n"/>
      <c r="D561" s="5" t="n"/>
      <c r="E561" s="3" t="n"/>
      <c r="F561" s="4" t="n"/>
      <c r="G561" s="5" t="n"/>
      <c r="H561" s="3" t="n"/>
      <c r="I561" s="4" t="n"/>
      <c r="J561" s="5" t="n"/>
      <c r="K561" s="3" t="n"/>
      <c r="L561" s="4" t="n"/>
      <c r="M561" s="5" t="n"/>
      <c r="N561" s="3" t="n"/>
      <c r="O561" s="4" t="n"/>
      <c r="P561" s="5" t="n"/>
      <c r="Q561" s="3" t="n"/>
      <c r="R561" s="4" t="n"/>
      <c r="S561" s="5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6">
        <f>IF(C561=0,0,IF(E561="",B561*D561/100,E561))</f>
        <v/>
      </c>
      <c r="AE561" s="6">
        <f>IF(F561=0,0,IF(H561="",B561*G561/100,H561))</f>
        <v/>
      </c>
      <c r="AF561" s="6">
        <f>IF(I561=0,0,IF(K561="",B561*J561/100,K561))</f>
        <v/>
      </c>
      <c r="AG561" s="6">
        <f>IF(L561=0,0,IF(N561="",B561*M561/100,N561))</f>
        <v/>
      </c>
      <c r="AH561" s="6">
        <f>IF(O561=0,0,IF(Q561="",B561*P561/100,Q561))</f>
        <v/>
      </c>
      <c r="AI561" s="6">
        <f>IF(R561=0,0,IF(T561="",B561*S561/100,T561))</f>
        <v/>
      </c>
      <c r="AJ561" s="6">
        <f>B561*0.035</f>
        <v/>
      </c>
      <c r="AK561" s="6">
        <f>B561*0.065</f>
        <v/>
      </c>
      <c r="AL561" s="6">
        <f>SUM(B561,AD561,AE561,AF561,AG561,AH561,AI561,U561,V561,AJ561,AK561)</f>
        <v/>
      </c>
      <c r="AM561" s="6">
        <f>B561*0.055</f>
        <v/>
      </c>
      <c r="AN561" s="6">
        <f>B561*0.035</f>
        <v/>
      </c>
      <c r="AO561" s="6">
        <f>B561*0.165</f>
        <v/>
      </c>
      <c r="AP561" s="6">
        <f>MAX(0,AL561-AM561-AO561)</f>
        <v/>
      </c>
      <c r="AQ561" s="6">
        <f>IF(AP561&lt;=490,0,IF(AP561&lt;=600,(AP561-490)*0.05,IF(AP561&lt;=730,5.5+(AP561-600)*0.10,IF(AP561&lt;=3896.67,18.5+(AP561-730)*0.175,IF(AP561&lt;=19896.67,572.67+(AP561-3896.67)*0.25,IF(AP561&lt;=50416.67,4572.67+(AP561-19896.67)*0.30,13728.67+(AP561-50416.67)*0.35))))))</f>
        <v/>
      </c>
      <c r="AR561" s="6">
        <f>SUM(AM561,AQ561,W561,X561,Y561,Z561,AA561,AN561,AO561)</f>
        <v/>
      </c>
      <c r="AS561" s="6">
        <f>AL561-AR561</f>
        <v/>
      </c>
      <c r="AT561" s="6">
        <f>AB561-AC561</f>
        <v/>
      </c>
    </row>
    <row r="562">
      <c r="A562" s="2" t="n"/>
      <c r="B562" s="3" t="n"/>
      <c r="C562" s="4" t="n"/>
      <c r="D562" s="5" t="n"/>
      <c r="E562" s="3" t="n"/>
      <c r="F562" s="4" t="n"/>
      <c r="G562" s="5" t="n"/>
      <c r="H562" s="3" t="n"/>
      <c r="I562" s="4" t="n"/>
      <c r="J562" s="5" t="n"/>
      <c r="K562" s="3" t="n"/>
      <c r="L562" s="4" t="n"/>
      <c r="M562" s="5" t="n"/>
      <c r="N562" s="3" t="n"/>
      <c r="O562" s="4" t="n"/>
      <c r="P562" s="5" t="n"/>
      <c r="Q562" s="3" t="n"/>
      <c r="R562" s="4" t="n"/>
      <c r="S562" s="5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6">
        <f>IF(C562=0,0,IF(E562="",B562*D562/100,E562))</f>
        <v/>
      </c>
      <c r="AE562" s="6">
        <f>IF(F562=0,0,IF(H562="",B562*G562/100,H562))</f>
        <v/>
      </c>
      <c r="AF562" s="6">
        <f>IF(I562=0,0,IF(K562="",B562*J562/100,K562))</f>
        <v/>
      </c>
      <c r="AG562" s="6">
        <f>IF(L562=0,0,IF(N562="",B562*M562/100,N562))</f>
        <v/>
      </c>
      <c r="AH562" s="6">
        <f>IF(O562=0,0,IF(Q562="",B562*P562/100,Q562))</f>
        <v/>
      </c>
      <c r="AI562" s="6">
        <f>IF(R562=0,0,IF(T562="",B562*S562/100,T562))</f>
        <v/>
      </c>
      <c r="AJ562" s="6">
        <f>B562*0.035</f>
        <v/>
      </c>
      <c r="AK562" s="6">
        <f>B562*0.065</f>
        <v/>
      </c>
      <c r="AL562" s="6">
        <f>SUM(B562,AD562,AE562,AF562,AG562,AH562,AI562,U562,V562,AJ562,AK562)</f>
        <v/>
      </c>
      <c r="AM562" s="6">
        <f>B562*0.055</f>
        <v/>
      </c>
      <c r="AN562" s="6">
        <f>B562*0.035</f>
        <v/>
      </c>
      <c r="AO562" s="6">
        <f>B562*0.165</f>
        <v/>
      </c>
      <c r="AP562" s="6">
        <f>MAX(0,AL562-AM562-AO562)</f>
        <v/>
      </c>
      <c r="AQ562" s="6">
        <f>IF(AP562&lt;=490,0,IF(AP562&lt;=600,(AP562-490)*0.05,IF(AP562&lt;=730,5.5+(AP562-600)*0.10,IF(AP562&lt;=3896.67,18.5+(AP562-730)*0.175,IF(AP562&lt;=19896.67,572.67+(AP562-3896.67)*0.25,IF(AP562&lt;=50416.67,4572.67+(AP562-19896.67)*0.30,13728.67+(AP562-50416.67)*0.35))))))</f>
        <v/>
      </c>
      <c r="AR562" s="6">
        <f>SUM(AM562,AQ562,W562,X562,Y562,Z562,AA562,AN562,AO562)</f>
        <v/>
      </c>
      <c r="AS562" s="6">
        <f>AL562-AR562</f>
        <v/>
      </c>
      <c r="AT562" s="6">
        <f>AB562-AC562</f>
        <v/>
      </c>
    </row>
    <row r="563">
      <c r="A563" s="2" t="n"/>
      <c r="B563" s="3" t="n"/>
      <c r="C563" s="4" t="n"/>
      <c r="D563" s="5" t="n"/>
      <c r="E563" s="3" t="n"/>
      <c r="F563" s="4" t="n"/>
      <c r="G563" s="5" t="n"/>
      <c r="H563" s="3" t="n"/>
      <c r="I563" s="4" t="n"/>
      <c r="J563" s="5" t="n"/>
      <c r="K563" s="3" t="n"/>
      <c r="L563" s="4" t="n"/>
      <c r="M563" s="5" t="n"/>
      <c r="N563" s="3" t="n"/>
      <c r="O563" s="4" t="n"/>
      <c r="P563" s="5" t="n"/>
      <c r="Q563" s="3" t="n"/>
      <c r="R563" s="4" t="n"/>
      <c r="S563" s="5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6">
        <f>IF(C563=0,0,IF(E563="",B563*D563/100,E563))</f>
        <v/>
      </c>
      <c r="AE563" s="6">
        <f>IF(F563=0,0,IF(H563="",B563*G563/100,H563))</f>
        <v/>
      </c>
      <c r="AF563" s="6">
        <f>IF(I563=0,0,IF(K563="",B563*J563/100,K563))</f>
        <v/>
      </c>
      <c r="AG563" s="6">
        <f>IF(L563=0,0,IF(N563="",B563*M563/100,N563))</f>
        <v/>
      </c>
      <c r="AH563" s="6">
        <f>IF(O563=0,0,IF(Q563="",B563*P563/100,Q563))</f>
        <v/>
      </c>
      <c r="AI563" s="6">
        <f>IF(R563=0,0,IF(T563="",B563*S563/100,T563))</f>
        <v/>
      </c>
      <c r="AJ563" s="6">
        <f>B563*0.035</f>
        <v/>
      </c>
      <c r="AK563" s="6">
        <f>B563*0.065</f>
        <v/>
      </c>
      <c r="AL563" s="6">
        <f>SUM(B563,AD563,AE563,AF563,AG563,AH563,AI563,U563,V563,AJ563,AK563)</f>
        <v/>
      </c>
      <c r="AM563" s="6">
        <f>B563*0.055</f>
        <v/>
      </c>
      <c r="AN563" s="6">
        <f>B563*0.035</f>
        <v/>
      </c>
      <c r="AO563" s="6">
        <f>B563*0.165</f>
        <v/>
      </c>
      <c r="AP563" s="6">
        <f>MAX(0,AL563-AM563-AO563)</f>
        <v/>
      </c>
      <c r="AQ563" s="6">
        <f>IF(AP563&lt;=490,0,IF(AP563&lt;=600,(AP563-490)*0.05,IF(AP563&lt;=730,5.5+(AP563-600)*0.10,IF(AP563&lt;=3896.67,18.5+(AP563-730)*0.175,IF(AP563&lt;=19896.67,572.67+(AP563-3896.67)*0.25,IF(AP563&lt;=50416.67,4572.67+(AP563-19896.67)*0.30,13728.67+(AP563-50416.67)*0.35))))))</f>
        <v/>
      </c>
      <c r="AR563" s="6">
        <f>SUM(AM563,AQ563,W563,X563,Y563,Z563,AA563,AN563,AO563)</f>
        <v/>
      </c>
      <c r="AS563" s="6">
        <f>AL563-AR563</f>
        <v/>
      </c>
      <c r="AT563" s="6">
        <f>AB563-AC563</f>
        <v/>
      </c>
    </row>
    <row r="564">
      <c r="A564" s="2" t="n"/>
      <c r="B564" s="3" t="n"/>
      <c r="C564" s="4" t="n"/>
      <c r="D564" s="5" t="n"/>
      <c r="E564" s="3" t="n"/>
      <c r="F564" s="4" t="n"/>
      <c r="G564" s="5" t="n"/>
      <c r="H564" s="3" t="n"/>
      <c r="I564" s="4" t="n"/>
      <c r="J564" s="5" t="n"/>
      <c r="K564" s="3" t="n"/>
      <c r="L564" s="4" t="n"/>
      <c r="M564" s="5" t="n"/>
      <c r="N564" s="3" t="n"/>
      <c r="O564" s="4" t="n"/>
      <c r="P564" s="5" t="n"/>
      <c r="Q564" s="3" t="n"/>
      <c r="R564" s="4" t="n"/>
      <c r="S564" s="5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6">
        <f>IF(C564=0,0,IF(E564="",B564*D564/100,E564))</f>
        <v/>
      </c>
      <c r="AE564" s="6">
        <f>IF(F564=0,0,IF(H564="",B564*G564/100,H564))</f>
        <v/>
      </c>
      <c r="AF564" s="6">
        <f>IF(I564=0,0,IF(K564="",B564*J564/100,K564))</f>
        <v/>
      </c>
      <c r="AG564" s="6">
        <f>IF(L564=0,0,IF(N564="",B564*M564/100,N564))</f>
        <v/>
      </c>
      <c r="AH564" s="6">
        <f>IF(O564=0,0,IF(Q564="",B564*P564/100,Q564))</f>
        <v/>
      </c>
      <c r="AI564" s="6">
        <f>IF(R564=0,0,IF(T564="",B564*S564/100,T564))</f>
        <v/>
      </c>
      <c r="AJ564" s="6">
        <f>B564*0.035</f>
        <v/>
      </c>
      <c r="AK564" s="6">
        <f>B564*0.065</f>
        <v/>
      </c>
      <c r="AL564" s="6">
        <f>SUM(B564,AD564,AE564,AF564,AG564,AH564,AI564,U564,V564,AJ564,AK564)</f>
        <v/>
      </c>
      <c r="AM564" s="6">
        <f>B564*0.055</f>
        <v/>
      </c>
      <c r="AN564" s="6">
        <f>B564*0.035</f>
        <v/>
      </c>
      <c r="AO564" s="6">
        <f>B564*0.165</f>
        <v/>
      </c>
      <c r="AP564" s="6">
        <f>MAX(0,AL564-AM564-AO564)</f>
        <v/>
      </c>
      <c r="AQ564" s="6">
        <f>IF(AP564&lt;=490,0,IF(AP564&lt;=600,(AP564-490)*0.05,IF(AP564&lt;=730,5.5+(AP564-600)*0.10,IF(AP564&lt;=3896.67,18.5+(AP564-730)*0.175,IF(AP564&lt;=19896.67,572.67+(AP564-3896.67)*0.25,IF(AP564&lt;=50416.67,4572.67+(AP564-19896.67)*0.30,13728.67+(AP564-50416.67)*0.35))))))</f>
        <v/>
      </c>
      <c r="AR564" s="6">
        <f>SUM(AM564,AQ564,W564,X564,Y564,Z564,AA564,AN564,AO564)</f>
        <v/>
      </c>
      <c r="AS564" s="6">
        <f>AL564-AR564</f>
        <v/>
      </c>
      <c r="AT564" s="6">
        <f>AB564-AC564</f>
        <v/>
      </c>
    </row>
    <row r="565">
      <c r="A565" s="2" t="n"/>
      <c r="B565" s="3" t="n"/>
      <c r="C565" s="4" t="n"/>
      <c r="D565" s="5" t="n"/>
      <c r="E565" s="3" t="n"/>
      <c r="F565" s="4" t="n"/>
      <c r="G565" s="5" t="n"/>
      <c r="H565" s="3" t="n"/>
      <c r="I565" s="4" t="n"/>
      <c r="J565" s="5" t="n"/>
      <c r="K565" s="3" t="n"/>
      <c r="L565" s="4" t="n"/>
      <c r="M565" s="5" t="n"/>
      <c r="N565" s="3" t="n"/>
      <c r="O565" s="4" t="n"/>
      <c r="P565" s="5" t="n"/>
      <c r="Q565" s="3" t="n"/>
      <c r="R565" s="4" t="n"/>
      <c r="S565" s="5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6">
        <f>IF(C565=0,0,IF(E565="",B565*D565/100,E565))</f>
        <v/>
      </c>
      <c r="AE565" s="6">
        <f>IF(F565=0,0,IF(H565="",B565*G565/100,H565))</f>
        <v/>
      </c>
      <c r="AF565" s="6">
        <f>IF(I565=0,0,IF(K565="",B565*J565/100,K565))</f>
        <v/>
      </c>
      <c r="AG565" s="6">
        <f>IF(L565=0,0,IF(N565="",B565*M565/100,N565))</f>
        <v/>
      </c>
      <c r="AH565" s="6">
        <f>IF(O565=0,0,IF(Q565="",B565*P565/100,Q565))</f>
        <v/>
      </c>
      <c r="AI565" s="6">
        <f>IF(R565=0,0,IF(T565="",B565*S565/100,T565))</f>
        <v/>
      </c>
      <c r="AJ565" s="6">
        <f>B565*0.035</f>
        <v/>
      </c>
      <c r="AK565" s="6">
        <f>B565*0.065</f>
        <v/>
      </c>
      <c r="AL565" s="6">
        <f>SUM(B565,AD565,AE565,AF565,AG565,AH565,AI565,U565,V565,AJ565,AK565)</f>
        <v/>
      </c>
      <c r="AM565" s="6">
        <f>B565*0.055</f>
        <v/>
      </c>
      <c r="AN565" s="6">
        <f>B565*0.035</f>
        <v/>
      </c>
      <c r="AO565" s="6">
        <f>B565*0.165</f>
        <v/>
      </c>
      <c r="AP565" s="6">
        <f>MAX(0,AL565-AM565-AO565)</f>
        <v/>
      </c>
      <c r="AQ565" s="6">
        <f>IF(AP565&lt;=490,0,IF(AP565&lt;=600,(AP565-490)*0.05,IF(AP565&lt;=730,5.5+(AP565-600)*0.10,IF(AP565&lt;=3896.67,18.5+(AP565-730)*0.175,IF(AP565&lt;=19896.67,572.67+(AP565-3896.67)*0.25,IF(AP565&lt;=50416.67,4572.67+(AP565-19896.67)*0.30,13728.67+(AP565-50416.67)*0.35))))))</f>
        <v/>
      </c>
      <c r="AR565" s="6">
        <f>SUM(AM565,AQ565,W565,X565,Y565,Z565,AA565,AN565,AO565)</f>
        <v/>
      </c>
      <c r="AS565" s="6">
        <f>AL565-AR565</f>
        <v/>
      </c>
      <c r="AT565" s="6">
        <f>AB565-AC565</f>
        <v/>
      </c>
    </row>
    <row r="566">
      <c r="A566" s="2" t="n"/>
      <c r="B566" s="3" t="n"/>
      <c r="C566" s="4" t="n"/>
      <c r="D566" s="5" t="n"/>
      <c r="E566" s="3" t="n"/>
      <c r="F566" s="4" t="n"/>
      <c r="G566" s="5" t="n"/>
      <c r="H566" s="3" t="n"/>
      <c r="I566" s="4" t="n"/>
      <c r="J566" s="5" t="n"/>
      <c r="K566" s="3" t="n"/>
      <c r="L566" s="4" t="n"/>
      <c r="M566" s="5" t="n"/>
      <c r="N566" s="3" t="n"/>
      <c r="O566" s="4" t="n"/>
      <c r="P566" s="5" t="n"/>
      <c r="Q566" s="3" t="n"/>
      <c r="R566" s="4" t="n"/>
      <c r="S566" s="5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6">
        <f>IF(C566=0,0,IF(E566="",B566*D566/100,E566))</f>
        <v/>
      </c>
      <c r="AE566" s="6">
        <f>IF(F566=0,0,IF(H566="",B566*G566/100,H566))</f>
        <v/>
      </c>
      <c r="AF566" s="6">
        <f>IF(I566=0,0,IF(K566="",B566*J566/100,K566))</f>
        <v/>
      </c>
      <c r="AG566" s="6">
        <f>IF(L566=0,0,IF(N566="",B566*M566/100,N566))</f>
        <v/>
      </c>
      <c r="AH566" s="6">
        <f>IF(O566=0,0,IF(Q566="",B566*P566/100,Q566))</f>
        <v/>
      </c>
      <c r="AI566" s="6">
        <f>IF(R566=0,0,IF(T566="",B566*S566/100,T566))</f>
        <v/>
      </c>
      <c r="AJ566" s="6">
        <f>B566*0.035</f>
        <v/>
      </c>
      <c r="AK566" s="6">
        <f>B566*0.065</f>
        <v/>
      </c>
      <c r="AL566" s="6">
        <f>SUM(B566,AD566,AE566,AF566,AG566,AH566,AI566,U566,V566,AJ566,AK566)</f>
        <v/>
      </c>
      <c r="AM566" s="6">
        <f>B566*0.055</f>
        <v/>
      </c>
      <c r="AN566" s="6">
        <f>B566*0.035</f>
        <v/>
      </c>
      <c r="AO566" s="6">
        <f>B566*0.165</f>
        <v/>
      </c>
      <c r="AP566" s="6">
        <f>MAX(0,AL566-AM566-AO566)</f>
        <v/>
      </c>
      <c r="AQ566" s="6">
        <f>IF(AP566&lt;=490,0,IF(AP566&lt;=600,(AP566-490)*0.05,IF(AP566&lt;=730,5.5+(AP566-600)*0.10,IF(AP566&lt;=3896.67,18.5+(AP566-730)*0.175,IF(AP566&lt;=19896.67,572.67+(AP566-3896.67)*0.25,IF(AP566&lt;=50416.67,4572.67+(AP566-19896.67)*0.30,13728.67+(AP566-50416.67)*0.35))))))</f>
        <v/>
      </c>
      <c r="AR566" s="6">
        <f>SUM(AM566,AQ566,W566,X566,Y566,Z566,AA566,AN566,AO566)</f>
        <v/>
      </c>
      <c r="AS566" s="6">
        <f>AL566-AR566</f>
        <v/>
      </c>
      <c r="AT566" s="6">
        <f>AB566-AC566</f>
        <v/>
      </c>
    </row>
    <row r="567">
      <c r="A567" s="2" t="n"/>
      <c r="B567" s="3" t="n"/>
      <c r="C567" s="4" t="n"/>
      <c r="D567" s="5" t="n"/>
      <c r="E567" s="3" t="n"/>
      <c r="F567" s="4" t="n"/>
      <c r="G567" s="5" t="n"/>
      <c r="H567" s="3" t="n"/>
      <c r="I567" s="4" t="n"/>
      <c r="J567" s="5" t="n"/>
      <c r="K567" s="3" t="n"/>
      <c r="L567" s="4" t="n"/>
      <c r="M567" s="5" t="n"/>
      <c r="N567" s="3" t="n"/>
      <c r="O567" s="4" t="n"/>
      <c r="P567" s="5" t="n"/>
      <c r="Q567" s="3" t="n"/>
      <c r="R567" s="4" t="n"/>
      <c r="S567" s="5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6">
        <f>IF(C567=0,0,IF(E567="",B567*D567/100,E567))</f>
        <v/>
      </c>
      <c r="AE567" s="6">
        <f>IF(F567=0,0,IF(H567="",B567*G567/100,H567))</f>
        <v/>
      </c>
      <c r="AF567" s="6">
        <f>IF(I567=0,0,IF(K567="",B567*J567/100,K567))</f>
        <v/>
      </c>
      <c r="AG567" s="6">
        <f>IF(L567=0,0,IF(N567="",B567*M567/100,N567))</f>
        <v/>
      </c>
      <c r="AH567" s="6">
        <f>IF(O567=0,0,IF(Q567="",B567*P567/100,Q567))</f>
        <v/>
      </c>
      <c r="AI567" s="6">
        <f>IF(R567=0,0,IF(T567="",B567*S567/100,T567))</f>
        <v/>
      </c>
      <c r="AJ567" s="6">
        <f>B567*0.035</f>
        <v/>
      </c>
      <c r="AK567" s="6">
        <f>B567*0.065</f>
        <v/>
      </c>
      <c r="AL567" s="6">
        <f>SUM(B567,AD567,AE567,AF567,AG567,AH567,AI567,U567,V567,AJ567,AK567)</f>
        <v/>
      </c>
      <c r="AM567" s="6">
        <f>B567*0.055</f>
        <v/>
      </c>
      <c r="AN567" s="6">
        <f>B567*0.035</f>
        <v/>
      </c>
      <c r="AO567" s="6">
        <f>B567*0.165</f>
        <v/>
      </c>
      <c r="AP567" s="6">
        <f>MAX(0,AL567-AM567-AO567)</f>
        <v/>
      </c>
      <c r="AQ567" s="6">
        <f>IF(AP567&lt;=490,0,IF(AP567&lt;=600,(AP567-490)*0.05,IF(AP567&lt;=730,5.5+(AP567-600)*0.10,IF(AP567&lt;=3896.67,18.5+(AP567-730)*0.175,IF(AP567&lt;=19896.67,572.67+(AP567-3896.67)*0.25,IF(AP567&lt;=50416.67,4572.67+(AP567-19896.67)*0.30,13728.67+(AP567-50416.67)*0.35))))))</f>
        <v/>
      </c>
      <c r="AR567" s="6">
        <f>SUM(AM567,AQ567,W567,X567,Y567,Z567,AA567,AN567,AO567)</f>
        <v/>
      </c>
      <c r="AS567" s="6">
        <f>AL567-AR567</f>
        <v/>
      </c>
      <c r="AT567" s="6">
        <f>AB567-AC567</f>
        <v/>
      </c>
    </row>
    <row r="568">
      <c r="A568" s="2" t="n"/>
      <c r="B568" s="3" t="n"/>
      <c r="C568" s="4" t="n"/>
      <c r="D568" s="5" t="n"/>
      <c r="E568" s="3" t="n"/>
      <c r="F568" s="4" t="n"/>
      <c r="G568" s="5" t="n"/>
      <c r="H568" s="3" t="n"/>
      <c r="I568" s="4" t="n"/>
      <c r="J568" s="5" t="n"/>
      <c r="K568" s="3" t="n"/>
      <c r="L568" s="4" t="n"/>
      <c r="M568" s="5" t="n"/>
      <c r="N568" s="3" t="n"/>
      <c r="O568" s="4" t="n"/>
      <c r="P568" s="5" t="n"/>
      <c r="Q568" s="3" t="n"/>
      <c r="R568" s="4" t="n"/>
      <c r="S568" s="5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6">
        <f>IF(C568=0,0,IF(E568="",B568*D568/100,E568))</f>
        <v/>
      </c>
      <c r="AE568" s="6">
        <f>IF(F568=0,0,IF(H568="",B568*G568/100,H568))</f>
        <v/>
      </c>
      <c r="AF568" s="6">
        <f>IF(I568=0,0,IF(K568="",B568*J568/100,K568))</f>
        <v/>
      </c>
      <c r="AG568" s="6">
        <f>IF(L568=0,0,IF(N568="",B568*M568/100,N568))</f>
        <v/>
      </c>
      <c r="AH568" s="6">
        <f>IF(O568=0,0,IF(Q568="",B568*P568/100,Q568))</f>
        <v/>
      </c>
      <c r="AI568" s="6">
        <f>IF(R568=0,0,IF(T568="",B568*S568/100,T568))</f>
        <v/>
      </c>
      <c r="AJ568" s="6">
        <f>B568*0.035</f>
        <v/>
      </c>
      <c r="AK568" s="6">
        <f>B568*0.065</f>
        <v/>
      </c>
      <c r="AL568" s="6">
        <f>SUM(B568,AD568,AE568,AF568,AG568,AH568,AI568,U568,V568,AJ568,AK568)</f>
        <v/>
      </c>
      <c r="AM568" s="6">
        <f>B568*0.055</f>
        <v/>
      </c>
      <c r="AN568" s="6">
        <f>B568*0.035</f>
        <v/>
      </c>
      <c r="AO568" s="6">
        <f>B568*0.165</f>
        <v/>
      </c>
      <c r="AP568" s="6">
        <f>MAX(0,AL568-AM568-AO568)</f>
        <v/>
      </c>
      <c r="AQ568" s="6">
        <f>IF(AP568&lt;=490,0,IF(AP568&lt;=600,(AP568-490)*0.05,IF(AP568&lt;=730,5.5+(AP568-600)*0.10,IF(AP568&lt;=3896.67,18.5+(AP568-730)*0.175,IF(AP568&lt;=19896.67,572.67+(AP568-3896.67)*0.25,IF(AP568&lt;=50416.67,4572.67+(AP568-19896.67)*0.30,13728.67+(AP568-50416.67)*0.35))))))</f>
        <v/>
      </c>
      <c r="AR568" s="6">
        <f>SUM(AM568,AQ568,W568,X568,Y568,Z568,AA568,AN568,AO568)</f>
        <v/>
      </c>
      <c r="AS568" s="6">
        <f>AL568-AR568</f>
        <v/>
      </c>
      <c r="AT568" s="6">
        <f>AB568-AC568</f>
        <v/>
      </c>
    </row>
    <row r="569">
      <c r="A569" s="2" t="n"/>
      <c r="B569" s="3" t="n"/>
      <c r="C569" s="4" t="n"/>
      <c r="D569" s="5" t="n"/>
      <c r="E569" s="3" t="n"/>
      <c r="F569" s="4" t="n"/>
      <c r="G569" s="5" t="n"/>
      <c r="H569" s="3" t="n"/>
      <c r="I569" s="4" t="n"/>
      <c r="J569" s="5" t="n"/>
      <c r="K569" s="3" t="n"/>
      <c r="L569" s="4" t="n"/>
      <c r="M569" s="5" t="n"/>
      <c r="N569" s="3" t="n"/>
      <c r="O569" s="4" t="n"/>
      <c r="P569" s="5" t="n"/>
      <c r="Q569" s="3" t="n"/>
      <c r="R569" s="4" t="n"/>
      <c r="S569" s="5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6">
        <f>IF(C569=0,0,IF(E569="",B569*D569/100,E569))</f>
        <v/>
      </c>
      <c r="AE569" s="6">
        <f>IF(F569=0,0,IF(H569="",B569*G569/100,H569))</f>
        <v/>
      </c>
      <c r="AF569" s="6">
        <f>IF(I569=0,0,IF(K569="",B569*J569/100,K569))</f>
        <v/>
      </c>
      <c r="AG569" s="6">
        <f>IF(L569=0,0,IF(N569="",B569*M569/100,N569))</f>
        <v/>
      </c>
      <c r="AH569" s="6">
        <f>IF(O569=0,0,IF(Q569="",B569*P569/100,Q569))</f>
        <v/>
      </c>
      <c r="AI569" s="6">
        <f>IF(R569=0,0,IF(T569="",B569*S569/100,T569))</f>
        <v/>
      </c>
      <c r="AJ569" s="6">
        <f>B569*0.035</f>
        <v/>
      </c>
      <c r="AK569" s="6">
        <f>B569*0.065</f>
        <v/>
      </c>
      <c r="AL569" s="6">
        <f>SUM(B569,AD569,AE569,AF569,AG569,AH569,AI569,U569,V569,AJ569,AK569)</f>
        <v/>
      </c>
      <c r="AM569" s="6">
        <f>B569*0.055</f>
        <v/>
      </c>
      <c r="AN569" s="6">
        <f>B569*0.035</f>
        <v/>
      </c>
      <c r="AO569" s="6">
        <f>B569*0.165</f>
        <v/>
      </c>
      <c r="AP569" s="6">
        <f>MAX(0,AL569-AM569-AO569)</f>
        <v/>
      </c>
      <c r="AQ569" s="6">
        <f>IF(AP569&lt;=490,0,IF(AP569&lt;=600,(AP569-490)*0.05,IF(AP569&lt;=730,5.5+(AP569-600)*0.10,IF(AP569&lt;=3896.67,18.5+(AP569-730)*0.175,IF(AP569&lt;=19896.67,572.67+(AP569-3896.67)*0.25,IF(AP569&lt;=50416.67,4572.67+(AP569-19896.67)*0.30,13728.67+(AP569-50416.67)*0.35))))))</f>
        <v/>
      </c>
      <c r="AR569" s="6">
        <f>SUM(AM569,AQ569,W569,X569,Y569,Z569,AA569,AN569,AO569)</f>
        <v/>
      </c>
      <c r="AS569" s="6">
        <f>AL569-AR569</f>
        <v/>
      </c>
      <c r="AT569" s="6">
        <f>AB569-AC569</f>
        <v/>
      </c>
    </row>
    <row r="570">
      <c r="A570" s="2" t="n"/>
      <c r="B570" s="3" t="n"/>
      <c r="C570" s="4" t="n"/>
      <c r="D570" s="5" t="n"/>
      <c r="E570" s="3" t="n"/>
      <c r="F570" s="4" t="n"/>
      <c r="G570" s="5" t="n"/>
      <c r="H570" s="3" t="n"/>
      <c r="I570" s="4" t="n"/>
      <c r="J570" s="5" t="n"/>
      <c r="K570" s="3" t="n"/>
      <c r="L570" s="4" t="n"/>
      <c r="M570" s="5" t="n"/>
      <c r="N570" s="3" t="n"/>
      <c r="O570" s="4" t="n"/>
      <c r="P570" s="5" t="n"/>
      <c r="Q570" s="3" t="n"/>
      <c r="R570" s="4" t="n"/>
      <c r="S570" s="5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6">
        <f>IF(C570=0,0,IF(E570="",B570*D570/100,E570))</f>
        <v/>
      </c>
      <c r="AE570" s="6">
        <f>IF(F570=0,0,IF(H570="",B570*G570/100,H570))</f>
        <v/>
      </c>
      <c r="AF570" s="6">
        <f>IF(I570=0,0,IF(K570="",B570*J570/100,K570))</f>
        <v/>
      </c>
      <c r="AG570" s="6">
        <f>IF(L570=0,0,IF(N570="",B570*M570/100,N570))</f>
        <v/>
      </c>
      <c r="AH570" s="6">
        <f>IF(O570=0,0,IF(Q570="",B570*P570/100,Q570))</f>
        <v/>
      </c>
      <c r="AI570" s="6">
        <f>IF(R570=0,0,IF(T570="",B570*S570/100,T570))</f>
        <v/>
      </c>
      <c r="AJ570" s="6">
        <f>B570*0.035</f>
        <v/>
      </c>
      <c r="AK570" s="6">
        <f>B570*0.065</f>
        <v/>
      </c>
      <c r="AL570" s="6">
        <f>SUM(B570,AD570,AE570,AF570,AG570,AH570,AI570,U570,V570,AJ570,AK570)</f>
        <v/>
      </c>
      <c r="AM570" s="6">
        <f>B570*0.055</f>
        <v/>
      </c>
      <c r="AN570" s="6">
        <f>B570*0.035</f>
        <v/>
      </c>
      <c r="AO570" s="6">
        <f>B570*0.165</f>
        <v/>
      </c>
      <c r="AP570" s="6">
        <f>MAX(0,AL570-AM570-AO570)</f>
        <v/>
      </c>
      <c r="AQ570" s="6">
        <f>IF(AP570&lt;=490,0,IF(AP570&lt;=600,(AP570-490)*0.05,IF(AP570&lt;=730,5.5+(AP570-600)*0.10,IF(AP570&lt;=3896.67,18.5+(AP570-730)*0.175,IF(AP570&lt;=19896.67,572.67+(AP570-3896.67)*0.25,IF(AP570&lt;=50416.67,4572.67+(AP570-19896.67)*0.30,13728.67+(AP570-50416.67)*0.35))))))</f>
        <v/>
      </c>
      <c r="AR570" s="6">
        <f>SUM(AM570,AQ570,W570,X570,Y570,Z570,AA570,AN570,AO570)</f>
        <v/>
      </c>
      <c r="AS570" s="6">
        <f>AL570-AR570</f>
        <v/>
      </c>
      <c r="AT570" s="6">
        <f>AB570-AC570</f>
        <v/>
      </c>
    </row>
    <row r="571">
      <c r="A571" s="2" t="n"/>
      <c r="B571" s="3" t="n"/>
      <c r="C571" s="4" t="n"/>
      <c r="D571" s="5" t="n"/>
      <c r="E571" s="3" t="n"/>
      <c r="F571" s="4" t="n"/>
      <c r="G571" s="5" t="n"/>
      <c r="H571" s="3" t="n"/>
      <c r="I571" s="4" t="n"/>
      <c r="J571" s="5" t="n"/>
      <c r="K571" s="3" t="n"/>
      <c r="L571" s="4" t="n"/>
      <c r="M571" s="5" t="n"/>
      <c r="N571" s="3" t="n"/>
      <c r="O571" s="4" t="n"/>
      <c r="P571" s="5" t="n"/>
      <c r="Q571" s="3" t="n"/>
      <c r="R571" s="4" t="n"/>
      <c r="S571" s="5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6">
        <f>IF(C571=0,0,IF(E571="",B571*D571/100,E571))</f>
        <v/>
      </c>
      <c r="AE571" s="6">
        <f>IF(F571=0,0,IF(H571="",B571*G571/100,H571))</f>
        <v/>
      </c>
      <c r="AF571" s="6">
        <f>IF(I571=0,0,IF(K571="",B571*J571/100,K571))</f>
        <v/>
      </c>
      <c r="AG571" s="6">
        <f>IF(L571=0,0,IF(N571="",B571*M571/100,N571))</f>
        <v/>
      </c>
      <c r="AH571" s="6">
        <f>IF(O571=0,0,IF(Q571="",B571*P571/100,Q571))</f>
        <v/>
      </c>
      <c r="AI571" s="6">
        <f>IF(R571=0,0,IF(T571="",B571*S571/100,T571))</f>
        <v/>
      </c>
      <c r="AJ571" s="6">
        <f>B571*0.035</f>
        <v/>
      </c>
      <c r="AK571" s="6">
        <f>B571*0.065</f>
        <v/>
      </c>
      <c r="AL571" s="6">
        <f>SUM(B571,AD571,AE571,AF571,AG571,AH571,AI571,U571,V571,AJ571,AK571)</f>
        <v/>
      </c>
      <c r="AM571" s="6">
        <f>B571*0.055</f>
        <v/>
      </c>
      <c r="AN571" s="6">
        <f>B571*0.035</f>
        <v/>
      </c>
      <c r="AO571" s="6">
        <f>B571*0.165</f>
        <v/>
      </c>
      <c r="AP571" s="6">
        <f>MAX(0,AL571-AM571-AO571)</f>
        <v/>
      </c>
      <c r="AQ571" s="6">
        <f>IF(AP571&lt;=490,0,IF(AP571&lt;=600,(AP571-490)*0.05,IF(AP571&lt;=730,5.5+(AP571-600)*0.10,IF(AP571&lt;=3896.67,18.5+(AP571-730)*0.175,IF(AP571&lt;=19896.67,572.67+(AP571-3896.67)*0.25,IF(AP571&lt;=50416.67,4572.67+(AP571-19896.67)*0.30,13728.67+(AP571-50416.67)*0.35))))))</f>
        <v/>
      </c>
      <c r="AR571" s="6">
        <f>SUM(AM571,AQ571,W571,X571,Y571,Z571,AA571,AN571,AO571)</f>
        <v/>
      </c>
      <c r="AS571" s="6">
        <f>AL571-AR571</f>
        <v/>
      </c>
      <c r="AT571" s="6">
        <f>AB571-AC571</f>
        <v/>
      </c>
    </row>
    <row r="572">
      <c r="A572" s="2" t="n"/>
      <c r="B572" s="3" t="n"/>
      <c r="C572" s="4" t="n"/>
      <c r="D572" s="5" t="n"/>
      <c r="E572" s="3" t="n"/>
      <c r="F572" s="4" t="n"/>
      <c r="G572" s="5" t="n"/>
      <c r="H572" s="3" t="n"/>
      <c r="I572" s="4" t="n"/>
      <c r="J572" s="5" t="n"/>
      <c r="K572" s="3" t="n"/>
      <c r="L572" s="4" t="n"/>
      <c r="M572" s="5" t="n"/>
      <c r="N572" s="3" t="n"/>
      <c r="O572" s="4" t="n"/>
      <c r="P572" s="5" t="n"/>
      <c r="Q572" s="3" t="n"/>
      <c r="R572" s="4" t="n"/>
      <c r="S572" s="5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6">
        <f>IF(C572=0,0,IF(E572="",B572*D572/100,E572))</f>
        <v/>
      </c>
      <c r="AE572" s="6">
        <f>IF(F572=0,0,IF(H572="",B572*G572/100,H572))</f>
        <v/>
      </c>
      <c r="AF572" s="6">
        <f>IF(I572=0,0,IF(K572="",B572*J572/100,K572))</f>
        <v/>
      </c>
      <c r="AG572" s="6">
        <f>IF(L572=0,0,IF(N572="",B572*M572/100,N572))</f>
        <v/>
      </c>
      <c r="AH572" s="6">
        <f>IF(O572=0,0,IF(Q572="",B572*P572/100,Q572))</f>
        <v/>
      </c>
      <c r="AI572" s="6">
        <f>IF(R572=0,0,IF(T572="",B572*S572/100,T572))</f>
        <v/>
      </c>
      <c r="AJ572" s="6">
        <f>B572*0.035</f>
        <v/>
      </c>
      <c r="AK572" s="6">
        <f>B572*0.065</f>
        <v/>
      </c>
      <c r="AL572" s="6">
        <f>SUM(B572,AD572,AE572,AF572,AG572,AH572,AI572,U572,V572,AJ572,AK572)</f>
        <v/>
      </c>
      <c r="AM572" s="6">
        <f>B572*0.055</f>
        <v/>
      </c>
      <c r="AN572" s="6">
        <f>B572*0.035</f>
        <v/>
      </c>
      <c r="AO572" s="6">
        <f>B572*0.165</f>
        <v/>
      </c>
      <c r="AP572" s="6">
        <f>MAX(0,AL572-AM572-AO572)</f>
        <v/>
      </c>
      <c r="AQ572" s="6">
        <f>IF(AP572&lt;=490,0,IF(AP572&lt;=600,(AP572-490)*0.05,IF(AP572&lt;=730,5.5+(AP572-600)*0.10,IF(AP572&lt;=3896.67,18.5+(AP572-730)*0.175,IF(AP572&lt;=19896.67,572.67+(AP572-3896.67)*0.25,IF(AP572&lt;=50416.67,4572.67+(AP572-19896.67)*0.30,13728.67+(AP572-50416.67)*0.35))))))</f>
        <v/>
      </c>
      <c r="AR572" s="6">
        <f>SUM(AM572,AQ572,W572,X572,Y572,Z572,AA572,AN572,AO572)</f>
        <v/>
      </c>
      <c r="AS572" s="6">
        <f>AL572-AR572</f>
        <v/>
      </c>
      <c r="AT572" s="6">
        <f>AB572-AC572</f>
        <v/>
      </c>
    </row>
    <row r="573">
      <c r="A573" s="2" t="n"/>
      <c r="B573" s="3" t="n"/>
      <c r="C573" s="4" t="n"/>
      <c r="D573" s="5" t="n"/>
      <c r="E573" s="3" t="n"/>
      <c r="F573" s="4" t="n"/>
      <c r="G573" s="5" t="n"/>
      <c r="H573" s="3" t="n"/>
      <c r="I573" s="4" t="n"/>
      <c r="J573" s="5" t="n"/>
      <c r="K573" s="3" t="n"/>
      <c r="L573" s="4" t="n"/>
      <c r="M573" s="5" t="n"/>
      <c r="N573" s="3" t="n"/>
      <c r="O573" s="4" t="n"/>
      <c r="P573" s="5" t="n"/>
      <c r="Q573" s="3" t="n"/>
      <c r="R573" s="4" t="n"/>
      <c r="S573" s="5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6">
        <f>IF(C573=0,0,IF(E573="",B573*D573/100,E573))</f>
        <v/>
      </c>
      <c r="AE573" s="6">
        <f>IF(F573=0,0,IF(H573="",B573*G573/100,H573))</f>
        <v/>
      </c>
      <c r="AF573" s="6">
        <f>IF(I573=0,0,IF(K573="",B573*J573/100,K573))</f>
        <v/>
      </c>
      <c r="AG573" s="6">
        <f>IF(L573=0,0,IF(N573="",B573*M573/100,N573))</f>
        <v/>
      </c>
      <c r="AH573" s="6">
        <f>IF(O573=0,0,IF(Q573="",B573*P573/100,Q573))</f>
        <v/>
      </c>
      <c r="AI573" s="6">
        <f>IF(R573=0,0,IF(T573="",B573*S573/100,T573))</f>
        <v/>
      </c>
      <c r="AJ573" s="6">
        <f>B573*0.035</f>
        <v/>
      </c>
      <c r="AK573" s="6">
        <f>B573*0.065</f>
        <v/>
      </c>
      <c r="AL573" s="6">
        <f>SUM(B573,AD573,AE573,AF573,AG573,AH573,AI573,U573,V573,AJ573,AK573)</f>
        <v/>
      </c>
      <c r="AM573" s="6">
        <f>B573*0.055</f>
        <v/>
      </c>
      <c r="AN573" s="6">
        <f>B573*0.035</f>
        <v/>
      </c>
      <c r="AO573" s="6">
        <f>B573*0.165</f>
        <v/>
      </c>
      <c r="AP573" s="6">
        <f>MAX(0,AL573-AM573-AO573)</f>
        <v/>
      </c>
      <c r="AQ573" s="6">
        <f>IF(AP573&lt;=490,0,IF(AP573&lt;=600,(AP573-490)*0.05,IF(AP573&lt;=730,5.5+(AP573-600)*0.10,IF(AP573&lt;=3896.67,18.5+(AP573-730)*0.175,IF(AP573&lt;=19896.67,572.67+(AP573-3896.67)*0.25,IF(AP573&lt;=50416.67,4572.67+(AP573-19896.67)*0.30,13728.67+(AP573-50416.67)*0.35))))))</f>
        <v/>
      </c>
      <c r="AR573" s="6">
        <f>SUM(AM573,AQ573,W573,X573,Y573,Z573,AA573,AN573,AO573)</f>
        <v/>
      </c>
      <c r="AS573" s="6">
        <f>AL573-AR573</f>
        <v/>
      </c>
      <c r="AT573" s="6">
        <f>AB573-AC573</f>
        <v/>
      </c>
    </row>
    <row r="574">
      <c r="A574" s="2" t="n"/>
      <c r="B574" s="3" t="n"/>
      <c r="C574" s="4" t="n"/>
      <c r="D574" s="5" t="n"/>
      <c r="E574" s="3" t="n"/>
      <c r="F574" s="4" t="n"/>
      <c r="G574" s="5" t="n"/>
      <c r="H574" s="3" t="n"/>
      <c r="I574" s="4" t="n"/>
      <c r="J574" s="5" t="n"/>
      <c r="K574" s="3" t="n"/>
      <c r="L574" s="4" t="n"/>
      <c r="M574" s="5" t="n"/>
      <c r="N574" s="3" t="n"/>
      <c r="O574" s="4" t="n"/>
      <c r="P574" s="5" t="n"/>
      <c r="Q574" s="3" t="n"/>
      <c r="R574" s="4" t="n"/>
      <c r="S574" s="5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6">
        <f>IF(C574=0,0,IF(E574="",B574*D574/100,E574))</f>
        <v/>
      </c>
      <c r="AE574" s="6">
        <f>IF(F574=0,0,IF(H574="",B574*G574/100,H574))</f>
        <v/>
      </c>
      <c r="AF574" s="6">
        <f>IF(I574=0,0,IF(K574="",B574*J574/100,K574))</f>
        <v/>
      </c>
      <c r="AG574" s="6">
        <f>IF(L574=0,0,IF(N574="",B574*M574/100,N574))</f>
        <v/>
      </c>
      <c r="AH574" s="6">
        <f>IF(O574=0,0,IF(Q574="",B574*P574/100,Q574))</f>
        <v/>
      </c>
      <c r="AI574" s="6">
        <f>IF(R574=0,0,IF(T574="",B574*S574/100,T574))</f>
        <v/>
      </c>
      <c r="AJ574" s="6">
        <f>B574*0.035</f>
        <v/>
      </c>
      <c r="AK574" s="6">
        <f>B574*0.065</f>
        <v/>
      </c>
      <c r="AL574" s="6">
        <f>SUM(B574,AD574,AE574,AF574,AG574,AH574,AI574,U574,V574,AJ574,AK574)</f>
        <v/>
      </c>
      <c r="AM574" s="6">
        <f>B574*0.055</f>
        <v/>
      </c>
      <c r="AN574" s="6">
        <f>B574*0.035</f>
        <v/>
      </c>
      <c r="AO574" s="6">
        <f>B574*0.165</f>
        <v/>
      </c>
      <c r="AP574" s="6">
        <f>MAX(0,AL574-AM574-AO574)</f>
        <v/>
      </c>
      <c r="AQ574" s="6">
        <f>IF(AP574&lt;=490,0,IF(AP574&lt;=600,(AP574-490)*0.05,IF(AP574&lt;=730,5.5+(AP574-600)*0.10,IF(AP574&lt;=3896.67,18.5+(AP574-730)*0.175,IF(AP574&lt;=19896.67,572.67+(AP574-3896.67)*0.25,IF(AP574&lt;=50416.67,4572.67+(AP574-19896.67)*0.30,13728.67+(AP574-50416.67)*0.35))))))</f>
        <v/>
      </c>
      <c r="AR574" s="6">
        <f>SUM(AM574,AQ574,W574,X574,Y574,Z574,AA574,AN574,AO574)</f>
        <v/>
      </c>
      <c r="AS574" s="6">
        <f>AL574-AR574</f>
        <v/>
      </c>
      <c r="AT574" s="6">
        <f>AB574-AC574</f>
        <v/>
      </c>
    </row>
    <row r="575">
      <c r="A575" s="2" t="n"/>
      <c r="B575" s="3" t="n"/>
      <c r="C575" s="4" t="n"/>
      <c r="D575" s="5" t="n"/>
      <c r="E575" s="3" t="n"/>
      <c r="F575" s="4" t="n"/>
      <c r="G575" s="5" t="n"/>
      <c r="H575" s="3" t="n"/>
      <c r="I575" s="4" t="n"/>
      <c r="J575" s="5" t="n"/>
      <c r="K575" s="3" t="n"/>
      <c r="L575" s="4" t="n"/>
      <c r="M575" s="5" t="n"/>
      <c r="N575" s="3" t="n"/>
      <c r="O575" s="4" t="n"/>
      <c r="P575" s="5" t="n"/>
      <c r="Q575" s="3" t="n"/>
      <c r="R575" s="4" t="n"/>
      <c r="S575" s="5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6">
        <f>IF(C575=0,0,IF(E575="",B575*D575/100,E575))</f>
        <v/>
      </c>
      <c r="AE575" s="6">
        <f>IF(F575=0,0,IF(H575="",B575*G575/100,H575))</f>
        <v/>
      </c>
      <c r="AF575" s="6">
        <f>IF(I575=0,0,IF(K575="",B575*J575/100,K575))</f>
        <v/>
      </c>
      <c r="AG575" s="6">
        <f>IF(L575=0,0,IF(N575="",B575*M575/100,N575))</f>
        <v/>
      </c>
      <c r="AH575" s="6">
        <f>IF(O575=0,0,IF(Q575="",B575*P575/100,Q575))</f>
        <v/>
      </c>
      <c r="AI575" s="6">
        <f>IF(R575=0,0,IF(T575="",B575*S575/100,T575))</f>
        <v/>
      </c>
      <c r="AJ575" s="6">
        <f>B575*0.035</f>
        <v/>
      </c>
      <c r="AK575" s="6">
        <f>B575*0.065</f>
        <v/>
      </c>
      <c r="AL575" s="6">
        <f>SUM(B575,AD575,AE575,AF575,AG575,AH575,AI575,U575,V575,AJ575,AK575)</f>
        <v/>
      </c>
      <c r="AM575" s="6">
        <f>B575*0.055</f>
        <v/>
      </c>
      <c r="AN575" s="6">
        <f>B575*0.035</f>
        <v/>
      </c>
      <c r="AO575" s="6">
        <f>B575*0.165</f>
        <v/>
      </c>
      <c r="AP575" s="6">
        <f>MAX(0,AL575-AM575-AO575)</f>
        <v/>
      </c>
      <c r="AQ575" s="6">
        <f>IF(AP575&lt;=490,0,IF(AP575&lt;=600,(AP575-490)*0.05,IF(AP575&lt;=730,5.5+(AP575-600)*0.10,IF(AP575&lt;=3896.67,18.5+(AP575-730)*0.175,IF(AP575&lt;=19896.67,572.67+(AP575-3896.67)*0.25,IF(AP575&lt;=50416.67,4572.67+(AP575-19896.67)*0.30,13728.67+(AP575-50416.67)*0.35))))))</f>
        <v/>
      </c>
      <c r="AR575" s="6">
        <f>SUM(AM575,AQ575,W575,X575,Y575,Z575,AA575,AN575,AO575)</f>
        <v/>
      </c>
      <c r="AS575" s="6">
        <f>AL575-AR575</f>
        <v/>
      </c>
      <c r="AT575" s="6">
        <f>AB575-AC575</f>
        <v/>
      </c>
    </row>
    <row r="576">
      <c r="A576" s="2" t="n"/>
      <c r="B576" s="3" t="n"/>
      <c r="C576" s="4" t="n"/>
      <c r="D576" s="5" t="n"/>
      <c r="E576" s="3" t="n"/>
      <c r="F576" s="4" t="n"/>
      <c r="G576" s="5" t="n"/>
      <c r="H576" s="3" t="n"/>
      <c r="I576" s="4" t="n"/>
      <c r="J576" s="5" t="n"/>
      <c r="K576" s="3" t="n"/>
      <c r="L576" s="4" t="n"/>
      <c r="M576" s="5" t="n"/>
      <c r="N576" s="3" t="n"/>
      <c r="O576" s="4" t="n"/>
      <c r="P576" s="5" t="n"/>
      <c r="Q576" s="3" t="n"/>
      <c r="R576" s="4" t="n"/>
      <c r="S576" s="5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6">
        <f>IF(C576=0,0,IF(E576="",B576*D576/100,E576))</f>
        <v/>
      </c>
      <c r="AE576" s="6">
        <f>IF(F576=0,0,IF(H576="",B576*G576/100,H576))</f>
        <v/>
      </c>
      <c r="AF576" s="6">
        <f>IF(I576=0,0,IF(K576="",B576*J576/100,K576))</f>
        <v/>
      </c>
      <c r="AG576" s="6">
        <f>IF(L576=0,0,IF(N576="",B576*M576/100,N576))</f>
        <v/>
      </c>
      <c r="AH576" s="6">
        <f>IF(O576=0,0,IF(Q576="",B576*P576/100,Q576))</f>
        <v/>
      </c>
      <c r="AI576" s="6">
        <f>IF(R576=0,0,IF(T576="",B576*S576/100,T576))</f>
        <v/>
      </c>
      <c r="AJ576" s="6">
        <f>B576*0.035</f>
        <v/>
      </c>
      <c r="AK576" s="6">
        <f>B576*0.065</f>
        <v/>
      </c>
      <c r="AL576" s="6">
        <f>SUM(B576,AD576,AE576,AF576,AG576,AH576,AI576,U576,V576,AJ576,AK576)</f>
        <v/>
      </c>
      <c r="AM576" s="6">
        <f>B576*0.055</f>
        <v/>
      </c>
      <c r="AN576" s="6">
        <f>B576*0.035</f>
        <v/>
      </c>
      <c r="AO576" s="6">
        <f>B576*0.165</f>
        <v/>
      </c>
      <c r="AP576" s="6">
        <f>MAX(0,AL576-AM576-AO576)</f>
        <v/>
      </c>
      <c r="AQ576" s="6">
        <f>IF(AP576&lt;=490,0,IF(AP576&lt;=600,(AP576-490)*0.05,IF(AP576&lt;=730,5.5+(AP576-600)*0.10,IF(AP576&lt;=3896.67,18.5+(AP576-730)*0.175,IF(AP576&lt;=19896.67,572.67+(AP576-3896.67)*0.25,IF(AP576&lt;=50416.67,4572.67+(AP576-19896.67)*0.30,13728.67+(AP576-50416.67)*0.35))))))</f>
        <v/>
      </c>
      <c r="AR576" s="6">
        <f>SUM(AM576,AQ576,W576,X576,Y576,Z576,AA576,AN576,AO576)</f>
        <v/>
      </c>
      <c r="AS576" s="6">
        <f>AL576-AR576</f>
        <v/>
      </c>
      <c r="AT576" s="6">
        <f>AB576-AC576</f>
        <v/>
      </c>
    </row>
    <row r="577">
      <c r="A577" s="2" t="n"/>
      <c r="B577" s="3" t="n"/>
      <c r="C577" s="4" t="n"/>
      <c r="D577" s="5" t="n"/>
      <c r="E577" s="3" t="n"/>
      <c r="F577" s="4" t="n"/>
      <c r="G577" s="5" t="n"/>
      <c r="H577" s="3" t="n"/>
      <c r="I577" s="4" t="n"/>
      <c r="J577" s="5" t="n"/>
      <c r="K577" s="3" t="n"/>
      <c r="L577" s="4" t="n"/>
      <c r="M577" s="5" t="n"/>
      <c r="N577" s="3" t="n"/>
      <c r="O577" s="4" t="n"/>
      <c r="P577" s="5" t="n"/>
      <c r="Q577" s="3" t="n"/>
      <c r="R577" s="4" t="n"/>
      <c r="S577" s="5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6">
        <f>IF(C577=0,0,IF(E577="",B577*D577/100,E577))</f>
        <v/>
      </c>
      <c r="AE577" s="6">
        <f>IF(F577=0,0,IF(H577="",B577*G577/100,H577))</f>
        <v/>
      </c>
      <c r="AF577" s="6">
        <f>IF(I577=0,0,IF(K577="",B577*J577/100,K577))</f>
        <v/>
      </c>
      <c r="AG577" s="6">
        <f>IF(L577=0,0,IF(N577="",B577*M577/100,N577))</f>
        <v/>
      </c>
      <c r="AH577" s="6">
        <f>IF(O577=0,0,IF(Q577="",B577*P577/100,Q577))</f>
        <v/>
      </c>
      <c r="AI577" s="6">
        <f>IF(R577=0,0,IF(T577="",B577*S577/100,T577))</f>
        <v/>
      </c>
      <c r="AJ577" s="6">
        <f>B577*0.035</f>
        <v/>
      </c>
      <c r="AK577" s="6">
        <f>B577*0.065</f>
        <v/>
      </c>
      <c r="AL577" s="6">
        <f>SUM(B577,AD577,AE577,AF577,AG577,AH577,AI577,U577,V577,AJ577,AK577)</f>
        <v/>
      </c>
      <c r="AM577" s="6">
        <f>B577*0.055</f>
        <v/>
      </c>
      <c r="AN577" s="6">
        <f>B577*0.035</f>
        <v/>
      </c>
      <c r="AO577" s="6">
        <f>B577*0.165</f>
        <v/>
      </c>
      <c r="AP577" s="6">
        <f>MAX(0,AL577-AM577-AO577)</f>
        <v/>
      </c>
      <c r="AQ577" s="6">
        <f>IF(AP577&lt;=490,0,IF(AP577&lt;=600,(AP577-490)*0.05,IF(AP577&lt;=730,5.5+(AP577-600)*0.10,IF(AP577&lt;=3896.67,18.5+(AP577-730)*0.175,IF(AP577&lt;=19896.67,572.67+(AP577-3896.67)*0.25,IF(AP577&lt;=50416.67,4572.67+(AP577-19896.67)*0.30,13728.67+(AP577-50416.67)*0.35))))))</f>
        <v/>
      </c>
      <c r="AR577" s="6">
        <f>SUM(AM577,AQ577,W577,X577,Y577,Z577,AA577,AN577,AO577)</f>
        <v/>
      </c>
      <c r="AS577" s="6">
        <f>AL577-AR577</f>
        <v/>
      </c>
      <c r="AT577" s="6">
        <f>AB577-AC577</f>
        <v/>
      </c>
    </row>
    <row r="578">
      <c r="A578" s="2" t="n"/>
      <c r="B578" s="3" t="n"/>
      <c r="C578" s="4" t="n"/>
      <c r="D578" s="5" t="n"/>
      <c r="E578" s="3" t="n"/>
      <c r="F578" s="4" t="n"/>
      <c r="G578" s="5" t="n"/>
      <c r="H578" s="3" t="n"/>
      <c r="I578" s="4" t="n"/>
      <c r="J578" s="5" t="n"/>
      <c r="K578" s="3" t="n"/>
      <c r="L578" s="4" t="n"/>
      <c r="M578" s="5" t="n"/>
      <c r="N578" s="3" t="n"/>
      <c r="O578" s="4" t="n"/>
      <c r="P578" s="5" t="n"/>
      <c r="Q578" s="3" t="n"/>
      <c r="R578" s="4" t="n"/>
      <c r="S578" s="5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6">
        <f>IF(C578=0,0,IF(E578="",B578*D578/100,E578))</f>
        <v/>
      </c>
      <c r="AE578" s="6">
        <f>IF(F578=0,0,IF(H578="",B578*G578/100,H578))</f>
        <v/>
      </c>
      <c r="AF578" s="6">
        <f>IF(I578=0,0,IF(K578="",B578*J578/100,K578))</f>
        <v/>
      </c>
      <c r="AG578" s="6">
        <f>IF(L578=0,0,IF(N578="",B578*M578/100,N578))</f>
        <v/>
      </c>
      <c r="AH578" s="6">
        <f>IF(O578=0,0,IF(Q578="",B578*P578/100,Q578))</f>
        <v/>
      </c>
      <c r="AI578" s="6">
        <f>IF(R578=0,0,IF(T578="",B578*S578/100,T578))</f>
        <v/>
      </c>
      <c r="AJ578" s="6">
        <f>B578*0.035</f>
        <v/>
      </c>
      <c r="AK578" s="6">
        <f>B578*0.065</f>
        <v/>
      </c>
      <c r="AL578" s="6">
        <f>SUM(B578,AD578,AE578,AF578,AG578,AH578,AI578,U578,V578,AJ578,AK578)</f>
        <v/>
      </c>
      <c r="AM578" s="6">
        <f>B578*0.055</f>
        <v/>
      </c>
      <c r="AN578" s="6">
        <f>B578*0.035</f>
        <v/>
      </c>
      <c r="AO578" s="6">
        <f>B578*0.165</f>
        <v/>
      </c>
      <c r="AP578" s="6">
        <f>MAX(0,AL578-AM578-AO578)</f>
        <v/>
      </c>
      <c r="AQ578" s="6">
        <f>IF(AP578&lt;=490,0,IF(AP578&lt;=600,(AP578-490)*0.05,IF(AP578&lt;=730,5.5+(AP578-600)*0.10,IF(AP578&lt;=3896.67,18.5+(AP578-730)*0.175,IF(AP578&lt;=19896.67,572.67+(AP578-3896.67)*0.25,IF(AP578&lt;=50416.67,4572.67+(AP578-19896.67)*0.30,13728.67+(AP578-50416.67)*0.35))))))</f>
        <v/>
      </c>
      <c r="AR578" s="6">
        <f>SUM(AM578,AQ578,W578,X578,Y578,Z578,AA578,AN578,AO578)</f>
        <v/>
      </c>
      <c r="AS578" s="6">
        <f>AL578-AR578</f>
        <v/>
      </c>
      <c r="AT578" s="6">
        <f>AB578-AC578</f>
        <v/>
      </c>
    </row>
    <row r="579">
      <c r="A579" s="2" t="n"/>
      <c r="B579" s="3" t="n"/>
      <c r="C579" s="4" t="n"/>
      <c r="D579" s="5" t="n"/>
      <c r="E579" s="3" t="n"/>
      <c r="F579" s="4" t="n"/>
      <c r="G579" s="5" t="n"/>
      <c r="H579" s="3" t="n"/>
      <c r="I579" s="4" t="n"/>
      <c r="J579" s="5" t="n"/>
      <c r="K579" s="3" t="n"/>
      <c r="L579" s="4" t="n"/>
      <c r="M579" s="5" t="n"/>
      <c r="N579" s="3" t="n"/>
      <c r="O579" s="4" t="n"/>
      <c r="P579" s="5" t="n"/>
      <c r="Q579" s="3" t="n"/>
      <c r="R579" s="4" t="n"/>
      <c r="S579" s="5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6">
        <f>IF(C579=0,0,IF(E579="",B579*D579/100,E579))</f>
        <v/>
      </c>
      <c r="AE579" s="6">
        <f>IF(F579=0,0,IF(H579="",B579*G579/100,H579))</f>
        <v/>
      </c>
      <c r="AF579" s="6">
        <f>IF(I579=0,0,IF(K579="",B579*J579/100,K579))</f>
        <v/>
      </c>
      <c r="AG579" s="6">
        <f>IF(L579=0,0,IF(N579="",B579*M579/100,N579))</f>
        <v/>
      </c>
      <c r="AH579" s="6">
        <f>IF(O579=0,0,IF(Q579="",B579*P579/100,Q579))</f>
        <v/>
      </c>
      <c r="AI579" s="6">
        <f>IF(R579=0,0,IF(T579="",B579*S579/100,T579))</f>
        <v/>
      </c>
      <c r="AJ579" s="6">
        <f>B579*0.035</f>
        <v/>
      </c>
      <c r="AK579" s="6">
        <f>B579*0.065</f>
        <v/>
      </c>
      <c r="AL579" s="6">
        <f>SUM(B579,AD579,AE579,AF579,AG579,AH579,AI579,U579,V579,AJ579,AK579)</f>
        <v/>
      </c>
      <c r="AM579" s="6">
        <f>B579*0.055</f>
        <v/>
      </c>
      <c r="AN579" s="6">
        <f>B579*0.035</f>
        <v/>
      </c>
      <c r="AO579" s="6">
        <f>B579*0.165</f>
        <v/>
      </c>
      <c r="AP579" s="6">
        <f>MAX(0,AL579-AM579-AO579)</f>
        <v/>
      </c>
      <c r="AQ579" s="6">
        <f>IF(AP579&lt;=490,0,IF(AP579&lt;=600,(AP579-490)*0.05,IF(AP579&lt;=730,5.5+(AP579-600)*0.10,IF(AP579&lt;=3896.67,18.5+(AP579-730)*0.175,IF(AP579&lt;=19896.67,572.67+(AP579-3896.67)*0.25,IF(AP579&lt;=50416.67,4572.67+(AP579-19896.67)*0.30,13728.67+(AP579-50416.67)*0.35))))))</f>
        <v/>
      </c>
      <c r="AR579" s="6">
        <f>SUM(AM579,AQ579,W579,X579,Y579,Z579,AA579,AN579,AO579)</f>
        <v/>
      </c>
      <c r="AS579" s="6">
        <f>AL579-AR579</f>
        <v/>
      </c>
      <c r="AT579" s="6">
        <f>AB579-AC579</f>
        <v/>
      </c>
    </row>
    <row r="580">
      <c r="A580" s="2" t="n"/>
      <c r="B580" s="3" t="n"/>
      <c r="C580" s="4" t="n"/>
      <c r="D580" s="5" t="n"/>
      <c r="E580" s="3" t="n"/>
      <c r="F580" s="4" t="n"/>
      <c r="G580" s="5" t="n"/>
      <c r="H580" s="3" t="n"/>
      <c r="I580" s="4" t="n"/>
      <c r="J580" s="5" t="n"/>
      <c r="K580" s="3" t="n"/>
      <c r="L580" s="4" t="n"/>
      <c r="M580" s="5" t="n"/>
      <c r="N580" s="3" t="n"/>
      <c r="O580" s="4" t="n"/>
      <c r="P580" s="5" t="n"/>
      <c r="Q580" s="3" t="n"/>
      <c r="R580" s="4" t="n"/>
      <c r="S580" s="5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6">
        <f>IF(C580=0,0,IF(E580="",B580*D580/100,E580))</f>
        <v/>
      </c>
      <c r="AE580" s="6">
        <f>IF(F580=0,0,IF(H580="",B580*G580/100,H580))</f>
        <v/>
      </c>
      <c r="AF580" s="6">
        <f>IF(I580=0,0,IF(K580="",B580*J580/100,K580))</f>
        <v/>
      </c>
      <c r="AG580" s="6">
        <f>IF(L580=0,0,IF(N580="",B580*M580/100,N580))</f>
        <v/>
      </c>
      <c r="AH580" s="6">
        <f>IF(O580=0,0,IF(Q580="",B580*P580/100,Q580))</f>
        <v/>
      </c>
      <c r="AI580" s="6">
        <f>IF(R580=0,0,IF(T580="",B580*S580/100,T580))</f>
        <v/>
      </c>
      <c r="AJ580" s="6">
        <f>B580*0.035</f>
        <v/>
      </c>
      <c r="AK580" s="6">
        <f>B580*0.065</f>
        <v/>
      </c>
      <c r="AL580" s="6">
        <f>SUM(B580,AD580,AE580,AF580,AG580,AH580,AI580,U580,V580,AJ580,AK580)</f>
        <v/>
      </c>
      <c r="AM580" s="6">
        <f>B580*0.055</f>
        <v/>
      </c>
      <c r="AN580" s="6">
        <f>B580*0.035</f>
        <v/>
      </c>
      <c r="AO580" s="6">
        <f>B580*0.165</f>
        <v/>
      </c>
      <c r="AP580" s="6">
        <f>MAX(0,AL580-AM580-AO580)</f>
        <v/>
      </c>
      <c r="AQ580" s="6">
        <f>IF(AP580&lt;=490,0,IF(AP580&lt;=600,(AP580-490)*0.05,IF(AP580&lt;=730,5.5+(AP580-600)*0.10,IF(AP580&lt;=3896.67,18.5+(AP580-730)*0.175,IF(AP580&lt;=19896.67,572.67+(AP580-3896.67)*0.25,IF(AP580&lt;=50416.67,4572.67+(AP580-19896.67)*0.30,13728.67+(AP580-50416.67)*0.35))))))</f>
        <v/>
      </c>
      <c r="AR580" s="6">
        <f>SUM(AM580,AQ580,W580,X580,Y580,Z580,AA580,AN580,AO580)</f>
        <v/>
      </c>
      <c r="AS580" s="6">
        <f>AL580-AR580</f>
        <v/>
      </c>
      <c r="AT580" s="6">
        <f>AB580-AC580</f>
        <v/>
      </c>
    </row>
    <row r="581">
      <c r="A581" s="2" t="n"/>
      <c r="B581" s="3" t="n"/>
      <c r="C581" s="4" t="n"/>
      <c r="D581" s="5" t="n"/>
      <c r="E581" s="3" t="n"/>
      <c r="F581" s="4" t="n"/>
      <c r="G581" s="5" t="n"/>
      <c r="H581" s="3" t="n"/>
      <c r="I581" s="4" t="n"/>
      <c r="J581" s="5" t="n"/>
      <c r="K581" s="3" t="n"/>
      <c r="L581" s="4" t="n"/>
      <c r="M581" s="5" t="n"/>
      <c r="N581" s="3" t="n"/>
      <c r="O581" s="4" t="n"/>
      <c r="P581" s="5" t="n"/>
      <c r="Q581" s="3" t="n"/>
      <c r="R581" s="4" t="n"/>
      <c r="S581" s="5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6">
        <f>IF(C581=0,0,IF(E581="",B581*D581/100,E581))</f>
        <v/>
      </c>
      <c r="AE581" s="6">
        <f>IF(F581=0,0,IF(H581="",B581*G581/100,H581))</f>
        <v/>
      </c>
      <c r="AF581" s="6">
        <f>IF(I581=0,0,IF(K581="",B581*J581/100,K581))</f>
        <v/>
      </c>
      <c r="AG581" s="6">
        <f>IF(L581=0,0,IF(N581="",B581*M581/100,N581))</f>
        <v/>
      </c>
      <c r="AH581" s="6">
        <f>IF(O581=0,0,IF(Q581="",B581*P581/100,Q581))</f>
        <v/>
      </c>
      <c r="AI581" s="6">
        <f>IF(R581=0,0,IF(T581="",B581*S581/100,T581))</f>
        <v/>
      </c>
      <c r="AJ581" s="6">
        <f>B581*0.035</f>
        <v/>
      </c>
      <c r="AK581" s="6">
        <f>B581*0.065</f>
        <v/>
      </c>
      <c r="AL581" s="6">
        <f>SUM(B581,AD581,AE581,AF581,AG581,AH581,AI581,U581,V581,AJ581,AK581)</f>
        <v/>
      </c>
      <c r="AM581" s="6">
        <f>B581*0.055</f>
        <v/>
      </c>
      <c r="AN581" s="6">
        <f>B581*0.035</f>
        <v/>
      </c>
      <c r="AO581" s="6">
        <f>B581*0.165</f>
        <v/>
      </c>
      <c r="AP581" s="6">
        <f>MAX(0,AL581-AM581-AO581)</f>
        <v/>
      </c>
      <c r="AQ581" s="6">
        <f>IF(AP581&lt;=490,0,IF(AP581&lt;=600,(AP581-490)*0.05,IF(AP581&lt;=730,5.5+(AP581-600)*0.10,IF(AP581&lt;=3896.67,18.5+(AP581-730)*0.175,IF(AP581&lt;=19896.67,572.67+(AP581-3896.67)*0.25,IF(AP581&lt;=50416.67,4572.67+(AP581-19896.67)*0.30,13728.67+(AP581-50416.67)*0.35))))))</f>
        <v/>
      </c>
      <c r="AR581" s="6">
        <f>SUM(AM581,AQ581,W581,X581,Y581,Z581,AA581,AN581,AO581)</f>
        <v/>
      </c>
      <c r="AS581" s="6">
        <f>AL581-AR581</f>
        <v/>
      </c>
      <c r="AT581" s="6">
        <f>AB581-AC581</f>
        <v/>
      </c>
    </row>
    <row r="582">
      <c r="A582" s="2" t="n"/>
      <c r="B582" s="3" t="n"/>
      <c r="C582" s="4" t="n"/>
      <c r="D582" s="5" t="n"/>
      <c r="E582" s="3" t="n"/>
      <c r="F582" s="4" t="n"/>
      <c r="G582" s="5" t="n"/>
      <c r="H582" s="3" t="n"/>
      <c r="I582" s="4" t="n"/>
      <c r="J582" s="5" t="n"/>
      <c r="K582" s="3" t="n"/>
      <c r="L582" s="4" t="n"/>
      <c r="M582" s="5" t="n"/>
      <c r="N582" s="3" t="n"/>
      <c r="O582" s="4" t="n"/>
      <c r="P582" s="5" t="n"/>
      <c r="Q582" s="3" t="n"/>
      <c r="R582" s="4" t="n"/>
      <c r="S582" s="5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6">
        <f>IF(C582=0,0,IF(E582="",B582*D582/100,E582))</f>
        <v/>
      </c>
      <c r="AE582" s="6">
        <f>IF(F582=0,0,IF(H582="",B582*G582/100,H582))</f>
        <v/>
      </c>
      <c r="AF582" s="6">
        <f>IF(I582=0,0,IF(K582="",B582*J582/100,K582))</f>
        <v/>
      </c>
      <c r="AG582" s="6">
        <f>IF(L582=0,0,IF(N582="",B582*M582/100,N582))</f>
        <v/>
      </c>
      <c r="AH582" s="6">
        <f>IF(O582=0,0,IF(Q582="",B582*P582/100,Q582))</f>
        <v/>
      </c>
      <c r="AI582" s="6">
        <f>IF(R582=0,0,IF(T582="",B582*S582/100,T582))</f>
        <v/>
      </c>
      <c r="AJ582" s="6">
        <f>B582*0.035</f>
        <v/>
      </c>
      <c r="AK582" s="6">
        <f>B582*0.065</f>
        <v/>
      </c>
      <c r="AL582" s="6">
        <f>SUM(B582,AD582,AE582,AF582,AG582,AH582,AI582,U582,V582,AJ582,AK582)</f>
        <v/>
      </c>
      <c r="AM582" s="6">
        <f>B582*0.055</f>
        <v/>
      </c>
      <c r="AN582" s="6">
        <f>B582*0.035</f>
        <v/>
      </c>
      <c r="AO582" s="6">
        <f>B582*0.165</f>
        <v/>
      </c>
      <c r="AP582" s="6">
        <f>MAX(0,AL582-AM582-AO582)</f>
        <v/>
      </c>
      <c r="AQ582" s="6">
        <f>IF(AP582&lt;=490,0,IF(AP582&lt;=600,(AP582-490)*0.05,IF(AP582&lt;=730,5.5+(AP582-600)*0.10,IF(AP582&lt;=3896.67,18.5+(AP582-730)*0.175,IF(AP582&lt;=19896.67,572.67+(AP582-3896.67)*0.25,IF(AP582&lt;=50416.67,4572.67+(AP582-19896.67)*0.30,13728.67+(AP582-50416.67)*0.35))))))</f>
        <v/>
      </c>
      <c r="AR582" s="6">
        <f>SUM(AM582,AQ582,W582,X582,Y582,Z582,AA582,AN582,AO582)</f>
        <v/>
      </c>
      <c r="AS582" s="6">
        <f>AL582-AR582</f>
        <v/>
      </c>
      <c r="AT582" s="6">
        <f>AB582-AC582</f>
        <v/>
      </c>
    </row>
    <row r="583">
      <c r="A583" s="2" t="n"/>
      <c r="B583" s="3" t="n"/>
      <c r="C583" s="4" t="n"/>
      <c r="D583" s="5" t="n"/>
      <c r="E583" s="3" t="n"/>
      <c r="F583" s="4" t="n"/>
      <c r="G583" s="5" t="n"/>
      <c r="H583" s="3" t="n"/>
      <c r="I583" s="4" t="n"/>
      <c r="J583" s="5" t="n"/>
      <c r="K583" s="3" t="n"/>
      <c r="L583" s="4" t="n"/>
      <c r="M583" s="5" t="n"/>
      <c r="N583" s="3" t="n"/>
      <c r="O583" s="4" t="n"/>
      <c r="P583" s="5" t="n"/>
      <c r="Q583" s="3" t="n"/>
      <c r="R583" s="4" t="n"/>
      <c r="S583" s="5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6">
        <f>IF(C583=0,0,IF(E583="",B583*D583/100,E583))</f>
        <v/>
      </c>
      <c r="AE583" s="6">
        <f>IF(F583=0,0,IF(H583="",B583*G583/100,H583))</f>
        <v/>
      </c>
      <c r="AF583" s="6">
        <f>IF(I583=0,0,IF(K583="",B583*J583/100,K583))</f>
        <v/>
      </c>
      <c r="AG583" s="6">
        <f>IF(L583=0,0,IF(N583="",B583*M583/100,N583))</f>
        <v/>
      </c>
      <c r="AH583" s="6">
        <f>IF(O583=0,0,IF(Q583="",B583*P583/100,Q583))</f>
        <v/>
      </c>
      <c r="AI583" s="6">
        <f>IF(R583=0,0,IF(T583="",B583*S583/100,T583))</f>
        <v/>
      </c>
      <c r="AJ583" s="6">
        <f>B583*0.035</f>
        <v/>
      </c>
      <c r="AK583" s="6">
        <f>B583*0.065</f>
        <v/>
      </c>
      <c r="AL583" s="6">
        <f>SUM(B583,AD583,AE583,AF583,AG583,AH583,AI583,U583,V583,AJ583,AK583)</f>
        <v/>
      </c>
      <c r="AM583" s="6">
        <f>B583*0.055</f>
        <v/>
      </c>
      <c r="AN583" s="6">
        <f>B583*0.035</f>
        <v/>
      </c>
      <c r="AO583" s="6">
        <f>B583*0.165</f>
        <v/>
      </c>
      <c r="AP583" s="6">
        <f>MAX(0,AL583-AM583-AO583)</f>
        <v/>
      </c>
      <c r="AQ583" s="6">
        <f>IF(AP583&lt;=490,0,IF(AP583&lt;=600,(AP583-490)*0.05,IF(AP583&lt;=730,5.5+(AP583-600)*0.10,IF(AP583&lt;=3896.67,18.5+(AP583-730)*0.175,IF(AP583&lt;=19896.67,572.67+(AP583-3896.67)*0.25,IF(AP583&lt;=50416.67,4572.67+(AP583-19896.67)*0.30,13728.67+(AP583-50416.67)*0.35))))))</f>
        <v/>
      </c>
      <c r="AR583" s="6">
        <f>SUM(AM583,AQ583,W583,X583,Y583,Z583,AA583,AN583,AO583)</f>
        <v/>
      </c>
      <c r="AS583" s="6">
        <f>AL583-AR583</f>
        <v/>
      </c>
      <c r="AT583" s="6">
        <f>AB583-AC583</f>
        <v/>
      </c>
    </row>
    <row r="584">
      <c r="A584" s="2" t="n"/>
      <c r="B584" s="3" t="n"/>
      <c r="C584" s="4" t="n"/>
      <c r="D584" s="5" t="n"/>
      <c r="E584" s="3" t="n"/>
      <c r="F584" s="4" t="n"/>
      <c r="G584" s="5" t="n"/>
      <c r="H584" s="3" t="n"/>
      <c r="I584" s="4" t="n"/>
      <c r="J584" s="5" t="n"/>
      <c r="K584" s="3" t="n"/>
      <c r="L584" s="4" t="n"/>
      <c r="M584" s="5" t="n"/>
      <c r="N584" s="3" t="n"/>
      <c r="O584" s="4" t="n"/>
      <c r="P584" s="5" t="n"/>
      <c r="Q584" s="3" t="n"/>
      <c r="R584" s="4" t="n"/>
      <c r="S584" s="5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6">
        <f>IF(C584=0,0,IF(E584="",B584*D584/100,E584))</f>
        <v/>
      </c>
      <c r="AE584" s="6">
        <f>IF(F584=0,0,IF(H584="",B584*G584/100,H584))</f>
        <v/>
      </c>
      <c r="AF584" s="6">
        <f>IF(I584=0,0,IF(K584="",B584*J584/100,K584))</f>
        <v/>
      </c>
      <c r="AG584" s="6">
        <f>IF(L584=0,0,IF(N584="",B584*M584/100,N584))</f>
        <v/>
      </c>
      <c r="AH584" s="6">
        <f>IF(O584=0,0,IF(Q584="",B584*P584/100,Q584))</f>
        <v/>
      </c>
      <c r="AI584" s="6">
        <f>IF(R584=0,0,IF(T584="",B584*S584/100,T584))</f>
        <v/>
      </c>
      <c r="AJ584" s="6">
        <f>B584*0.035</f>
        <v/>
      </c>
      <c r="AK584" s="6">
        <f>B584*0.065</f>
        <v/>
      </c>
      <c r="AL584" s="6">
        <f>SUM(B584,AD584,AE584,AF584,AG584,AH584,AI584,U584,V584,AJ584,AK584)</f>
        <v/>
      </c>
      <c r="AM584" s="6">
        <f>B584*0.055</f>
        <v/>
      </c>
      <c r="AN584" s="6">
        <f>B584*0.035</f>
        <v/>
      </c>
      <c r="AO584" s="6">
        <f>B584*0.165</f>
        <v/>
      </c>
      <c r="AP584" s="6">
        <f>MAX(0,AL584-AM584-AO584)</f>
        <v/>
      </c>
      <c r="AQ584" s="6">
        <f>IF(AP584&lt;=490,0,IF(AP584&lt;=600,(AP584-490)*0.05,IF(AP584&lt;=730,5.5+(AP584-600)*0.10,IF(AP584&lt;=3896.67,18.5+(AP584-730)*0.175,IF(AP584&lt;=19896.67,572.67+(AP584-3896.67)*0.25,IF(AP584&lt;=50416.67,4572.67+(AP584-19896.67)*0.30,13728.67+(AP584-50416.67)*0.35))))))</f>
        <v/>
      </c>
      <c r="AR584" s="6">
        <f>SUM(AM584,AQ584,W584,X584,Y584,Z584,AA584,AN584,AO584)</f>
        <v/>
      </c>
      <c r="AS584" s="6">
        <f>AL584-AR584</f>
        <v/>
      </c>
      <c r="AT584" s="6">
        <f>AB584-AC584</f>
        <v/>
      </c>
    </row>
    <row r="585">
      <c r="A585" s="2" t="n"/>
      <c r="B585" s="3" t="n"/>
      <c r="C585" s="4" t="n"/>
      <c r="D585" s="5" t="n"/>
      <c r="E585" s="3" t="n"/>
      <c r="F585" s="4" t="n"/>
      <c r="G585" s="5" t="n"/>
      <c r="H585" s="3" t="n"/>
      <c r="I585" s="4" t="n"/>
      <c r="J585" s="5" t="n"/>
      <c r="K585" s="3" t="n"/>
      <c r="L585" s="4" t="n"/>
      <c r="M585" s="5" t="n"/>
      <c r="N585" s="3" t="n"/>
      <c r="O585" s="4" t="n"/>
      <c r="P585" s="5" t="n"/>
      <c r="Q585" s="3" t="n"/>
      <c r="R585" s="4" t="n"/>
      <c r="S585" s="5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6">
        <f>IF(C585=0,0,IF(E585="",B585*D585/100,E585))</f>
        <v/>
      </c>
      <c r="AE585" s="6">
        <f>IF(F585=0,0,IF(H585="",B585*G585/100,H585))</f>
        <v/>
      </c>
      <c r="AF585" s="6">
        <f>IF(I585=0,0,IF(K585="",B585*J585/100,K585))</f>
        <v/>
      </c>
      <c r="AG585" s="6">
        <f>IF(L585=0,0,IF(N585="",B585*M585/100,N585))</f>
        <v/>
      </c>
      <c r="AH585" s="6">
        <f>IF(O585=0,0,IF(Q585="",B585*P585/100,Q585))</f>
        <v/>
      </c>
      <c r="AI585" s="6">
        <f>IF(R585=0,0,IF(T585="",B585*S585/100,T585))</f>
        <v/>
      </c>
      <c r="AJ585" s="6">
        <f>B585*0.035</f>
        <v/>
      </c>
      <c r="AK585" s="6">
        <f>B585*0.065</f>
        <v/>
      </c>
      <c r="AL585" s="6">
        <f>SUM(B585,AD585,AE585,AF585,AG585,AH585,AI585,U585,V585,AJ585,AK585)</f>
        <v/>
      </c>
      <c r="AM585" s="6">
        <f>B585*0.055</f>
        <v/>
      </c>
      <c r="AN585" s="6">
        <f>B585*0.035</f>
        <v/>
      </c>
      <c r="AO585" s="6">
        <f>B585*0.165</f>
        <v/>
      </c>
      <c r="AP585" s="6">
        <f>MAX(0,AL585-AM585-AO585)</f>
        <v/>
      </c>
      <c r="AQ585" s="6">
        <f>IF(AP585&lt;=490,0,IF(AP585&lt;=600,(AP585-490)*0.05,IF(AP585&lt;=730,5.5+(AP585-600)*0.10,IF(AP585&lt;=3896.67,18.5+(AP585-730)*0.175,IF(AP585&lt;=19896.67,572.67+(AP585-3896.67)*0.25,IF(AP585&lt;=50416.67,4572.67+(AP585-19896.67)*0.30,13728.67+(AP585-50416.67)*0.35))))))</f>
        <v/>
      </c>
      <c r="AR585" s="6">
        <f>SUM(AM585,AQ585,W585,X585,Y585,Z585,AA585,AN585,AO585)</f>
        <v/>
      </c>
      <c r="AS585" s="6">
        <f>AL585-AR585</f>
        <v/>
      </c>
      <c r="AT585" s="6">
        <f>AB585-AC585</f>
        <v/>
      </c>
    </row>
    <row r="586">
      <c r="A586" s="2" t="n"/>
      <c r="B586" s="3" t="n"/>
      <c r="C586" s="4" t="n"/>
      <c r="D586" s="5" t="n"/>
      <c r="E586" s="3" t="n"/>
      <c r="F586" s="4" t="n"/>
      <c r="G586" s="5" t="n"/>
      <c r="H586" s="3" t="n"/>
      <c r="I586" s="4" t="n"/>
      <c r="J586" s="5" t="n"/>
      <c r="K586" s="3" t="n"/>
      <c r="L586" s="4" t="n"/>
      <c r="M586" s="5" t="n"/>
      <c r="N586" s="3" t="n"/>
      <c r="O586" s="4" t="n"/>
      <c r="P586" s="5" t="n"/>
      <c r="Q586" s="3" t="n"/>
      <c r="R586" s="4" t="n"/>
      <c r="S586" s="5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6">
        <f>IF(C586=0,0,IF(E586="",B586*D586/100,E586))</f>
        <v/>
      </c>
      <c r="AE586" s="6">
        <f>IF(F586=0,0,IF(H586="",B586*G586/100,H586))</f>
        <v/>
      </c>
      <c r="AF586" s="6">
        <f>IF(I586=0,0,IF(K586="",B586*J586/100,K586))</f>
        <v/>
      </c>
      <c r="AG586" s="6">
        <f>IF(L586=0,0,IF(N586="",B586*M586/100,N586))</f>
        <v/>
      </c>
      <c r="AH586" s="6">
        <f>IF(O586=0,0,IF(Q586="",B586*P586/100,Q586))</f>
        <v/>
      </c>
      <c r="AI586" s="6">
        <f>IF(R586=0,0,IF(T586="",B586*S586/100,T586))</f>
        <v/>
      </c>
      <c r="AJ586" s="6">
        <f>B586*0.035</f>
        <v/>
      </c>
      <c r="AK586" s="6">
        <f>B586*0.065</f>
        <v/>
      </c>
      <c r="AL586" s="6">
        <f>SUM(B586,AD586,AE586,AF586,AG586,AH586,AI586,U586,V586,AJ586,AK586)</f>
        <v/>
      </c>
      <c r="AM586" s="6">
        <f>B586*0.055</f>
        <v/>
      </c>
      <c r="AN586" s="6">
        <f>B586*0.035</f>
        <v/>
      </c>
      <c r="AO586" s="6">
        <f>B586*0.165</f>
        <v/>
      </c>
      <c r="AP586" s="6">
        <f>MAX(0,AL586-AM586-AO586)</f>
        <v/>
      </c>
      <c r="AQ586" s="6">
        <f>IF(AP586&lt;=490,0,IF(AP586&lt;=600,(AP586-490)*0.05,IF(AP586&lt;=730,5.5+(AP586-600)*0.10,IF(AP586&lt;=3896.67,18.5+(AP586-730)*0.175,IF(AP586&lt;=19896.67,572.67+(AP586-3896.67)*0.25,IF(AP586&lt;=50416.67,4572.67+(AP586-19896.67)*0.30,13728.67+(AP586-50416.67)*0.35))))))</f>
        <v/>
      </c>
      <c r="AR586" s="6">
        <f>SUM(AM586,AQ586,W586,X586,Y586,Z586,AA586,AN586,AO586)</f>
        <v/>
      </c>
      <c r="AS586" s="6">
        <f>AL586-AR586</f>
        <v/>
      </c>
      <c r="AT586" s="6">
        <f>AB586-AC586</f>
        <v/>
      </c>
    </row>
    <row r="587">
      <c r="A587" s="2" t="n"/>
      <c r="B587" s="3" t="n"/>
      <c r="C587" s="4" t="n"/>
      <c r="D587" s="5" t="n"/>
      <c r="E587" s="3" t="n"/>
      <c r="F587" s="4" t="n"/>
      <c r="G587" s="5" t="n"/>
      <c r="H587" s="3" t="n"/>
      <c r="I587" s="4" t="n"/>
      <c r="J587" s="5" t="n"/>
      <c r="K587" s="3" t="n"/>
      <c r="L587" s="4" t="n"/>
      <c r="M587" s="5" t="n"/>
      <c r="N587" s="3" t="n"/>
      <c r="O587" s="4" t="n"/>
      <c r="P587" s="5" t="n"/>
      <c r="Q587" s="3" t="n"/>
      <c r="R587" s="4" t="n"/>
      <c r="S587" s="5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6">
        <f>IF(C587=0,0,IF(E587="",B587*D587/100,E587))</f>
        <v/>
      </c>
      <c r="AE587" s="6">
        <f>IF(F587=0,0,IF(H587="",B587*G587/100,H587))</f>
        <v/>
      </c>
      <c r="AF587" s="6">
        <f>IF(I587=0,0,IF(K587="",B587*J587/100,K587))</f>
        <v/>
      </c>
      <c r="AG587" s="6">
        <f>IF(L587=0,0,IF(N587="",B587*M587/100,N587))</f>
        <v/>
      </c>
      <c r="AH587" s="6">
        <f>IF(O587=0,0,IF(Q587="",B587*P587/100,Q587))</f>
        <v/>
      </c>
      <c r="AI587" s="6">
        <f>IF(R587=0,0,IF(T587="",B587*S587/100,T587))</f>
        <v/>
      </c>
      <c r="AJ587" s="6">
        <f>B587*0.035</f>
        <v/>
      </c>
      <c r="AK587" s="6">
        <f>B587*0.065</f>
        <v/>
      </c>
      <c r="AL587" s="6">
        <f>SUM(B587,AD587,AE587,AF587,AG587,AH587,AI587,U587,V587,AJ587,AK587)</f>
        <v/>
      </c>
      <c r="AM587" s="6">
        <f>B587*0.055</f>
        <v/>
      </c>
      <c r="AN587" s="6">
        <f>B587*0.035</f>
        <v/>
      </c>
      <c r="AO587" s="6">
        <f>B587*0.165</f>
        <v/>
      </c>
      <c r="AP587" s="6">
        <f>MAX(0,AL587-AM587-AO587)</f>
        <v/>
      </c>
      <c r="AQ587" s="6">
        <f>IF(AP587&lt;=490,0,IF(AP587&lt;=600,(AP587-490)*0.05,IF(AP587&lt;=730,5.5+(AP587-600)*0.10,IF(AP587&lt;=3896.67,18.5+(AP587-730)*0.175,IF(AP587&lt;=19896.67,572.67+(AP587-3896.67)*0.25,IF(AP587&lt;=50416.67,4572.67+(AP587-19896.67)*0.30,13728.67+(AP587-50416.67)*0.35))))))</f>
        <v/>
      </c>
      <c r="AR587" s="6">
        <f>SUM(AM587,AQ587,W587,X587,Y587,Z587,AA587,AN587,AO587)</f>
        <v/>
      </c>
      <c r="AS587" s="6">
        <f>AL587-AR587</f>
        <v/>
      </c>
      <c r="AT587" s="6">
        <f>AB587-AC587</f>
        <v/>
      </c>
    </row>
    <row r="588">
      <c r="A588" s="2" t="n"/>
      <c r="B588" s="3" t="n"/>
      <c r="C588" s="4" t="n"/>
      <c r="D588" s="5" t="n"/>
      <c r="E588" s="3" t="n"/>
      <c r="F588" s="4" t="n"/>
      <c r="G588" s="5" t="n"/>
      <c r="H588" s="3" t="n"/>
      <c r="I588" s="4" t="n"/>
      <c r="J588" s="5" t="n"/>
      <c r="K588" s="3" t="n"/>
      <c r="L588" s="4" t="n"/>
      <c r="M588" s="5" t="n"/>
      <c r="N588" s="3" t="n"/>
      <c r="O588" s="4" t="n"/>
      <c r="P588" s="5" t="n"/>
      <c r="Q588" s="3" t="n"/>
      <c r="R588" s="4" t="n"/>
      <c r="S588" s="5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6">
        <f>IF(C588=0,0,IF(E588="",B588*D588/100,E588))</f>
        <v/>
      </c>
      <c r="AE588" s="6">
        <f>IF(F588=0,0,IF(H588="",B588*G588/100,H588))</f>
        <v/>
      </c>
      <c r="AF588" s="6">
        <f>IF(I588=0,0,IF(K588="",B588*J588/100,K588))</f>
        <v/>
      </c>
      <c r="AG588" s="6">
        <f>IF(L588=0,0,IF(N588="",B588*M588/100,N588))</f>
        <v/>
      </c>
      <c r="AH588" s="6">
        <f>IF(O588=0,0,IF(Q588="",B588*P588/100,Q588))</f>
        <v/>
      </c>
      <c r="AI588" s="6">
        <f>IF(R588=0,0,IF(T588="",B588*S588/100,T588))</f>
        <v/>
      </c>
      <c r="AJ588" s="6">
        <f>B588*0.035</f>
        <v/>
      </c>
      <c r="AK588" s="6">
        <f>B588*0.065</f>
        <v/>
      </c>
      <c r="AL588" s="6">
        <f>SUM(B588,AD588,AE588,AF588,AG588,AH588,AI588,U588,V588,AJ588,AK588)</f>
        <v/>
      </c>
      <c r="AM588" s="6">
        <f>B588*0.055</f>
        <v/>
      </c>
      <c r="AN588" s="6">
        <f>B588*0.035</f>
        <v/>
      </c>
      <c r="AO588" s="6">
        <f>B588*0.165</f>
        <v/>
      </c>
      <c r="AP588" s="6">
        <f>MAX(0,AL588-AM588-AO588)</f>
        <v/>
      </c>
      <c r="AQ588" s="6">
        <f>IF(AP588&lt;=490,0,IF(AP588&lt;=600,(AP588-490)*0.05,IF(AP588&lt;=730,5.5+(AP588-600)*0.10,IF(AP588&lt;=3896.67,18.5+(AP588-730)*0.175,IF(AP588&lt;=19896.67,572.67+(AP588-3896.67)*0.25,IF(AP588&lt;=50416.67,4572.67+(AP588-19896.67)*0.30,13728.67+(AP588-50416.67)*0.35))))))</f>
        <v/>
      </c>
      <c r="AR588" s="6">
        <f>SUM(AM588,AQ588,W588,X588,Y588,Z588,AA588,AN588,AO588)</f>
        <v/>
      </c>
      <c r="AS588" s="6">
        <f>AL588-AR588</f>
        <v/>
      </c>
      <c r="AT588" s="6">
        <f>AB588-AC588</f>
        <v/>
      </c>
    </row>
    <row r="589">
      <c r="A589" s="2" t="n"/>
      <c r="B589" s="3" t="n"/>
      <c r="C589" s="4" t="n"/>
      <c r="D589" s="5" t="n"/>
      <c r="E589" s="3" t="n"/>
      <c r="F589" s="4" t="n"/>
      <c r="G589" s="5" t="n"/>
      <c r="H589" s="3" t="n"/>
      <c r="I589" s="4" t="n"/>
      <c r="J589" s="5" t="n"/>
      <c r="K589" s="3" t="n"/>
      <c r="L589" s="4" t="n"/>
      <c r="M589" s="5" t="n"/>
      <c r="N589" s="3" t="n"/>
      <c r="O589" s="4" t="n"/>
      <c r="P589" s="5" t="n"/>
      <c r="Q589" s="3" t="n"/>
      <c r="R589" s="4" t="n"/>
      <c r="S589" s="5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6">
        <f>IF(C589=0,0,IF(E589="",B589*D589/100,E589))</f>
        <v/>
      </c>
      <c r="AE589" s="6">
        <f>IF(F589=0,0,IF(H589="",B589*G589/100,H589))</f>
        <v/>
      </c>
      <c r="AF589" s="6">
        <f>IF(I589=0,0,IF(K589="",B589*J589/100,K589))</f>
        <v/>
      </c>
      <c r="AG589" s="6">
        <f>IF(L589=0,0,IF(N589="",B589*M589/100,N589))</f>
        <v/>
      </c>
      <c r="AH589" s="6">
        <f>IF(O589=0,0,IF(Q589="",B589*P589/100,Q589))</f>
        <v/>
      </c>
      <c r="AI589" s="6">
        <f>IF(R589=0,0,IF(T589="",B589*S589/100,T589))</f>
        <v/>
      </c>
      <c r="AJ589" s="6">
        <f>B589*0.035</f>
        <v/>
      </c>
      <c r="AK589" s="6">
        <f>B589*0.065</f>
        <v/>
      </c>
      <c r="AL589" s="6">
        <f>SUM(B589,AD589,AE589,AF589,AG589,AH589,AI589,U589,V589,AJ589,AK589)</f>
        <v/>
      </c>
      <c r="AM589" s="6">
        <f>B589*0.055</f>
        <v/>
      </c>
      <c r="AN589" s="6">
        <f>B589*0.035</f>
        <v/>
      </c>
      <c r="AO589" s="6">
        <f>B589*0.165</f>
        <v/>
      </c>
      <c r="AP589" s="6">
        <f>MAX(0,AL589-AM589-AO589)</f>
        <v/>
      </c>
      <c r="AQ589" s="6">
        <f>IF(AP589&lt;=490,0,IF(AP589&lt;=600,(AP589-490)*0.05,IF(AP589&lt;=730,5.5+(AP589-600)*0.10,IF(AP589&lt;=3896.67,18.5+(AP589-730)*0.175,IF(AP589&lt;=19896.67,572.67+(AP589-3896.67)*0.25,IF(AP589&lt;=50416.67,4572.67+(AP589-19896.67)*0.30,13728.67+(AP589-50416.67)*0.35))))))</f>
        <v/>
      </c>
      <c r="AR589" s="6">
        <f>SUM(AM589,AQ589,W589,X589,Y589,Z589,AA589,AN589,AO589)</f>
        <v/>
      </c>
      <c r="AS589" s="6">
        <f>AL589-AR589</f>
        <v/>
      </c>
      <c r="AT589" s="6">
        <f>AB589-AC589</f>
        <v/>
      </c>
    </row>
    <row r="590">
      <c r="A590" s="2" t="n"/>
      <c r="B590" s="3" t="n"/>
      <c r="C590" s="4" t="n"/>
      <c r="D590" s="5" t="n"/>
      <c r="E590" s="3" t="n"/>
      <c r="F590" s="4" t="n"/>
      <c r="G590" s="5" t="n"/>
      <c r="H590" s="3" t="n"/>
      <c r="I590" s="4" t="n"/>
      <c r="J590" s="5" t="n"/>
      <c r="K590" s="3" t="n"/>
      <c r="L590" s="4" t="n"/>
      <c r="M590" s="5" t="n"/>
      <c r="N590" s="3" t="n"/>
      <c r="O590" s="4" t="n"/>
      <c r="P590" s="5" t="n"/>
      <c r="Q590" s="3" t="n"/>
      <c r="R590" s="4" t="n"/>
      <c r="S590" s="5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6">
        <f>IF(C590=0,0,IF(E590="",B590*D590/100,E590))</f>
        <v/>
      </c>
      <c r="AE590" s="6">
        <f>IF(F590=0,0,IF(H590="",B590*G590/100,H590))</f>
        <v/>
      </c>
      <c r="AF590" s="6">
        <f>IF(I590=0,0,IF(K590="",B590*J590/100,K590))</f>
        <v/>
      </c>
      <c r="AG590" s="6">
        <f>IF(L590=0,0,IF(N590="",B590*M590/100,N590))</f>
        <v/>
      </c>
      <c r="AH590" s="6">
        <f>IF(O590=0,0,IF(Q590="",B590*P590/100,Q590))</f>
        <v/>
      </c>
      <c r="AI590" s="6">
        <f>IF(R590=0,0,IF(T590="",B590*S590/100,T590))</f>
        <v/>
      </c>
      <c r="AJ590" s="6">
        <f>B590*0.035</f>
        <v/>
      </c>
      <c r="AK590" s="6">
        <f>B590*0.065</f>
        <v/>
      </c>
      <c r="AL590" s="6">
        <f>SUM(B590,AD590,AE590,AF590,AG590,AH590,AI590,U590,V590,AJ590,AK590)</f>
        <v/>
      </c>
      <c r="AM590" s="6">
        <f>B590*0.055</f>
        <v/>
      </c>
      <c r="AN590" s="6">
        <f>B590*0.035</f>
        <v/>
      </c>
      <c r="AO590" s="6">
        <f>B590*0.165</f>
        <v/>
      </c>
      <c r="AP590" s="6">
        <f>MAX(0,AL590-AM590-AO590)</f>
        <v/>
      </c>
      <c r="AQ590" s="6">
        <f>IF(AP590&lt;=490,0,IF(AP590&lt;=600,(AP590-490)*0.05,IF(AP590&lt;=730,5.5+(AP590-600)*0.10,IF(AP590&lt;=3896.67,18.5+(AP590-730)*0.175,IF(AP590&lt;=19896.67,572.67+(AP590-3896.67)*0.25,IF(AP590&lt;=50416.67,4572.67+(AP590-19896.67)*0.30,13728.67+(AP590-50416.67)*0.35))))))</f>
        <v/>
      </c>
      <c r="AR590" s="6">
        <f>SUM(AM590,AQ590,W590,X590,Y590,Z590,AA590,AN590,AO590)</f>
        <v/>
      </c>
      <c r="AS590" s="6">
        <f>AL590-AR590</f>
        <v/>
      </c>
      <c r="AT590" s="6">
        <f>AB590-AC590</f>
        <v/>
      </c>
    </row>
    <row r="591">
      <c r="A591" s="2" t="n"/>
      <c r="B591" s="3" t="n"/>
      <c r="C591" s="4" t="n"/>
      <c r="D591" s="5" t="n"/>
      <c r="E591" s="3" t="n"/>
      <c r="F591" s="4" t="n"/>
      <c r="G591" s="5" t="n"/>
      <c r="H591" s="3" t="n"/>
      <c r="I591" s="4" t="n"/>
      <c r="J591" s="5" t="n"/>
      <c r="K591" s="3" t="n"/>
      <c r="L591" s="4" t="n"/>
      <c r="M591" s="5" t="n"/>
      <c r="N591" s="3" t="n"/>
      <c r="O591" s="4" t="n"/>
      <c r="P591" s="5" t="n"/>
      <c r="Q591" s="3" t="n"/>
      <c r="R591" s="4" t="n"/>
      <c r="S591" s="5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6">
        <f>IF(C591=0,0,IF(E591="",B591*D591/100,E591))</f>
        <v/>
      </c>
      <c r="AE591" s="6">
        <f>IF(F591=0,0,IF(H591="",B591*G591/100,H591))</f>
        <v/>
      </c>
      <c r="AF591" s="6">
        <f>IF(I591=0,0,IF(K591="",B591*J591/100,K591))</f>
        <v/>
      </c>
      <c r="AG591" s="6">
        <f>IF(L591=0,0,IF(N591="",B591*M591/100,N591))</f>
        <v/>
      </c>
      <c r="AH591" s="6">
        <f>IF(O591=0,0,IF(Q591="",B591*P591/100,Q591))</f>
        <v/>
      </c>
      <c r="AI591" s="6">
        <f>IF(R591=0,0,IF(T591="",B591*S591/100,T591))</f>
        <v/>
      </c>
      <c r="AJ591" s="6">
        <f>B591*0.035</f>
        <v/>
      </c>
      <c r="AK591" s="6">
        <f>B591*0.065</f>
        <v/>
      </c>
      <c r="AL591" s="6">
        <f>SUM(B591,AD591,AE591,AF591,AG591,AH591,AI591,U591,V591,AJ591,AK591)</f>
        <v/>
      </c>
      <c r="AM591" s="6">
        <f>B591*0.055</f>
        <v/>
      </c>
      <c r="AN591" s="6">
        <f>B591*0.035</f>
        <v/>
      </c>
      <c r="AO591" s="6">
        <f>B591*0.165</f>
        <v/>
      </c>
      <c r="AP591" s="6">
        <f>MAX(0,AL591-AM591-AO591)</f>
        <v/>
      </c>
      <c r="AQ591" s="6">
        <f>IF(AP591&lt;=490,0,IF(AP591&lt;=600,(AP591-490)*0.05,IF(AP591&lt;=730,5.5+(AP591-600)*0.10,IF(AP591&lt;=3896.67,18.5+(AP591-730)*0.175,IF(AP591&lt;=19896.67,572.67+(AP591-3896.67)*0.25,IF(AP591&lt;=50416.67,4572.67+(AP591-19896.67)*0.30,13728.67+(AP591-50416.67)*0.35))))))</f>
        <v/>
      </c>
      <c r="AR591" s="6">
        <f>SUM(AM591,AQ591,W591,X591,Y591,Z591,AA591,AN591,AO591)</f>
        <v/>
      </c>
      <c r="AS591" s="6">
        <f>AL591-AR591</f>
        <v/>
      </c>
      <c r="AT591" s="6">
        <f>AB591-AC591</f>
        <v/>
      </c>
    </row>
    <row r="592">
      <c r="A592" s="2" t="n"/>
      <c r="B592" s="3" t="n"/>
      <c r="C592" s="4" t="n"/>
      <c r="D592" s="5" t="n"/>
      <c r="E592" s="3" t="n"/>
      <c r="F592" s="4" t="n"/>
      <c r="G592" s="5" t="n"/>
      <c r="H592" s="3" t="n"/>
      <c r="I592" s="4" t="n"/>
      <c r="J592" s="5" t="n"/>
      <c r="K592" s="3" t="n"/>
      <c r="L592" s="4" t="n"/>
      <c r="M592" s="5" t="n"/>
      <c r="N592" s="3" t="n"/>
      <c r="O592" s="4" t="n"/>
      <c r="P592" s="5" t="n"/>
      <c r="Q592" s="3" t="n"/>
      <c r="R592" s="4" t="n"/>
      <c r="S592" s="5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6">
        <f>IF(C592=0,0,IF(E592="",B592*D592/100,E592))</f>
        <v/>
      </c>
      <c r="AE592" s="6">
        <f>IF(F592=0,0,IF(H592="",B592*G592/100,H592))</f>
        <v/>
      </c>
      <c r="AF592" s="6">
        <f>IF(I592=0,0,IF(K592="",B592*J592/100,K592))</f>
        <v/>
      </c>
      <c r="AG592" s="6">
        <f>IF(L592=0,0,IF(N592="",B592*M592/100,N592))</f>
        <v/>
      </c>
      <c r="AH592" s="6">
        <f>IF(O592=0,0,IF(Q592="",B592*P592/100,Q592))</f>
        <v/>
      </c>
      <c r="AI592" s="6">
        <f>IF(R592=0,0,IF(T592="",B592*S592/100,T592))</f>
        <v/>
      </c>
      <c r="AJ592" s="6">
        <f>B592*0.035</f>
        <v/>
      </c>
      <c r="AK592" s="6">
        <f>B592*0.065</f>
        <v/>
      </c>
      <c r="AL592" s="6">
        <f>SUM(B592,AD592,AE592,AF592,AG592,AH592,AI592,U592,V592,AJ592,AK592)</f>
        <v/>
      </c>
      <c r="AM592" s="6">
        <f>B592*0.055</f>
        <v/>
      </c>
      <c r="AN592" s="6">
        <f>B592*0.035</f>
        <v/>
      </c>
      <c r="AO592" s="6">
        <f>B592*0.165</f>
        <v/>
      </c>
      <c r="AP592" s="6">
        <f>MAX(0,AL592-AM592-AO592)</f>
        <v/>
      </c>
      <c r="AQ592" s="6">
        <f>IF(AP592&lt;=490,0,IF(AP592&lt;=600,(AP592-490)*0.05,IF(AP592&lt;=730,5.5+(AP592-600)*0.10,IF(AP592&lt;=3896.67,18.5+(AP592-730)*0.175,IF(AP592&lt;=19896.67,572.67+(AP592-3896.67)*0.25,IF(AP592&lt;=50416.67,4572.67+(AP592-19896.67)*0.30,13728.67+(AP592-50416.67)*0.35))))))</f>
        <v/>
      </c>
      <c r="AR592" s="6">
        <f>SUM(AM592,AQ592,W592,X592,Y592,Z592,AA592,AN592,AO592)</f>
        <v/>
      </c>
      <c r="AS592" s="6">
        <f>AL592-AR592</f>
        <v/>
      </c>
      <c r="AT592" s="6">
        <f>AB592-AC592</f>
        <v/>
      </c>
    </row>
    <row r="593">
      <c r="A593" s="2" t="n"/>
      <c r="B593" s="3" t="n"/>
      <c r="C593" s="4" t="n"/>
      <c r="D593" s="5" t="n"/>
      <c r="E593" s="3" t="n"/>
      <c r="F593" s="4" t="n"/>
      <c r="G593" s="5" t="n"/>
      <c r="H593" s="3" t="n"/>
      <c r="I593" s="4" t="n"/>
      <c r="J593" s="5" t="n"/>
      <c r="K593" s="3" t="n"/>
      <c r="L593" s="4" t="n"/>
      <c r="M593" s="5" t="n"/>
      <c r="N593" s="3" t="n"/>
      <c r="O593" s="4" t="n"/>
      <c r="P593" s="5" t="n"/>
      <c r="Q593" s="3" t="n"/>
      <c r="R593" s="4" t="n"/>
      <c r="S593" s="5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6">
        <f>IF(C593=0,0,IF(E593="",B593*D593/100,E593))</f>
        <v/>
      </c>
      <c r="AE593" s="6">
        <f>IF(F593=0,0,IF(H593="",B593*G593/100,H593))</f>
        <v/>
      </c>
      <c r="AF593" s="6">
        <f>IF(I593=0,0,IF(K593="",B593*J593/100,K593))</f>
        <v/>
      </c>
      <c r="AG593" s="6">
        <f>IF(L593=0,0,IF(N593="",B593*M593/100,N593))</f>
        <v/>
      </c>
      <c r="AH593" s="6">
        <f>IF(O593=0,0,IF(Q593="",B593*P593/100,Q593))</f>
        <v/>
      </c>
      <c r="AI593" s="6">
        <f>IF(R593=0,0,IF(T593="",B593*S593/100,T593))</f>
        <v/>
      </c>
      <c r="AJ593" s="6">
        <f>B593*0.035</f>
        <v/>
      </c>
      <c r="AK593" s="6">
        <f>B593*0.065</f>
        <v/>
      </c>
      <c r="AL593" s="6">
        <f>SUM(B593,AD593,AE593,AF593,AG593,AH593,AI593,U593,V593,AJ593,AK593)</f>
        <v/>
      </c>
      <c r="AM593" s="6">
        <f>B593*0.055</f>
        <v/>
      </c>
      <c r="AN593" s="6">
        <f>B593*0.035</f>
        <v/>
      </c>
      <c r="AO593" s="6">
        <f>B593*0.165</f>
        <v/>
      </c>
      <c r="AP593" s="6">
        <f>MAX(0,AL593-AM593-AO593)</f>
        <v/>
      </c>
      <c r="AQ593" s="6">
        <f>IF(AP593&lt;=490,0,IF(AP593&lt;=600,(AP593-490)*0.05,IF(AP593&lt;=730,5.5+(AP593-600)*0.10,IF(AP593&lt;=3896.67,18.5+(AP593-730)*0.175,IF(AP593&lt;=19896.67,572.67+(AP593-3896.67)*0.25,IF(AP593&lt;=50416.67,4572.67+(AP593-19896.67)*0.30,13728.67+(AP593-50416.67)*0.35))))))</f>
        <v/>
      </c>
      <c r="AR593" s="6">
        <f>SUM(AM593,AQ593,W593,X593,Y593,Z593,AA593,AN593,AO593)</f>
        <v/>
      </c>
      <c r="AS593" s="6">
        <f>AL593-AR593</f>
        <v/>
      </c>
      <c r="AT593" s="6">
        <f>AB593-AC593</f>
        <v/>
      </c>
    </row>
    <row r="594">
      <c r="A594" s="2" t="n"/>
      <c r="B594" s="3" t="n"/>
      <c r="C594" s="4" t="n"/>
      <c r="D594" s="5" t="n"/>
      <c r="E594" s="3" t="n"/>
      <c r="F594" s="4" t="n"/>
      <c r="G594" s="5" t="n"/>
      <c r="H594" s="3" t="n"/>
      <c r="I594" s="4" t="n"/>
      <c r="J594" s="5" t="n"/>
      <c r="K594" s="3" t="n"/>
      <c r="L594" s="4" t="n"/>
      <c r="M594" s="5" t="n"/>
      <c r="N594" s="3" t="n"/>
      <c r="O594" s="4" t="n"/>
      <c r="P594" s="5" t="n"/>
      <c r="Q594" s="3" t="n"/>
      <c r="R594" s="4" t="n"/>
      <c r="S594" s="5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6">
        <f>IF(C594=0,0,IF(E594="",B594*D594/100,E594))</f>
        <v/>
      </c>
      <c r="AE594" s="6">
        <f>IF(F594=0,0,IF(H594="",B594*G594/100,H594))</f>
        <v/>
      </c>
      <c r="AF594" s="6">
        <f>IF(I594=0,0,IF(K594="",B594*J594/100,K594))</f>
        <v/>
      </c>
      <c r="AG594" s="6">
        <f>IF(L594=0,0,IF(N594="",B594*M594/100,N594))</f>
        <v/>
      </c>
      <c r="AH594" s="6">
        <f>IF(O594=0,0,IF(Q594="",B594*P594/100,Q594))</f>
        <v/>
      </c>
      <c r="AI594" s="6">
        <f>IF(R594=0,0,IF(T594="",B594*S594/100,T594))</f>
        <v/>
      </c>
      <c r="AJ594" s="6">
        <f>B594*0.035</f>
        <v/>
      </c>
      <c r="AK594" s="6">
        <f>B594*0.065</f>
        <v/>
      </c>
      <c r="AL594" s="6">
        <f>SUM(B594,AD594,AE594,AF594,AG594,AH594,AI594,U594,V594,AJ594,AK594)</f>
        <v/>
      </c>
      <c r="AM594" s="6">
        <f>B594*0.055</f>
        <v/>
      </c>
      <c r="AN594" s="6">
        <f>B594*0.035</f>
        <v/>
      </c>
      <c r="AO594" s="6">
        <f>B594*0.165</f>
        <v/>
      </c>
      <c r="AP594" s="6">
        <f>MAX(0,AL594-AM594-AO594)</f>
        <v/>
      </c>
      <c r="AQ594" s="6">
        <f>IF(AP594&lt;=490,0,IF(AP594&lt;=600,(AP594-490)*0.05,IF(AP594&lt;=730,5.5+(AP594-600)*0.10,IF(AP594&lt;=3896.67,18.5+(AP594-730)*0.175,IF(AP594&lt;=19896.67,572.67+(AP594-3896.67)*0.25,IF(AP594&lt;=50416.67,4572.67+(AP594-19896.67)*0.30,13728.67+(AP594-50416.67)*0.35))))))</f>
        <v/>
      </c>
      <c r="AR594" s="6">
        <f>SUM(AM594,AQ594,W594,X594,Y594,Z594,AA594,AN594,AO594)</f>
        <v/>
      </c>
      <c r="AS594" s="6">
        <f>AL594-AR594</f>
        <v/>
      </c>
      <c r="AT594" s="6">
        <f>AB594-AC594</f>
        <v/>
      </c>
    </row>
    <row r="595">
      <c r="A595" s="2" t="n"/>
      <c r="B595" s="3" t="n"/>
      <c r="C595" s="4" t="n"/>
      <c r="D595" s="5" t="n"/>
      <c r="E595" s="3" t="n"/>
      <c r="F595" s="4" t="n"/>
      <c r="G595" s="5" t="n"/>
      <c r="H595" s="3" t="n"/>
      <c r="I595" s="4" t="n"/>
      <c r="J595" s="5" t="n"/>
      <c r="K595" s="3" t="n"/>
      <c r="L595" s="4" t="n"/>
      <c r="M595" s="5" t="n"/>
      <c r="N595" s="3" t="n"/>
      <c r="O595" s="4" t="n"/>
      <c r="P595" s="5" t="n"/>
      <c r="Q595" s="3" t="n"/>
      <c r="R595" s="4" t="n"/>
      <c r="S595" s="5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6">
        <f>IF(C595=0,0,IF(E595="",B595*D595/100,E595))</f>
        <v/>
      </c>
      <c r="AE595" s="6">
        <f>IF(F595=0,0,IF(H595="",B595*G595/100,H595))</f>
        <v/>
      </c>
      <c r="AF595" s="6">
        <f>IF(I595=0,0,IF(K595="",B595*J595/100,K595))</f>
        <v/>
      </c>
      <c r="AG595" s="6">
        <f>IF(L595=0,0,IF(N595="",B595*M595/100,N595))</f>
        <v/>
      </c>
      <c r="AH595" s="6">
        <f>IF(O595=0,0,IF(Q595="",B595*P595/100,Q595))</f>
        <v/>
      </c>
      <c r="AI595" s="6">
        <f>IF(R595=0,0,IF(T595="",B595*S595/100,T595))</f>
        <v/>
      </c>
      <c r="AJ595" s="6">
        <f>B595*0.035</f>
        <v/>
      </c>
      <c r="AK595" s="6">
        <f>B595*0.065</f>
        <v/>
      </c>
      <c r="AL595" s="6">
        <f>SUM(B595,AD595,AE595,AF595,AG595,AH595,AI595,U595,V595,AJ595,AK595)</f>
        <v/>
      </c>
      <c r="AM595" s="6">
        <f>B595*0.055</f>
        <v/>
      </c>
      <c r="AN595" s="6">
        <f>B595*0.035</f>
        <v/>
      </c>
      <c r="AO595" s="6">
        <f>B595*0.165</f>
        <v/>
      </c>
      <c r="AP595" s="6">
        <f>MAX(0,AL595-AM595-AO595)</f>
        <v/>
      </c>
      <c r="AQ595" s="6">
        <f>IF(AP595&lt;=490,0,IF(AP595&lt;=600,(AP595-490)*0.05,IF(AP595&lt;=730,5.5+(AP595-600)*0.10,IF(AP595&lt;=3896.67,18.5+(AP595-730)*0.175,IF(AP595&lt;=19896.67,572.67+(AP595-3896.67)*0.25,IF(AP595&lt;=50416.67,4572.67+(AP595-19896.67)*0.30,13728.67+(AP595-50416.67)*0.35))))))</f>
        <v/>
      </c>
      <c r="AR595" s="6">
        <f>SUM(AM595,AQ595,W595,X595,Y595,Z595,AA595,AN595,AO595)</f>
        <v/>
      </c>
      <c r="AS595" s="6">
        <f>AL595-AR595</f>
        <v/>
      </c>
      <c r="AT595" s="6">
        <f>AB595-AC595</f>
        <v/>
      </c>
    </row>
    <row r="596">
      <c r="A596" s="2" t="n"/>
      <c r="B596" s="3" t="n"/>
      <c r="C596" s="4" t="n"/>
      <c r="D596" s="5" t="n"/>
      <c r="E596" s="3" t="n"/>
      <c r="F596" s="4" t="n"/>
      <c r="G596" s="5" t="n"/>
      <c r="H596" s="3" t="n"/>
      <c r="I596" s="4" t="n"/>
      <c r="J596" s="5" t="n"/>
      <c r="K596" s="3" t="n"/>
      <c r="L596" s="4" t="n"/>
      <c r="M596" s="5" t="n"/>
      <c r="N596" s="3" t="n"/>
      <c r="O596" s="4" t="n"/>
      <c r="P596" s="5" t="n"/>
      <c r="Q596" s="3" t="n"/>
      <c r="R596" s="4" t="n"/>
      <c r="S596" s="5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6">
        <f>IF(C596=0,0,IF(E596="",B596*D596/100,E596))</f>
        <v/>
      </c>
      <c r="AE596" s="6">
        <f>IF(F596=0,0,IF(H596="",B596*G596/100,H596))</f>
        <v/>
      </c>
      <c r="AF596" s="6">
        <f>IF(I596=0,0,IF(K596="",B596*J596/100,K596))</f>
        <v/>
      </c>
      <c r="AG596" s="6">
        <f>IF(L596=0,0,IF(N596="",B596*M596/100,N596))</f>
        <v/>
      </c>
      <c r="AH596" s="6">
        <f>IF(O596=0,0,IF(Q596="",B596*P596/100,Q596))</f>
        <v/>
      </c>
      <c r="AI596" s="6">
        <f>IF(R596=0,0,IF(T596="",B596*S596/100,T596))</f>
        <v/>
      </c>
      <c r="AJ596" s="6">
        <f>B596*0.035</f>
        <v/>
      </c>
      <c r="AK596" s="6">
        <f>B596*0.065</f>
        <v/>
      </c>
      <c r="AL596" s="6">
        <f>SUM(B596,AD596,AE596,AF596,AG596,AH596,AI596,U596,V596,AJ596,AK596)</f>
        <v/>
      </c>
      <c r="AM596" s="6">
        <f>B596*0.055</f>
        <v/>
      </c>
      <c r="AN596" s="6">
        <f>B596*0.035</f>
        <v/>
      </c>
      <c r="AO596" s="6">
        <f>B596*0.165</f>
        <v/>
      </c>
      <c r="AP596" s="6">
        <f>MAX(0,AL596-AM596-AO596)</f>
        <v/>
      </c>
      <c r="AQ596" s="6">
        <f>IF(AP596&lt;=490,0,IF(AP596&lt;=600,(AP596-490)*0.05,IF(AP596&lt;=730,5.5+(AP596-600)*0.10,IF(AP596&lt;=3896.67,18.5+(AP596-730)*0.175,IF(AP596&lt;=19896.67,572.67+(AP596-3896.67)*0.25,IF(AP596&lt;=50416.67,4572.67+(AP596-19896.67)*0.30,13728.67+(AP596-50416.67)*0.35))))))</f>
        <v/>
      </c>
      <c r="AR596" s="6">
        <f>SUM(AM596,AQ596,W596,X596,Y596,Z596,AA596,AN596,AO596)</f>
        <v/>
      </c>
      <c r="AS596" s="6">
        <f>AL596-AR596</f>
        <v/>
      </c>
      <c r="AT596" s="6">
        <f>AB596-AC596</f>
        <v/>
      </c>
    </row>
    <row r="597">
      <c r="A597" s="2" t="n"/>
      <c r="B597" s="3" t="n"/>
      <c r="C597" s="4" t="n"/>
      <c r="D597" s="5" t="n"/>
      <c r="E597" s="3" t="n"/>
      <c r="F597" s="4" t="n"/>
      <c r="G597" s="5" t="n"/>
      <c r="H597" s="3" t="n"/>
      <c r="I597" s="4" t="n"/>
      <c r="J597" s="5" t="n"/>
      <c r="K597" s="3" t="n"/>
      <c r="L597" s="4" t="n"/>
      <c r="M597" s="5" t="n"/>
      <c r="N597" s="3" t="n"/>
      <c r="O597" s="4" t="n"/>
      <c r="P597" s="5" t="n"/>
      <c r="Q597" s="3" t="n"/>
      <c r="R597" s="4" t="n"/>
      <c r="S597" s="5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6">
        <f>IF(C597=0,0,IF(E597="",B597*D597/100,E597))</f>
        <v/>
      </c>
      <c r="AE597" s="6">
        <f>IF(F597=0,0,IF(H597="",B597*G597/100,H597))</f>
        <v/>
      </c>
      <c r="AF597" s="6">
        <f>IF(I597=0,0,IF(K597="",B597*J597/100,K597))</f>
        <v/>
      </c>
      <c r="AG597" s="6">
        <f>IF(L597=0,0,IF(N597="",B597*M597/100,N597))</f>
        <v/>
      </c>
      <c r="AH597" s="6">
        <f>IF(O597=0,0,IF(Q597="",B597*P597/100,Q597))</f>
        <v/>
      </c>
      <c r="AI597" s="6">
        <f>IF(R597=0,0,IF(T597="",B597*S597/100,T597))</f>
        <v/>
      </c>
      <c r="AJ597" s="6">
        <f>B597*0.035</f>
        <v/>
      </c>
      <c r="AK597" s="6">
        <f>B597*0.065</f>
        <v/>
      </c>
      <c r="AL597" s="6">
        <f>SUM(B597,AD597,AE597,AF597,AG597,AH597,AI597,U597,V597,AJ597,AK597)</f>
        <v/>
      </c>
      <c r="AM597" s="6">
        <f>B597*0.055</f>
        <v/>
      </c>
      <c r="AN597" s="6">
        <f>B597*0.035</f>
        <v/>
      </c>
      <c r="AO597" s="6">
        <f>B597*0.165</f>
        <v/>
      </c>
      <c r="AP597" s="6">
        <f>MAX(0,AL597-AM597-AO597)</f>
        <v/>
      </c>
      <c r="AQ597" s="6">
        <f>IF(AP597&lt;=490,0,IF(AP597&lt;=600,(AP597-490)*0.05,IF(AP597&lt;=730,5.5+(AP597-600)*0.10,IF(AP597&lt;=3896.67,18.5+(AP597-730)*0.175,IF(AP597&lt;=19896.67,572.67+(AP597-3896.67)*0.25,IF(AP597&lt;=50416.67,4572.67+(AP597-19896.67)*0.30,13728.67+(AP597-50416.67)*0.35))))))</f>
        <v/>
      </c>
      <c r="AR597" s="6">
        <f>SUM(AM597,AQ597,W597,X597,Y597,Z597,AA597,AN597,AO597)</f>
        <v/>
      </c>
      <c r="AS597" s="6">
        <f>AL597-AR597</f>
        <v/>
      </c>
      <c r="AT597" s="6">
        <f>AB597-AC597</f>
        <v/>
      </c>
    </row>
    <row r="598">
      <c r="A598" s="2" t="n"/>
      <c r="B598" s="3" t="n"/>
      <c r="C598" s="4" t="n"/>
      <c r="D598" s="5" t="n"/>
      <c r="E598" s="3" t="n"/>
      <c r="F598" s="4" t="n"/>
      <c r="G598" s="5" t="n"/>
      <c r="H598" s="3" t="n"/>
      <c r="I598" s="4" t="n"/>
      <c r="J598" s="5" t="n"/>
      <c r="K598" s="3" t="n"/>
      <c r="L598" s="4" t="n"/>
      <c r="M598" s="5" t="n"/>
      <c r="N598" s="3" t="n"/>
      <c r="O598" s="4" t="n"/>
      <c r="P598" s="5" t="n"/>
      <c r="Q598" s="3" t="n"/>
      <c r="R598" s="4" t="n"/>
      <c r="S598" s="5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6">
        <f>IF(C598=0,0,IF(E598="",B598*D598/100,E598))</f>
        <v/>
      </c>
      <c r="AE598" s="6">
        <f>IF(F598=0,0,IF(H598="",B598*G598/100,H598))</f>
        <v/>
      </c>
      <c r="AF598" s="6">
        <f>IF(I598=0,0,IF(K598="",B598*J598/100,K598))</f>
        <v/>
      </c>
      <c r="AG598" s="6">
        <f>IF(L598=0,0,IF(N598="",B598*M598/100,N598))</f>
        <v/>
      </c>
      <c r="AH598" s="6">
        <f>IF(O598=0,0,IF(Q598="",B598*P598/100,Q598))</f>
        <v/>
      </c>
      <c r="AI598" s="6">
        <f>IF(R598=0,0,IF(T598="",B598*S598/100,T598))</f>
        <v/>
      </c>
      <c r="AJ598" s="6">
        <f>B598*0.035</f>
        <v/>
      </c>
      <c r="AK598" s="6">
        <f>B598*0.065</f>
        <v/>
      </c>
      <c r="AL598" s="6">
        <f>SUM(B598,AD598,AE598,AF598,AG598,AH598,AI598,U598,V598,AJ598,AK598)</f>
        <v/>
      </c>
      <c r="AM598" s="6">
        <f>B598*0.055</f>
        <v/>
      </c>
      <c r="AN598" s="6">
        <f>B598*0.035</f>
        <v/>
      </c>
      <c r="AO598" s="6">
        <f>B598*0.165</f>
        <v/>
      </c>
      <c r="AP598" s="6">
        <f>MAX(0,AL598-AM598-AO598)</f>
        <v/>
      </c>
      <c r="AQ598" s="6">
        <f>IF(AP598&lt;=490,0,IF(AP598&lt;=600,(AP598-490)*0.05,IF(AP598&lt;=730,5.5+(AP598-600)*0.10,IF(AP598&lt;=3896.67,18.5+(AP598-730)*0.175,IF(AP598&lt;=19896.67,572.67+(AP598-3896.67)*0.25,IF(AP598&lt;=50416.67,4572.67+(AP598-19896.67)*0.30,13728.67+(AP598-50416.67)*0.35))))))</f>
        <v/>
      </c>
      <c r="AR598" s="6">
        <f>SUM(AM598,AQ598,W598,X598,Y598,Z598,AA598,AN598,AO598)</f>
        <v/>
      </c>
      <c r="AS598" s="6">
        <f>AL598-AR598</f>
        <v/>
      </c>
      <c r="AT598" s="6">
        <f>AB598-AC598</f>
        <v/>
      </c>
    </row>
    <row r="599">
      <c r="A599" s="2" t="n"/>
      <c r="B599" s="3" t="n"/>
      <c r="C599" s="4" t="n"/>
      <c r="D599" s="5" t="n"/>
      <c r="E599" s="3" t="n"/>
      <c r="F599" s="4" t="n"/>
      <c r="G599" s="5" t="n"/>
      <c r="H599" s="3" t="n"/>
      <c r="I599" s="4" t="n"/>
      <c r="J599" s="5" t="n"/>
      <c r="K599" s="3" t="n"/>
      <c r="L599" s="4" t="n"/>
      <c r="M599" s="5" t="n"/>
      <c r="N599" s="3" t="n"/>
      <c r="O599" s="4" t="n"/>
      <c r="P599" s="5" t="n"/>
      <c r="Q599" s="3" t="n"/>
      <c r="R599" s="4" t="n"/>
      <c r="S599" s="5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6">
        <f>IF(C599=0,0,IF(E599="",B599*D599/100,E599))</f>
        <v/>
      </c>
      <c r="AE599" s="6">
        <f>IF(F599=0,0,IF(H599="",B599*G599/100,H599))</f>
        <v/>
      </c>
      <c r="AF599" s="6">
        <f>IF(I599=0,0,IF(K599="",B599*J599/100,K599))</f>
        <v/>
      </c>
      <c r="AG599" s="6">
        <f>IF(L599=0,0,IF(N599="",B599*M599/100,N599))</f>
        <v/>
      </c>
      <c r="AH599" s="6">
        <f>IF(O599=0,0,IF(Q599="",B599*P599/100,Q599))</f>
        <v/>
      </c>
      <c r="AI599" s="6">
        <f>IF(R599=0,0,IF(T599="",B599*S599/100,T599))</f>
        <v/>
      </c>
      <c r="AJ599" s="6">
        <f>B599*0.035</f>
        <v/>
      </c>
      <c r="AK599" s="6">
        <f>B599*0.065</f>
        <v/>
      </c>
      <c r="AL599" s="6">
        <f>SUM(B599,AD599,AE599,AF599,AG599,AH599,AI599,U599,V599,AJ599,AK599)</f>
        <v/>
      </c>
      <c r="AM599" s="6">
        <f>B599*0.055</f>
        <v/>
      </c>
      <c r="AN599" s="6">
        <f>B599*0.035</f>
        <v/>
      </c>
      <c r="AO599" s="6">
        <f>B599*0.165</f>
        <v/>
      </c>
      <c r="AP599" s="6">
        <f>MAX(0,AL599-AM599-AO599)</f>
        <v/>
      </c>
      <c r="AQ599" s="6">
        <f>IF(AP599&lt;=490,0,IF(AP599&lt;=600,(AP599-490)*0.05,IF(AP599&lt;=730,5.5+(AP599-600)*0.10,IF(AP599&lt;=3896.67,18.5+(AP599-730)*0.175,IF(AP599&lt;=19896.67,572.67+(AP599-3896.67)*0.25,IF(AP599&lt;=50416.67,4572.67+(AP599-19896.67)*0.30,13728.67+(AP599-50416.67)*0.35))))))</f>
        <v/>
      </c>
      <c r="AR599" s="6">
        <f>SUM(AM599,AQ599,W599,X599,Y599,Z599,AA599,AN599,AO599)</f>
        <v/>
      </c>
      <c r="AS599" s="6">
        <f>AL599-AR599</f>
        <v/>
      </c>
      <c r="AT599" s="6">
        <f>AB599-AC599</f>
        <v/>
      </c>
    </row>
    <row r="600">
      <c r="A600" s="2" t="n"/>
      <c r="B600" s="3" t="n"/>
      <c r="C600" s="4" t="n"/>
      <c r="D600" s="5" t="n"/>
      <c r="E600" s="3" t="n"/>
      <c r="F600" s="4" t="n"/>
      <c r="G600" s="5" t="n"/>
      <c r="H600" s="3" t="n"/>
      <c r="I600" s="4" t="n"/>
      <c r="J600" s="5" t="n"/>
      <c r="K600" s="3" t="n"/>
      <c r="L600" s="4" t="n"/>
      <c r="M600" s="5" t="n"/>
      <c r="N600" s="3" t="n"/>
      <c r="O600" s="4" t="n"/>
      <c r="P600" s="5" t="n"/>
      <c r="Q600" s="3" t="n"/>
      <c r="R600" s="4" t="n"/>
      <c r="S600" s="5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6">
        <f>IF(C600=0,0,IF(E600="",B600*D600/100,E600))</f>
        <v/>
      </c>
      <c r="AE600" s="6">
        <f>IF(F600=0,0,IF(H600="",B600*G600/100,H600))</f>
        <v/>
      </c>
      <c r="AF600" s="6">
        <f>IF(I600=0,0,IF(K600="",B600*J600/100,K600))</f>
        <v/>
      </c>
      <c r="AG600" s="6">
        <f>IF(L600=0,0,IF(N600="",B600*M600/100,N600))</f>
        <v/>
      </c>
      <c r="AH600" s="6">
        <f>IF(O600=0,0,IF(Q600="",B600*P600/100,Q600))</f>
        <v/>
      </c>
      <c r="AI600" s="6">
        <f>IF(R600=0,0,IF(T600="",B600*S600/100,T600))</f>
        <v/>
      </c>
      <c r="AJ600" s="6">
        <f>B600*0.035</f>
        <v/>
      </c>
      <c r="AK600" s="6">
        <f>B600*0.065</f>
        <v/>
      </c>
      <c r="AL600" s="6">
        <f>SUM(B600,AD600,AE600,AF600,AG600,AH600,AI600,U600,V600,AJ600,AK600)</f>
        <v/>
      </c>
      <c r="AM600" s="6">
        <f>B600*0.055</f>
        <v/>
      </c>
      <c r="AN600" s="6">
        <f>B600*0.035</f>
        <v/>
      </c>
      <c r="AO600" s="6">
        <f>B600*0.165</f>
        <v/>
      </c>
      <c r="AP600" s="6">
        <f>MAX(0,AL600-AM600-AO600)</f>
        <v/>
      </c>
      <c r="AQ600" s="6">
        <f>IF(AP600&lt;=490,0,IF(AP600&lt;=600,(AP600-490)*0.05,IF(AP600&lt;=730,5.5+(AP600-600)*0.10,IF(AP600&lt;=3896.67,18.5+(AP600-730)*0.175,IF(AP600&lt;=19896.67,572.67+(AP600-3896.67)*0.25,IF(AP600&lt;=50416.67,4572.67+(AP600-19896.67)*0.30,13728.67+(AP600-50416.67)*0.35))))))</f>
        <v/>
      </c>
      <c r="AR600" s="6">
        <f>SUM(AM600,AQ600,W600,X600,Y600,Z600,AA600,AN600,AO600)</f>
        <v/>
      </c>
      <c r="AS600" s="6">
        <f>AL600-AR600</f>
        <v/>
      </c>
      <c r="AT600" s="6">
        <f>AB600-AC600</f>
        <v/>
      </c>
    </row>
    <row r="601">
      <c r="A601" s="2" t="n"/>
      <c r="B601" s="3" t="n"/>
      <c r="C601" s="4" t="n"/>
      <c r="D601" s="5" t="n"/>
      <c r="E601" s="3" t="n"/>
      <c r="F601" s="4" t="n"/>
      <c r="G601" s="5" t="n"/>
      <c r="H601" s="3" t="n"/>
      <c r="I601" s="4" t="n"/>
      <c r="J601" s="5" t="n"/>
      <c r="K601" s="3" t="n"/>
      <c r="L601" s="4" t="n"/>
      <c r="M601" s="5" t="n"/>
      <c r="N601" s="3" t="n"/>
      <c r="O601" s="4" t="n"/>
      <c r="P601" s="5" t="n"/>
      <c r="Q601" s="3" t="n"/>
      <c r="R601" s="4" t="n"/>
      <c r="S601" s="5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6">
        <f>IF(C601=0,0,IF(E601="",B601*D601/100,E601))</f>
        <v/>
      </c>
      <c r="AE601" s="6">
        <f>IF(F601=0,0,IF(H601="",B601*G601/100,H601))</f>
        <v/>
      </c>
      <c r="AF601" s="6">
        <f>IF(I601=0,0,IF(K601="",B601*J601/100,K601))</f>
        <v/>
      </c>
      <c r="AG601" s="6">
        <f>IF(L601=0,0,IF(N601="",B601*M601/100,N601))</f>
        <v/>
      </c>
      <c r="AH601" s="6">
        <f>IF(O601=0,0,IF(Q601="",B601*P601/100,Q601))</f>
        <v/>
      </c>
      <c r="AI601" s="6">
        <f>IF(R601=0,0,IF(T601="",B601*S601/100,T601))</f>
        <v/>
      </c>
      <c r="AJ601" s="6">
        <f>B601*0.035</f>
        <v/>
      </c>
      <c r="AK601" s="6">
        <f>B601*0.065</f>
        <v/>
      </c>
      <c r="AL601" s="6">
        <f>SUM(B601,AD601,AE601,AF601,AG601,AH601,AI601,U601,V601,AJ601,AK601)</f>
        <v/>
      </c>
      <c r="AM601" s="6">
        <f>B601*0.055</f>
        <v/>
      </c>
      <c r="AN601" s="6">
        <f>B601*0.035</f>
        <v/>
      </c>
      <c r="AO601" s="6">
        <f>B601*0.165</f>
        <v/>
      </c>
      <c r="AP601" s="6">
        <f>MAX(0,AL601-AM601-AO601)</f>
        <v/>
      </c>
      <c r="AQ601" s="6">
        <f>IF(AP601&lt;=490,0,IF(AP601&lt;=600,(AP601-490)*0.05,IF(AP601&lt;=730,5.5+(AP601-600)*0.10,IF(AP601&lt;=3896.67,18.5+(AP601-730)*0.175,IF(AP601&lt;=19896.67,572.67+(AP601-3896.67)*0.25,IF(AP601&lt;=50416.67,4572.67+(AP601-19896.67)*0.30,13728.67+(AP601-50416.67)*0.35))))))</f>
        <v/>
      </c>
      <c r="AR601" s="6">
        <f>SUM(AM601,AQ601,W601,X601,Y601,Z601,AA601,AN601,AO601)</f>
        <v/>
      </c>
      <c r="AS601" s="6">
        <f>AL601-AR601</f>
        <v/>
      </c>
      <c r="AT601" s="6">
        <f>AB601-AC601</f>
        <v/>
      </c>
    </row>
    <row r="602">
      <c r="A602" s="2" t="n"/>
      <c r="B602" s="3" t="n"/>
      <c r="C602" s="4" t="n"/>
      <c r="D602" s="5" t="n"/>
      <c r="E602" s="3" t="n"/>
      <c r="F602" s="4" t="n"/>
      <c r="G602" s="5" t="n"/>
      <c r="H602" s="3" t="n"/>
      <c r="I602" s="4" t="n"/>
      <c r="J602" s="5" t="n"/>
      <c r="K602" s="3" t="n"/>
      <c r="L602" s="4" t="n"/>
      <c r="M602" s="5" t="n"/>
      <c r="N602" s="3" t="n"/>
      <c r="O602" s="4" t="n"/>
      <c r="P602" s="5" t="n"/>
      <c r="Q602" s="3" t="n"/>
      <c r="R602" s="4" t="n"/>
      <c r="S602" s="5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6">
        <f>IF(C602=0,0,IF(E602="",B602*D602/100,E602))</f>
        <v/>
      </c>
      <c r="AE602" s="6">
        <f>IF(F602=0,0,IF(H602="",B602*G602/100,H602))</f>
        <v/>
      </c>
      <c r="AF602" s="6">
        <f>IF(I602=0,0,IF(K602="",B602*J602/100,K602))</f>
        <v/>
      </c>
      <c r="AG602" s="6">
        <f>IF(L602=0,0,IF(N602="",B602*M602/100,N602))</f>
        <v/>
      </c>
      <c r="AH602" s="6">
        <f>IF(O602=0,0,IF(Q602="",B602*P602/100,Q602))</f>
        <v/>
      </c>
      <c r="AI602" s="6">
        <f>IF(R602=0,0,IF(T602="",B602*S602/100,T602))</f>
        <v/>
      </c>
      <c r="AJ602" s="6">
        <f>B602*0.035</f>
        <v/>
      </c>
      <c r="AK602" s="6">
        <f>B602*0.065</f>
        <v/>
      </c>
      <c r="AL602" s="6">
        <f>SUM(B602,AD602,AE602,AF602,AG602,AH602,AI602,U602,V602,AJ602,AK602)</f>
        <v/>
      </c>
      <c r="AM602" s="6">
        <f>B602*0.055</f>
        <v/>
      </c>
      <c r="AN602" s="6">
        <f>B602*0.035</f>
        <v/>
      </c>
      <c r="AO602" s="6">
        <f>B602*0.165</f>
        <v/>
      </c>
      <c r="AP602" s="6">
        <f>MAX(0,AL602-AM602-AO602)</f>
        <v/>
      </c>
      <c r="AQ602" s="6">
        <f>IF(AP602&lt;=490,0,IF(AP602&lt;=600,(AP602-490)*0.05,IF(AP602&lt;=730,5.5+(AP602-600)*0.10,IF(AP602&lt;=3896.67,18.5+(AP602-730)*0.175,IF(AP602&lt;=19896.67,572.67+(AP602-3896.67)*0.25,IF(AP602&lt;=50416.67,4572.67+(AP602-19896.67)*0.30,13728.67+(AP602-50416.67)*0.35))))))</f>
        <v/>
      </c>
      <c r="AR602" s="6">
        <f>SUM(AM602,AQ602,W602,X602,Y602,Z602,AA602,AN602,AO602)</f>
        <v/>
      </c>
      <c r="AS602" s="6">
        <f>AL602-AR602</f>
        <v/>
      </c>
      <c r="AT602" s="6">
        <f>AB602-AC602</f>
        <v/>
      </c>
    </row>
    <row r="603">
      <c r="A603" s="2" t="n"/>
      <c r="B603" s="3" t="n"/>
      <c r="C603" s="4" t="n"/>
      <c r="D603" s="5" t="n"/>
      <c r="E603" s="3" t="n"/>
      <c r="F603" s="4" t="n"/>
      <c r="G603" s="5" t="n"/>
      <c r="H603" s="3" t="n"/>
      <c r="I603" s="4" t="n"/>
      <c r="J603" s="5" t="n"/>
      <c r="K603" s="3" t="n"/>
      <c r="L603" s="4" t="n"/>
      <c r="M603" s="5" t="n"/>
      <c r="N603" s="3" t="n"/>
      <c r="O603" s="4" t="n"/>
      <c r="P603" s="5" t="n"/>
      <c r="Q603" s="3" t="n"/>
      <c r="R603" s="4" t="n"/>
      <c r="S603" s="5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6">
        <f>IF(C603=0,0,IF(E603="",B603*D603/100,E603))</f>
        <v/>
      </c>
      <c r="AE603" s="6">
        <f>IF(F603=0,0,IF(H603="",B603*G603/100,H603))</f>
        <v/>
      </c>
      <c r="AF603" s="6">
        <f>IF(I603=0,0,IF(K603="",B603*J603/100,K603))</f>
        <v/>
      </c>
      <c r="AG603" s="6">
        <f>IF(L603=0,0,IF(N603="",B603*M603/100,N603))</f>
        <v/>
      </c>
      <c r="AH603" s="6">
        <f>IF(O603=0,0,IF(Q603="",B603*P603/100,Q603))</f>
        <v/>
      </c>
      <c r="AI603" s="6">
        <f>IF(R603=0,0,IF(T603="",B603*S603/100,T603))</f>
        <v/>
      </c>
      <c r="AJ603" s="6">
        <f>B603*0.035</f>
        <v/>
      </c>
      <c r="AK603" s="6">
        <f>B603*0.065</f>
        <v/>
      </c>
      <c r="AL603" s="6">
        <f>SUM(B603,AD603,AE603,AF603,AG603,AH603,AI603,U603,V603,AJ603,AK603)</f>
        <v/>
      </c>
      <c r="AM603" s="6">
        <f>B603*0.055</f>
        <v/>
      </c>
      <c r="AN603" s="6">
        <f>B603*0.035</f>
        <v/>
      </c>
      <c r="AO603" s="6">
        <f>B603*0.165</f>
        <v/>
      </c>
      <c r="AP603" s="6">
        <f>MAX(0,AL603-AM603-AO603)</f>
        <v/>
      </c>
      <c r="AQ603" s="6">
        <f>IF(AP603&lt;=490,0,IF(AP603&lt;=600,(AP603-490)*0.05,IF(AP603&lt;=730,5.5+(AP603-600)*0.10,IF(AP603&lt;=3896.67,18.5+(AP603-730)*0.175,IF(AP603&lt;=19896.67,572.67+(AP603-3896.67)*0.25,IF(AP603&lt;=50416.67,4572.67+(AP603-19896.67)*0.30,13728.67+(AP603-50416.67)*0.35))))))</f>
        <v/>
      </c>
      <c r="AR603" s="6">
        <f>SUM(AM603,AQ603,W603,X603,Y603,Z603,AA603,AN603,AO603)</f>
        <v/>
      </c>
      <c r="AS603" s="6">
        <f>AL603-AR603</f>
        <v/>
      </c>
      <c r="AT603" s="6">
        <f>AB603-AC603</f>
        <v/>
      </c>
    </row>
    <row r="604">
      <c r="A604" s="2" t="n"/>
      <c r="B604" s="3" t="n"/>
      <c r="C604" s="4" t="n"/>
      <c r="D604" s="5" t="n"/>
      <c r="E604" s="3" t="n"/>
      <c r="F604" s="4" t="n"/>
      <c r="G604" s="5" t="n"/>
      <c r="H604" s="3" t="n"/>
      <c r="I604" s="4" t="n"/>
      <c r="J604" s="5" t="n"/>
      <c r="K604" s="3" t="n"/>
      <c r="L604" s="4" t="n"/>
      <c r="M604" s="5" t="n"/>
      <c r="N604" s="3" t="n"/>
      <c r="O604" s="4" t="n"/>
      <c r="P604" s="5" t="n"/>
      <c r="Q604" s="3" t="n"/>
      <c r="R604" s="4" t="n"/>
      <c r="S604" s="5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6">
        <f>IF(C604=0,0,IF(E604="",B604*D604/100,E604))</f>
        <v/>
      </c>
      <c r="AE604" s="6">
        <f>IF(F604=0,0,IF(H604="",B604*G604/100,H604))</f>
        <v/>
      </c>
      <c r="AF604" s="6">
        <f>IF(I604=0,0,IF(K604="",B604*J604/100,K604))</f>
        <v/>
      </c>
      <c r="AG604" s="6">
        <f>IF(L604=0,0,IF(N604="",B604*M604/100,N604))</f>
        <v/>
      </c>
      <c r="AH604" s="6">
        <f>IF(O604=0,0,IF(Q604="",B604*P604/100,Q604))</f>
        <v/>
      </c>
      <c r="AI604" s="6">
        <f>IF(R604=0,0,IF(T604="",B604*S604/100,T604))</f>
        <v/>
      </c>
      <c r="AJ604" s="6">
        <f>B604*0.035</f>
        <v/>
      </c>
      <c r="AK604" s="6">
        <f>B604*0.065</f>
        <v/>
      </c>
      <c r="AL604" s="6">
        <f>SUM(B604,AD604,AE604,AF604,AG604,AH604,AI604,U604,V604,AJ604,AK604)</f>
        <v/>
      </c>
      <c r="AM604" s="6">
        <f>B604*0.055</f>
        <v/>
      </c>
      <c r="AN604" s="6">
        <f>B604*0.035</f>
        <v/>
      </c>
      <c r="AO604" s="6">
        <f>B604*0.165</f>
        <v/>
      </c>
      <c r="AP604" s="6">
        <f>MAX(0,AL604-AM604-AO604)</f>
        <v/>
      </c>
      <c r="AQ604" s="6">
        <f>IF(AP604&lt;=490,0,IF(AP604&lt;=600,(AP604-490)*0.05,IF(AP604&lt;=730,5.5+(AP604-600)*0.10,IF(AP604&lt;=3896.67,18.5+(AP604-730)*0.175,IF(AP604&lt;=19896.67,572.67+(AP604-3896.67)*0.25,IF(AP604&lt;=50416.67,4572.67+(AP604-19896.67)*0.30,13728.67+(AP604-50416.67)*0.35))))))</f>
        <v/>
      </c>
      <c r="AR604" s="6">
        <f>SUM(AM604,AQ604,W604,X604,Y604,Z604,AA604,AN604,AO604)</f>
        <v/>
      </c>
      <c r="AS604" s="6">
        <f>AL604-AR604</f>
        <v/>
      </c>
      <c r="AT604" s="6">
        <f>AB604-AC604</f>
        <v/>
      </c>
    </row>
    <row r="605">
      <c r="A605" s="2" t="n"/>
      <c r="B605" s="3" t="n"/>
      <c r="C605" s="4" t="n"/>
      <c r="D605" s="5" t="n"/>
      <c r="E605" s="3" t="n"/>
      <c r="F605" s="4" t="n"/>
      <c r="G605" s="5" t="n"/>
      <c r="H605" s="3" t="n"/>
      <c r="I605" s="4" t="n"/>
      <c r="J605" s="5" t="n"/>
      <c r="K605" s="3" t="n"/>
      <c r="L605" s="4" t="n"/>
      <c r="M605" s="5" t="n"/>
      <c r="N605" s="3" t="n"/>
      <c r="O605" s="4" t="n"/>
      <c r="P605" s="5" t="n"/>
      <c r="Q605" s="3" t="n"/>
      <c r="R605" s="4" t="n"/>
      <c r="S605" s="5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6">
        <f>IF(C605=0,0,IF(E605="",B605*D605/100,E605))</f>
        <v/>
      </c>
      <c r="AE605" s="6">
        <f>IF(F605=0,0,IF(H605="",B605*G605/100,H605))</f>
        <v/>
      </c>
      <c r="AF605" s="6">
        <f>IF(I605=0,0,IF(K605="",B605*J605/100,K605))</f>
        <v/>
      </c>
      <c r="AG605" s="6">
        <f>IF(L605=0,0,IF(N605="",B605*M605/100,N605))</f>
        <v/>
      </c>
      <c r="AH605" s="6">
        <f>IF(O605=0,0,IF(Q605="",B605*P605/100,Q605))</f>
        <v/>
      </c>
      <c r="AI605" s="6">
        <f>IF(R605=0,0,IF(T605="",B605*S605/100,T605))</f>
        <v/>
      </c>
      <c r="AJ605" s="6">
        <f>B605*0.035</f>
        <v/>
      </c>
      <c r="AK605" s="6">
        <f>B605*0.065</f>
        <v/>
      </c>
      <c r="AL605" s="6">
        <f>SUM(B605,AD605,AE605,AF605,AG605,AH605,AI605,U605,V605,AJ605,AK605)</f>
        <v/>
      </c>
      <c r="AM605" s="6">
        <f>B605*0.055</f>
        <v/>
      </c>
      <c r="AN605" s="6">
        <f>B605*0.035</f>
        <v/>
      </c>
      <c r="AO605" s="6">
        <f>B605*0.165</f>
        <v/>
      </c>
      <c r="AP605" s="6">
        <f>MAX(0,AL605-AM605-AO605)</f>
        <v/>
      </c>
      <c r="AQ605" s="6">
        <f>IF(AP605&lt;=490,0,IF(AP605&lt;=600,(AP605-490)*0.05,IF(AP605&lt;=730,5.5+(AP605-600)*0.10,IF(AP605&lt;=3896.67,18.5+(AP605-730)*0.175,IF(AP605&lt;=19896.67,572.67+(AP605-3896.67)*0.25,IF(AP605&lt;=50416.67,4572.67+(AP605-19896.67)*0.30,13728.67+(AP605-50416.67)*0.35))))))</f>
        <v/>
      </c>
      <c r="AR605" s="6">
        <f>SUM(AM605,AQ605,W605,X605,Y605,Z605,AA605,AN605,AO605)</f>
        <v/>
      </c>
      <c r="AS605" s="6">
        <f>AL605-AR605</f>
        <v/>
      </c>
      <c r="AT605" s="6">
        <f>AB605-AC605</f>
        <v/>
      </c>
    </row>
    <row r="606">
      <c r="A606" s="2" t="n"/>
      <c r="B606" s="3" t="n"/>
      <c r="C606" s="4" t="n"/>
      <c r="D606" s="5" t="n"/>
      <c r="E606" s="3" t="n"/>
      <c r="F606" s="4" t="n"/>
      <c r="G606" s="5" t="n"/>
      <c r="H606" s="3" t="n"/>
      <c r="I606" s="4" t="n"/>
      <c r="J606" s="5" t="n"/>
      <c r="K606" s="3" t="n"/>
      <c r="L606" s="4" t="n"/>
      <c r="M606" s="5" t="n"/>
      <c r="N606" s="3" t="n"/>
      <c r="O606" s="4" t="n"/>
      <c r="P606" s="5" t="n"/>
      <c r="Q606" s="3" t="n"/>
      <c r="R606" s="4" t="n"/>
      <c r="S606" s="5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6">
        <f>IF(C606=0,0,IF(E606="",B606*D606/100,E606))</f>
        <v/>
      </c>
      <c r="AE606" s="6">
        <f>IF(F606=0,0,IF(H606="",B606*G606/100,H606))</f>
        <v/>
      </c>
      <c r="AF606" s="6">
        <f>IF(I606=0,0,IF(K606="",B606*J606/100,K606))</f>
        <v/>
      </c>
      <c r="AG606" s="6">
        <f>IF(L606=0,0,IF(N606="",B606*M606/100,N606))</f>
        <v/>
      </c>
      <c r="AH606" s="6">
        <f>IF(O606=0,0,IF(Q606="",B606*P606/100,Q606))</f>
        <v/>
      </c>
      <c r="AI606" s="6">
        <f>IF(R606=0,0,IF(T606="",B606*S606/100,T606))</f>
        <v/>
      </c>
      <c r="AJ606" s="6">
        <f>B606*0.035</f>
        <v/>
      </c>
      <c r="AK606" s="6">
        <f>B606*0.065</f>
        <v/>
      </c>
      <c r="AL606" s="6">
        <f>SUM(B606,AD606,AE606,AF606,AG606,AH606,AI606,U606,V606,AJ606,AK606)</f>
        <v/>
      </c>
      <c r="AM606" s="6">
        <f>B606*0.055</f>
        <v/>
      </c>
      <c r="AN606" s="6">
        <f>B606*0.035</f>
        <v/>
      </c>
      <c r="AO606" s="6">
        <f>B606*0.165</f>
        <v/>
      </c>
      <c r="AP606" s="6">
        <f>MAX(0,AL606-AM606-AO606)</f>
        <v/>
      </c>
      <c r="AQ606" s="6">
        <f>IF(AP606&lt;=490,0,IF(AP606&lt;=600,(AP606-490)*0.05,IF(AP606&lt;=730,5.5+(AP606-600)*0.10,IF(AP606&lt;=3896.67,18.5+(AP606-730)*0.175,IF(AP606&lt;=19896.67,572.67+(AP606-3896.67)*0.25,IF(AP606&lt;=50416.67,4572.67+(AP606-19896.67)*0.30,13728.67+(AP606-50416.67)*0.35))))))</f>
        <v/>
      </c>
      <c r="AR606" s="6">
        <f>SUM(AM606,AQ606,W606,X606,Y606,Z606,AA606,AN606,AO606)</f>
        <v/>
      </c>
      <c r="AS606" s="6">
        <f>AL606-AR606</f>
        <v/>
      </c>
      <c r="AT606" s="6">
        <f>AB606-AC606</f>
        <v/>
      </c>
    </row>
    <row r="607">
      <c r="A607" s="2" t="n"/>
      <c r="B607" s="3" t="n"/>
      <c r="C607" s="4" t="n"/>
      <c r="D607" s="5" t="n"/>
      <c r="E607" s="3" t="n"/>
      <c r="F607" s="4" t="n"/>
      <c r="G607" s="5" t="n"/>
      <c r="H607" s="3" t="n"/>
      <c r="I607" s="4" t="n"/>
      <c r="J607" s="5" t="n"/>
      <c r="K607" s="3" t="n"/>
      <c r="L607" s="4" t="n"/>
      <c r="M607" s="5" t="n"/>
      <c r="N607" s="3" t="n"/>
      <c r="O607" s="4" t="n"/>
      <c r="P607" s="5" t="n"/>
      <c r="Q607" s="3" t="n"/>
      <c r="R607" s="4" t="n"/>
      <c r="S607" s="5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6">
        <f>IF(C607=0,0,IF(E607="",B607*D607/100,E607))</f>
        <v/>
      </c>
      <c r="AE607" s="6">
        <f>IF(F607=0,0,IF(H607="",B607*G607/100,H607))</f>
        <v/>
      </c>
      <c r="AF607" s="6">
        <f>IF(I607=0,0,IF(K607="",B607*J607/100,K607))</f>
        <v/>
      </c>
      <c r="AG607" s="6">
        <f>IF(L607=0,0,IF(N607="",B607*M607/100,N607))</f>
        <v/>
      </c>
      <c r="AH607" s="6">
        <f>IF(O607=0,0,IF(Q607="",B607*P607/100,Q607))</f>
        <v/>
      </c>
      <c r="AI607" s="6">
        <f>IF(R607=0,0,IF(T607="",B607*S607/100,T607))</f>
        <v/>
      </c>
      <c r="AJ607" s="6">
        <f>B607*0.035</f>
        <v/>
      </c>
      <c r="AK607" s="6">
        <f>B607*0.065</f>
        <v/>
      </c>
      <c r="AL607" s="6">
        <f>SUM(B607,AD607,AE607,AF607,AG607,AH607,AI607,U607,V607,AJ607,AK607)</f>
        <v/>
      </c>
      <c r="AM607" s="6">
        <f>B607*0.055</f>
        <v/>
      </c>
      <c r="AN607" s="6">
        <f>B607*0.035</f>
        <v/>
      </c>
      <c r="AO607" s="6">
        <f>B607*0.165</f>
        <v/>
      </c>
      <c r="AP607" s="6">
        <f>MAX(0,AL607-AM607-AO607)</f>
        <v/>
      </c>
      <c r="AQ607" s="6">
        <f>IF(AP607&lt;=490,0,IF(AP607&lt;=600,(AP607-490)*0.05,IF(AP607&lt;=730,5.5+(AP607-600)*0.10,IF(AP607&lt;=3896.67,18.5+(AP607-730)*0.175,IF(AP607&lt;=19896.67,572.67+(AP607-3896.67)*0.25,IF(AP607&lt;=50416.67,4572.67+(AP607-19896.67)*0.30,13728.67+(AP607-50416.67)*0.35))))))</f>
        <v/>
      </c>
      <c r="AR607" s="6">
        <f>SUM(AM607,AQ607,W607,X607,Y607,Z607,AA607,AN607,AO607)</f>
        <v/>
      </c>
      <c r="AS607" s="6">
        <f>AL607-AR607</f>
        <v/>
      </c>
      <c r="AT607" s="6">
        <f>AB607-AC607</f>
        <v/>
      </c>
    </row>
    <row r="608">
      <c r="A608" s="2" t="n"/>
      <c r="B608" s="3" t="n"/>
      <c r="C608" s="4" t="n"/>
      <c r="D608" s="5" t="n"/>
      <c r="E608" s="3" t="n"/>
      <c r="F608" s="4" t="n"/>
      <c r="G608" s="5" t="n"/>
      <c r="H608" s="3" t="n"/>
      <c r="I608" s="4" t="n"/>
      <c r="J608" s="5" t="n"/>
      <c r="K608" s="3" t="n"/>
      <c r="L608" s="4" t="n"/>
      <c r="M608" s="5" t="n"/>
      <c r="N608" s="3" t="n"/>
      <c r="O608" s="4" t="n"/>
      <c r="P608" s="5" t="n"/>
      <c r="Q608" s="3" t="n"/>
      <c r="R608" s="4" t="n"/>
      <c r="S608" s="5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6">
        <f>IF(C608=0,0,IF(E608="",B608*D608/100,E608))</f>
        <v/>
      </c>
      <c r="AE608" s="6">
        <f>IF(F608=0,0,IF(H608="",B608*G608/100,H608))</f>
        <v/>
      </c>
      <c r="AF608" s="6">
        <f>IF(I608=0,0,IF(K608="",B608*J608/100,K608))</f>
        <v/>
      </c>
      <c r="AG608" s="6">
        <f>IF(L608=0,0,IF(N608="",B608*M608/100,N608))</f>
        <v/>
      </c>
      <c r="AH608" s="6">
        <f>IF(O608=0,0,IF(Q608="",B608*P608/100,Q608))</f>
        <v/>
      </c>
      <c r="AI608" s="6">
        <f>IF(R608=0,0,IF(T608="",B608*S608/100,T608))</f>
        <v/>
      </c>
      <c r="AJ608" s="6">
        <f>B608*0.035</f>
        <v/>
      </c>
      <c r="AK608" s="6">
        <f>B608*0.065</f>
        <v/>
      </c>
      <c r="AL608" s="6">
        <f>SUM(B608,AD608,AE608,AF608,AG608,AH608,AI608,U608,V608,AJ608,AK608)</f>
        <v/>
      </c>
      <c r="AM608" s="6">
        <f>B608*0.055</f>
        <v/>
      </c>
      <c r="AN608" s="6">
        <f>B608*0.035</f>
        <v/>
      </c>
      <c r="AO608" s="6">
        <f>B608*0.165</f>
        <v/>
      </c>
      <c r="AP608" s="6">
        <f>MAX(0,AL608-AM608-AO608)</f>
        <v/>
      </c>
      <c r="AQ608" s="6">
        <f>IF(AP608&lt;=490,0,IF(AP608&lt;=600,(AP608-490)*0.05,IF(AP608&lt;=730,5.5+(AP608-600)*0.10,IF(AP608&lt;=3896.67,18.5+(AP608-730)*0.175,IF(AP608&lt;=19896.67,572.67+(AP608-3896.67)*0.25,IF(AP608&lt;=50416.67,4572.67+(AP608-19896.67)*0.30,13728.67+(AP608-50416.67)*0.35))))))</f>
        <v/>
      </c>
      <c r="AR608" s="6">
        <f>SUM(AM608,AQ608,W608,X608,Y608,Z608,AA608,AN608,AO608)</f>
        <v/>
      </c>
      <c r="AS608" s="6">
        <f>AL608-AR608</f>
        <v/>
      </c>
      <c r="AT608" s="6">
        <f>AB608-AC608</f>
        <v/>
      </c>
    </row>
    <row r="609">
      <c r="A609" s="2" t="n"/>
      <c r="B609" s="3" t="n"/>
      <c r="C609" s="4" t="n"/>
      <c r="D609" s="5" t="n"/>
      <c r="E609" s="3" t="n"/>
      <c r="F609" s="4" t="n"/>
      <c r="G609" s="5" t="n"/>
      <c r="H609" s="3" t="n"/>
      <c r="I609" s="4" t="n"/>
      <c r="J609" s="5" t="n"/>
      <c r="K609" s="3" t="n"/>
      <c r="L609" s="4" t="n"/>
      <c r="M609" s="5" t="n"/>
      <c r="N609" s="3" t="n"/>
      <c r="O609" s="4" t="n"/>
      <c r="P609" s="5" t="n"/>
      <c r="Q609" s="3" t="n"/>
      <c r="R609" s="4" t="n"/>
      <c r="S609" s="5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6">
        <f>IF(C609=0,0,IF(E609="",B609*D609/100,E609))</f>
        <v/>
      </c>
      <c r="AE609" s="6">
        <f>IF(F609=0,0,IF(H609="",B609*G609/100,H609))</f>
        <v/>
      </c>
      <c r="AF609" s="6">
        <f>IF(I609=0,0,IF(K609="",B609*J609/100,K609))</f>
        <v/>
      </c>
      <c r="AG609" s="6">
        <f>IF(L609=0,0,IF(N609="",B609*M609/100,N609))</f>
        <v/>
      </c>
      <c r="AH609" s="6">
        <f>IF(O609=0,0,IF(Q609="",B609*P609/100,Q609))</f>
        <v/>
      </c>
      <c r="AI609" s="6">
        <f>IF(R609=0,0,IF(T609="",B609*S609/100,T609))</f>
        <v/>
      </c>
      <c r="AJ609" s="6">
        <f>B609*0.035</f>
        <v/>
      </c>
      <c r="AK609" s="6">
        <f>B609*0.065</f>
        <v/>
      </c>
      <c r="AL609" s="6">
        <f>SUM(B609,AD609,AE609,AF609,AG609,AH609,AI609,U609,V609,AJ609,AK609)</f>
        <v/>
      </c>
      <c r="AM609" s="6">
        <f>B609*0.055</f>
        <v/>
      </c>
      <c r="AN609" s="6">
        <f>B609*0.035</f>
        <v/>
      </c>
      <c r="AO609" s="6">
        <f>B609*0.165</f>
        <v/>
      </c>
      <c r="AP609" s="6">
        <f>MAX(0,AL609-AM609-AO609)</f>
        <v/>
      </c>
      <c r="AQ609" s="6">
        <f>IF(AP609&lt;=490,0,IF(AP609&lt;=600,(AP609-490)*0.05,IF(AP609&lt;=730,5.5+(AP609-600)*0.10,IF(AP609&lt;=3896.67,18.5+(AP609-730)*0.175,IF(AP609&lt;=19896.67,572.67+(AP609-3896.67)*0.25,IF(AP609&lt;=50416.67,4572.67+(AP609-19896.67)*0.30,13728.67+(AP609-50416.67)*0.35))))))</f>
        <v/>
      </c>
      <c r="AR609" s="6">
        <f>SUM(AM609,AQ609,W609,X609,Y609,Z609,AA609,AN609,AO609)</f>
        <v/>
      </c>
      <c r="AS609" s="6">
        <f>AL609-AR609</f>
        <v/>
      </c>
      <c r="AT609" s="6">
        <f>AB609-AC609</f>
        <v/>
      </c>
    </row>
    <row r="610">
      <c r="A610" s="2" t="n"/>
      <c r="B610" s="3" t="n"/>
      <c r="C610" s="4" t="n"/>
      <c r="D610" s="5" t="n"/>
      <c r="E610" s="3" t="n"/>
      <c r="F610" s="4" t="n"/>
      <c r="G610" s="5" t="n"/>
      <c r="H610" s="3" t="n"/>
      <c r="I610" s="4" t="n"/>
      <c r="J610" s="5" t="n"/>
      <c r="K610" s="3" t="n"/>
      <c r="L610" s="4" t="n"/>
      <c r="M610" s="5" t="n"/>
      <c r="N610" s="3" t="n"/>
      <c r="O610" s="4" t="n"/>
      <c r="P610" s="5" t="n"/>
      <c r="Q610" s="3" t="n"/>
      <c r="R610" s="4" t="n"/>
      <c r="S610" s="5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6">
        <f>IF(C610=0,0,IF(E610="",B610*D610/100,E610))</f>
        <v/>
      </c>
      <c r="AE610" s="6">
        <f>IF(F610=0,0,IF(H610="",B610*G610/100,H610))</f>
        <v/>
      </c>
      <c r="AF610" s="6">
        <f>IF(I610=0,0,IF(K610="",B610*J610/100,K610))</f>
        <v/>
      </c>
      <c r="AG610" s="6">
        <f>IF(L610=0,0,IF(N610="",B610*M610/100,N610))</f>
        <v/>
      </c>
      <c r="AH610" s="6">
        <f>IF(O610=0,0,IF(Q610="",B610*P610/100,Q610))</f>
        <v/>
      </c>
      <c r="AI610" s="6">
        <f>IF(R610=0,0,IF(T610="",B610*S610/100,T610))</f>
        <v/>
      </c>
      <c r="AJ610" s="6">
        <f>B610*0.035</f>
        <v/>
      </c>
      <c r="AK610" s="6">
        <f>B610*0.065</f>
        <v/>
      </c>
      <c r="AL610" s="6">
        <f>SUM(B610,AD610,AE610,AF610,AG610,AH610,AI610,U610,V610,AJ610,AK610)</f>
        <v/>
      </c>
      <c r="AM610" s="6">
        <f>B610*0.055</f>
        <v/>
      </c>
      <c r="AN610" s="6">
        <f>B610*0.035</f>
        <v/>
      </c>
      <c r="AO610" s="6">
        <f>B610*0.165</f>
        <v/>
      </c>
      <c r="AP610" s="6">
        <f>MAX(0,AL610-AM610-AO610)</f>
        <v/>
      </c>
      <c r="AQ610" s="6">
        <f>IF(AP610&lt;=490,0,IF(AP610&lt;=600,(AP610-490)*0.05,IF(AP610&lt;=730,5.5+(AP610-600)*0.10,IF(AP610&lt;=3896.67,18.5+(AP610-730)*0.175,IF(AP610&lt;=19896.67,572.67+(AP610-3896.67)*0.25,IF(AP610&lt;=50416.67,4572.67+(AP610-19896.67)*0.30,13728.67+(AP610-50416.67)*0.35))))))</f>
        <v/>
      </c>
      <c r="AR610" s="6">
        <f>SUM(AM610,AQ610,W610,X610,Y610,Z610,AA610,AN610,AO610)</f>
        <v/>
      </c>
      <c r="AS610" s="6">
        <f>AL610-AR610</f>
        <v/>
      </c>
      <c r="AT610" s="6">
        <f>AB610-AC610</f>
        <v/>
      </c>
    </row>
    <row r="611">
      <c r="A611" s="2" t="n"/>
      <c r="B611" s="3" t="n"/>
      <c r="C611" s="4" t="n"/>
      <c r="D611" s="5" t="n"/>
      <c r="E611" s="3" t="n"/>
      <c r="F611" s="4" t="n"/>
      <c r="G611" s="5" t="n"/>
      <c r="H611" s="3" t="n"/>
      <c r="I611" s="4" t="n"/>
      <c r="J611" s="5" t="n"/>
      <c r="K611" s="3" t="n"/>
      <c r="L611" s="4" t="n"/>
      <c r="M611" s="5" t="n"/>
      <c r="N611" s="3" t="n"/>
      <c r="O611" s="4" t="n"/>
      <c r="P611" s="5" t="n"/>
      <c r="Q611" s="3" t="n"/>
      <c r="R611" s="4" t="n"/>
      <c r="S611" s="5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6">
        <f>IF(C611=0,0,IF(E611="",B611*D611/100,E611))</f>
        <v/>
      </c>
      <c r="AE611" s="6">
        <f>IF(F611=0,0,IF(H611="",B611*G611/100,H611))</f>
        <v/>
      </c>
      <c r="AF611" s="6">
        <f>IF(I611=0,0,IF(K611="",B611*J611/100,K611))</f>
        <v/>
      </c>
      <c r="AG611" s="6">
        <f>IF(L611=0,0,IF(N611="",B611*M611/100,N611))</f>
        <v/>
      </c>
      <c r="AH611" s="6">
        <f>IF(O611=0,0,IF(Q611="",B611*P611/100,Q611))</f>
        <v/>
      </c>
      <c r="AI611" s="6">
        <f>IF(R611=0,0,IF(T611="",B611*S611/100,T611))</f>
        <v/>
      </c>
      <c r="AJ611" s="6">
        <f>B611*0.035</f>
        <v/>
      </c>
      <c r="AK611" s="6">
        <f>B611*0.065</f>
        <v/>
      </c>
      <c r="AL611" s="6">
        <f>SUM(B611,AD611,AE611,AF611,AG611,AH611,AI611,U611,V611,AJ611,AK611)</f>
        <v/>
      </c>
      <c r="AM611" s="6">
        <f>B611*0.055</f>
        <v/>
      </c>
      <c r="AN611" s="6">
        <f>B611*0.035</f>
        <v/>
      </c>
      <c r="AO611" s="6">
        <f>B611*0.165</f>
        <v/>
      </c>
      <c r="AP611" s="6">
        <f>MAX(0,AL611-AM611-AO611)</f>
        <v/>
      </c>
      <c r="AQ611" s="6">
        <f>IF(AP611&lt;=490,0,IF(AP611&lt;=600,(AP611-490)*0.05,IF(AP611&lt;=730,5.5+(AP611-600)*0.10,IF(AP611&lt;=3896.67,18.5+(AP611-730)*0.175,IF(AP611&lt;=19896.67,572.67+(AP611-3896.67)*0.25,IF(AP611&lt;=50416.67,4572.67+(AP611-19896.67)*0.30,13728.67+(AP611-50416.67)*0.35))))))</f>
        <v/>
      </c>
      <c r="AR611" s="6">
        <f>SUM(AM611,AQ611,W611,X611,Y611,Z611,AA611,AN611,AO611)</f>
        <v/>
      </c>
      <c r="AS611" s="6">
        <f>AL611-AR611</f>
        <v/>
      </c>
      <c r="AT611" s="6">
        <f>AB611-AC611</f>
        <v/>
      </c>
    </row>
    <row r="612">
      <c r="A612" s="2" t="n"/>
      <c r="B612" s="3" t="n"/>
      <c r="C612" s="4" t="n"/>
      <c r="D612" s="5" t="n"/>
      <c r="E612" s="3" t="n"/>
      <c r="F612" s="4" t="n"/>
      <c r="G612" s="5" t="n"/>
      <c r="H612" s="3" t="n"/>
      <c r="I612" s="4" t="n"/>
      <c r="J612" s="5" t="n"/>
      <c r="K612" s="3" t="n"/>
      <c r="L612" s="4" t="n"/>
      <c r="M612" s="5" t="n"/>
      <c r="N612" s="3" t="n"/>
      <c r="O612" s="4" t="n"/>
      <c r="P612" s="5" t="n"/>
      <c r="Q612" s="3" t="n"/>
      <c r="R612" s="4" t="n"/>
      <c r="S612" s="5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6">
        <f>IF(C612=0,0,IF(E612="",B612*D612/100,E612))</f>
        <v/>
      </c>
      <c r="AE612" s="6">
        <f>IF(F612=0,0,IF(H612="",B612*G612/100,H612))</f>
        <v/>
      </c>
      <c r="AF612" s="6">
        <f>IF(I612=0,0,IF(K612="",B612*J612/100,K612))</f>
        <v/>
      </c>
      <c r="AG612" s="6">
        <f>IF(L612=0,0,IF(N612="",B612*M612/100,N612))</f>
        <v/>
      </c>
      <c r="AH612" s="6">
        <f>IF(O612=0,0,IF(Q612="",B612*P612/100,Q612))</f>
        <v/>
      </c>
      <c r="AI612" s="6">
        <f>IF(R612=0,0,IF(T612="",B612*S612/100,T612))</f>
        <v/>
      </c>
      <c r="AJ612" s="6">
        <f>B612*0.035</f>
        <v/>
      </c>
      <c r="AK612" s="6">
        <f>B612*0.065</f>
        <v/>
      </c>
      <c r="AL612" s="6">
        <f>SUM(B612,AD612,AE612,AF612,AG612,AH612,AI612,U612,V612,AJ612,AK612)</f>
        <v/>
      </c>
      <c r="AM612" s="6">
        <f>B612*0.055</f>
        <v/>
      </c>
      <c r="AN612" s="6">
        <f>B612*0.035</f>
        <v/>
      </c>
      <c r="AO612" s="6">
        <f>B612*0.165</f>
        <v/>
      </c>
      <c r="AP612" s="6">
        <f>MAX(0,AL612-AM612-AO612)</f>
        <v/>
      </c>
      <c r="AQ612" s="6">
        <f>IF(AP612&lt;=490,0,IF(AP612&lt;=600,(AP612-490)*0.05,IF(AP612&lt;=730,5.5+(AP612-600)*0.10,IF(AP612&lt;=3896.67,18.5+(AP612-730)*0.175,IF(AP612&lt;=19896.67,572.67+(AP612-3896.67)*0.25,IF(AP612&lt;=50416.67,4572.67+(AP612-19896.67)*0.30,13728.67+(AP612-50416.67)*0.35))))))</f>
        <v/>
      </c>
      <c r="AR612" s="6">
        <f>SUM(AM612,AQ612,W612,X612,Y612,Z612,AA612,AN612,AO612)</f>
        <v/>
      </c>
      <c r="AS612" s="6">
        <f>AL612-AR612</f>
        <v/>
      </c>
      <c r="AT612" s="6">
        <f>AB612-AC612</f>
        <v/>
      </c>
    </row>
    <row r="613">
      <c r="A613" s="2" t="n"/>
      <c r="B613" s="3" t="n"/>
      <c r="C613" s="4" t="n"/>
      <c r="D613" s="5" t="n"/>
      <c r="E613" s="3" t="n"/>
      <c r="F613" s="4" t="n"/>
      <c r="G613" s="5" t="n"/>
      <c r="H613" s="3" t="n"/>
      <c r="I613" s="4" t="n"/>
      <c r="J613" s="5" t="n"/>
      <c r="K613" s="3" t="n"/>
      <c r="L613" s="4" t="n"/>
      <c r="M613" s="5" t="n"/>
      <c r="N613" s="3" t="n"/>
      <c r="O613" s="4" t="n"/>
      <c r="P613" s="5" t="n"/>
      <c r="Q613" s="3" t="n"/>
      <c r="R613" s="4" t="n"/>
      <c r="S613" s="5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6">
        <f>IF(C613=0,0,IF(E613="",B613*D613/100,E613))</f>
        <v/>
      </c>
      <c r="AE613" s="6">
        <f>IF(F613=0,0,IF(H613="",B613*G613/100,H613))</f>
        <v/>
      </c>
      <c r="AF613" s="6">
        <f>IF(I613=0,0,IF(K613="",B613*J613/100,K613))</f>
        <v/>
      </c>
      <c r="AG613" s="6">
        <f>IF(L613=0,0,IF(N613="",B613*M613/100,N613))</f>
        <v/>
      </c>
      <c r="AH613" s="6">
        <f>IF(O613=0,0,IF(Q613="",B613*P613/100,Q613))</f>
        <v/>
      </c>
      <c r="AI613" s="6">
        <f>IF(R613=0,0,IF(T613="",B613*S613/100,T613))</f>
        <v/>
      </c>
      <c r="AJ613" s="6">
        <f>B613*0.035</f>
        <v/>
      </c>
      <c r="AK613" s="6">
        <f>B613*0.065</f>
        <v/>
      </c>
      <c r="AL613" s="6">
        <f>SUM(B613,AD613,AE613,AF613,AG613,AH613,AI613,U613,V613,AJ613,AK613)</f>
        <v/>
      </c>
      <c r="AM613" s="6">
        <f>B613*0.055</f>
        <v/>
      </c>
      <c r="AN613" s="6">
        <f>B613*0.035</f>
        <v/>
      </c>
      <c r="AO613" s="6">
        <f>B613*0.165</f>
        <v/>
      </c>
      <c r="AP613" s="6">
        <f>MAX(0,AL613-AM613-AO613)</f>
        <v/>
      </c>
      <c r="AQ613" s="6">
        <f>IF(AP613&lt;=490,0,IF(AP613&lt;=600,(AP613-490)*0.05,IF(AP613&lt;=730,5.5+(AP613-600)*0.10,IF(AP613&lt;=3896.67,18.5+(AP613-730)*0.175,IF(AP613&lt;=19896.67,572.67+(AP613-3896.67)*0.25,IF(AP613&lt;=50416.67,4572.67+(AP613-19896.67)*0.30,13728.67+(AP613-50416.67)*0.35))))))</f>
        <v/>
      </c>
      <c r="AR613" s="6">
        <f>SUM(AM613,AQ613,W613,X613,Y613,Z613,AA613,AN613,AO613)</f>
        <v/>
      </c>
      <c r="AS613" s="6">
        <f>AL613-AR613</f>
        <v/>
      </c>
      <c r="AT613" s="6">
        <f>AB613-AC613</f>
        <v/>
      </c>
    </row>
    <row r="614">
      <c r="A614" s="2" t="n"/>
      <c r="B614" s="3" t="n"/>
      <c r="C614" s="4" t="n"/>
      <c r="D614" s="5" t="n"/>
      <c r="E614" s="3" t="n"/>
      <c r="F614" s="4" t="n"/>
      <c r="G614" s="5" t="n"/>
      <c r="H614" s="3" t="n"/>
      <c r="I614" s="4" t="n"/>
      <c r="J614" s="5" t="n"/>
      <c r="K614" s="3" t="n"/>
      <c r="L614" s="4" t="n"/>
      <c r="M614" s="5" t="n"/>
      <c r="N614" s="3" t="n"/>
      <c r="O614" s="4" t="n"/>
      <c r="P614" s="5" t="n"/>
      <c r="Q614" s="3" t="n"/>
      <c r="R614" s="4" t="n"/>
      <c r="S614" s="5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6">
        <f>IF(C614=0,0,IF(E614="",B614*D614/100,E614))</f>
        <v/>
      </c>
      <c r="AE614" s="6">
        <f>IF(F614=0,0,IF(H614="",B614*G614/100,H614))</f>
        <v/>
      </c>
      <c r="AF614" s="6">
        <f>IF(I614=0,0,IF(K614="",B614*J614/100,K614))</f>
        <v/>
      </c>
      <c r="AG614" s="6">
        <f>IF(L614=0,0,IF(N614="",B614*M614/100,N614))</f>
        <v/>
      </c>
      <c r="AH614" s="6">
        <f>IF(O614=0,0,IF(Q614="",B614*P614/100,Q614))</f>
        <v/>
      </c>
      <c r="AI614" s="6">
        <f>IF(R614=0,0,IF(T614="",B614*S614/100,T614))</f>
        <v/>
      </c>
      <c r="AJ614" s="6">
        <f>B614*0.035</f>
        <v/>
      </c>
      <c r="AK614" s="6">
        <f>B614*0.065</f>
        <v/>
      </c>
      <c r="AL614" s="6">
        <f>SUM(B614,AD614,AE614,AF614,AG614,AH614,AI614,U614,V614,AJ614,AK614)</f>
        <v/>
      </c>
      <c r="AM614" s="6">
        <f>B614*0.055</f>
        <v/>
      </c>
      <c r="AN614" s="6">
        <f>B614*0.035</f>
        <v/>
      </c>
      <c r="AO614" s="6">
        <f>B614*0.165</f>
        <v/>
      </c>
      <c r="AP614" s="6">
        <f>MAX(0,AL614-AM614-AO614)</f>
        <v/>
      </c>
      <c r="AQ614" s="6">
        <f>IF(AP614&lt;=490,0,IF(AP614&lt;=600,(AP614-490)*0.05,IF(AP614&lt;=730,5.5+(AP614-600)*0.10,IF(AP614&lt;=3896.67,18.5+(AP614-730)*0.175,IF(AP614&lt;=19896.67,572.67+(AP614-3896.67)*0.25,IF(AP614&lt;=50416.67,4572.67+(AP614-19896.67)*0.30,13728.67+(AP614-50416.67)*0.35))))))</f>
        <v/>
      </c>
      <c r="AR614" s="6">
        <f>SUM(AM614,AQ614,W614,X614,Y614,Z614,AA614,AN614,AO614)</f>
        <v/>
      </c>
      <c r="AS614" s="6">
        <f>AL614-AR614</f>
        <v/>
      </c>
      <c r="AT614" s="6">
        <f>AB614-AC614</f>
        <v/>
      </c>
    </row>
    <row r="615">
      <c r="A615" s="2" t="n"/>
      <c r="B615" s="3" t="n"/>
      <c r="C615" s="4" t="n"/>
      <c r="D615" s="5" t="n"/>
      <c r="E615" s="3" t="n"/>
      <c r="F615" s="4" t="n"/>
      <c r="G615" s="5" t="n"/>
      <c r="H615" s="3" t="n"/>
      <c r="I615" s="4" t="n"/>
      <c r="J615" s="5" t="n"/>
      <c r="K615" s="3" t="n"/>
      <c r="L615" s="4" t="n"/>
      <c r="M615" s="5" t="n"/>
      <c r="N615" s="3" t="n"/>
      <c r="O615" s="4" t="n"/>
      <c r="P615" s="5" t="n"/>
      <c r="Q615" s="3" t="n"/>
      <c r="R615" s="4" t="n"/>
      <c r="S615" s="5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6">
        <f>IF(C615=0,0,IF(E615="",B615*D615/100,E615))</f>
        <v/>
      </c>
      <c r="AE615" s="6">
        <f>IF(F615=0,0,IF(H615="",B615*G615/100,H615))</f>
        <v/>
      </c>
      <c r="AF615" s="6">
        <f>IF(I615=0,0,IF(K615="",B615*J615/100,K615))</f>
        <v/>
      </c>
      <c r="AG615" s="6">
        <f>IF(L615=0,0,IF(N615="",B615*M615/100,N615))</f>
        <v/>
      </c>
      <c r="AH615" s="6">
        <f>IF(O615=0,0,IF(Q615="",B615*P615/100,Q615))</f>
        <v/>
      </c>
      <c r="AI615" s="6">
        <f>IF(R615=0,0,IF(T615="",B615*S615/100,T615))</f>
        <v/>
      </c>
      <c r="AJ615" s="6">
        <f>B615*0.035</f>
        <v/>
      </c>
      <c r="AK615" s="6">
        <f>B615*0.065</f>
        <v/>
      </c>
      <c r="AL615" s="6">
        <f>SUM(B615,AD615,AE615,AF615,AG615,AH615,AI615,U615,V615,AJ615,AK615)</f>
        <v/>
      </c>
      <c r="AM615" s="6">
        <f>B615*0.055</f>
        <v/>
      </c>
      <c r="AN615" s="6">
        <f>B615*0.035</f>
        <v/>
      </c>
      <c r="AO615" s="6">
        <f>B615*0.165</f>
        <v/>
      </c>
      <c r="AP615" s="6">
        <f>MAX(0,AL615-AM615-AO615)</f>
        <v/>
      </c>
      <c r="AQ615" s="6">
        <f>IF(AP615&lt;=490,0,IF(AP615&lt;=600,(AP615-490)*0.05,IF(AP615&lt;=730,5.5+(AP615-600)*0.10,IF(AP615&lt;=3896.67,18.5+(AP615-730)*0.175,IF(AP615&lt;=19896.67,572.67+(AP615-3896.67)*0.25,IF(AP615&lt;=50416.67,4572.67+(AP615-19896.67)*0.30,13728.67+(AP615-50416.67)*0.35))))))</f>
        <v/>
      </c>
      <c r="AR615" s="6">
        <f>SUM(AM615,AQ615,W615,X615,Y615,Z615,AA615,AN615,AO615)</f>
        <v/>
      </c>
      <c r="AS615" s="6">
        <f>AL615-AR615</f>
        <v/>
      </c>
      <c r="AT615" s="6">
        <f>AB615-AC615</f>
        <v/>
      </c>
    </row>
    <row r="616">
      <c r="A616" s="2" t="n"/>
      <c r="B616" s="3" t="n"/>
      <c r="C616" s="4" t="n"/>
      <c r="D616" s="5" t="n"/>
      <c r="E616" s="3" t="n"/>
      <c r="F616" s="4" t="n"/>
      <c r="G616" s="5" t="n"/>
      <c r="H616" s="3" t="n"/>
      <c r="I616" s="4" t="n"/>
      <c r="J616" s="5" t="n"/>
      <c r="K616" s="3" t="n"/>
      <c r="L616" s="4" t="n"/>
      <c r="M616" s="5" t="n"/>
      <c r="N616" s="3" t="n"/>
      <c r="O616" s="4" t="n"/>
      <c r="P616" s="5" t="n"/>
      <c r="Q616" s="3" t="n"/>
      <c r="R616" s="4" t="n"/>
      <c r="S616" s="5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6">
        <f>IF(C616=0,0,IF(E616="",B616*D616/100,E616))</f>
        <v/>
      </c>
      <c r="AE616" s="6">
        <f>IF(F616=0,0,IF(H616="",B616*G616/100,H616))</f>
        <v/>
      </c>
      <c r="AF616" s="6">
        <f>IF(I616=0,0,IF(K616="",B616*J616/100,K616))</f>
        <v/>
      </c>
      <c r="AG616" s="6">
        <f>IF(L616=0,0,IF(N616="",B616*M616/100,N616))</f>
        <v/>
      </c>
      <c r="AH616" s="6">
        <f>IF(O616=0,0,IF(Q616="",B616*P616/100,Q616))</f>
        <v/>
      </c>
      <c r="AI616" s="6">
        <f>IF(R616=0,0,IF(T616="",B616*S616/100,T616))</f>
        <v/>
      </c>
      <c r="AJ616" s="6">
        <f>B616*0.035</f>
        <v/>
      </c>
      <c r="AK616" s="6">
        <f>B616*0.065</f>
        <v/>
      </c>
      <c r="AL616" s="6">
        <f>SUM(B616,AD616,AE616,AF616,AG616,AH616,AI616,U616,V616,AJ616,AK616)</f>
        <v/>
      </c>
      <c r="AM616" s="6">
        <f>B616*0.055</f>
        <v/>
      </c>
      <c r="AN616" s="6">
        <f>B616*0.035</f>
        <v/>
      </c>
      <c r="AO616" s="6">
        <f>B616*0.165</f>
        <v/>
      </c>
      <c r="AP616" s="6">
        <f>MAX(0,AL616-AM616-AO616)</f>
        <v/>
      </c>
      <c r="AQ616" s="6">
        <f>IF(AP616&lt;=490,0,IF(AP616&lt;=600,(AP616-490)*0.05,IF(AP616&lt;=730,5.5+(AP616-600)*0.10,IF(AP616&lt;=3896.67,18.5+(AP616-730)*0.175,IF(AP616&lt;=19896.67,572.67+(AP616-3896.67)*0.25,IF(AP616&lt;=50416.67,4572.67+(AP616-19896.67)*0.30,13728.67+(AP616-50416.67)*0.35))))))</f>
        <v/>
      </c>
      <c r="AR616" s="6">
        <f>SUM(AM616,AQ616,W616,X616,Y616,Z616,AA616,AN616,AO616)</f>
        <v/>
      </c>
      <c r="AS616" s="6">
        <f>AL616-AR616</f>
        <v/>
      </c>
      <c r="AT616" s="6">
        <f>AB616-AC616</f>
        <v/>
      </c>
    </row>
    <row r="617">
      <c r="A617" s="2" t="n"/>
      <c r="B617" s="3" t="n"/>
      <c r="C617" s="4" t="n"/>
      <c r="D617" s="5" t="n"/>
      <c r="E617" s="3" t="n"/>
      <c r="F617" s="4" t="n"/>
      <c r="G617" s="5" t="n"/>
      <c r="H617" s="3" t="n"/>
      <c r="I617" s="4" t="n"/>
      <c r="J617" s="5" t="n"/>
      <c r="K617" s="3" t="n"/>
      <c r="L617" s="4" t="n"/>
      <c r="M617" s="5" t="n"/>
      <c r="N617" s="3" t="n"/>
      <c r="O617" s="4" t="n"/>
      <c r="P617" s="5" t="n"/>
      <c r="Q617" s="3" t="n"/>
      <c r="R617" s="4" t="n"/>
      <c r="S617" s="5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6">
        <f>IF(C617=0,0,IF(E617="",B617*D617/100,E617))</f>
        <v/>
      </c>
      <c r="AE617" s="6">
        <f>IF(F617=0,0,IF(H617="",B617*G617/100,H617))</f>
        <v/>
      </c>
      <c r="AF617" s="6">
        <f>IF(I617=0,0,IF(K617="",B617*J617/100,K617))</f>
        <v/>
      </c>
      <c r="AG617" s="6">
        <f>IF(L617=0,0,IF(N617="",B617*M617/100,N617))</f>
        <v/>
      </c>
      <c r="AH617" s="6">
        <f>IF(O617=0,0,IF(Q617="",B617*P617/100,Q617))</f>
        <v/>
      </c>
      <c r="AI617" s="6">
        <f>IF(R617=0,0,IF(T617="",B617*S617/100,T617))</f>
        <v/>
      </c>
      <c r="AJ617" s="6">
        <f>B617*0.035</f>
        <v/>
      </c>
      <c r="AK617" s="6">
        <f>B617*0.065</f>
        <v/>
      </c>
      <c r="AL617" s="6">
        <f>SUM(B617,AD617,AE617,AF617,AG617,AH617,AI617,U617,V617,AJ617,AK617)</f>
        <v/>
      </c>
      <c r="AM617" s="6">
        <f>B617*0.055</f>
        <v/>
      </c>
      <c r="AN617" s="6">
        <f>B617*0.035</f>
        <v/>
      </c>
      <c r="AO617" s="6">
        <f>B617*0.165</f>
        <v/>
      </c>
      <c r="AP617" s="6">
        <f>MAX(0,AL617-AM617-AO617)</f>
        <v/>
      </c>
      <c r="AQ617" s="6">
        <f>IF(AP617&lt;=490,0,IF(AP617&lt;=600,(AP617-490)*0.05,IF(AP617&lt;=730,5.5+(AP617-600)*0.10,IF(AP617&lt;=3896.67,18.5+(AP617-730)*0.175,IF(AP617&lt;=19896.67,572.67+(AP617-3896.67)*0.25,IF(AP617&lt;=50416.67,4572.67+(AP617-19896.67)*0.30,13728.67+(AP617-50416.67)*0.35))))))</f>
        <v/>
      </c>
      <c r="AR617" s="6">
        <f>SUM(AM617,AQ617,W617,X617,Y617,Z617,AA617,AN617,AO617)</f>
        <v/>
      </c>
      <c r="AS617" s="6">
        <f>AL617-AR617</f>
        <v/>
      </c>
      <c r="AT617" s="6">
        <f>AB617-AC617</f>
        <v/>
      </c>
    </row>
    <row r="618">
      <c r="A618" s="2" t="n"/>
      <c r="B618" s="3" t="n"/>
      <c r="C618" s="4" t="n"/>
      <c r="D618" s="5" t="n"/>
      <c r="E618" s="3" t="n"/>
      <c r="F618" s="4" t="n"/>
      <c r="G618" s="5" t="n"/>
      <c r="H618" s="3" t="n"/>
      <c r="I618" s="4" t="n"/>
      <c r="J618" s="5" t="n"/>
      <c r="K618" s="3" t="n"/>
      <c r="L618" s="4" t="n"/>
      <c r="M618" s="5" t="n"/>
      <c r="N618" s="3" t="n"/>
      <c r="O618" s="4" t="n"/>
      <c r="P618" s="5" t="n"/>
      <c r="Q618" s="3" t="n"/>
      <c r="R618" s="4" t="n"/>
      <c r="S618" s="5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6">
        <f>IF(C618=0,0,IF(E618="",B618*D618/100,E618))</f>
        <v/>
      </c>
      <c r="AE618" s="6">
        <f>IF(F618=0,0,IF(H618="",B618*G618/100,H618))</f>
        <v/>
      </c>
      <c r="AF618" s="6">
        <f>IF(I618=0,0,IF(K618="",B618*J618/100,K618))</f>
        <v/>
      </c>
      <c r="AG618" s="6">
        <f>IF(L618=0,0,IF(N618="",B618*M618/100,N618))</f>
        <v/>
      </c>
      <c r="AH618" s="6">
        <f>IF(O618=0,0,IF(Q618="",B618*P618/100,Q618))</f>
        <v/>
      </c>
      <c r="AI618" s="6">
        <f>IF(R618=0,0,IF(T618="",B618*S618/100,T618))</f>
        <v/>
      </c>
      <c r="AJ618" s="6">
        <f>B618*0.035</f>
        <v/>
      </c>
      <c r="AK618" s="6">
        <f>B618*0.065</f>
        <v/>
      </c>
      <c r="AL618" s="6">
        <f>SUM(B618,AD618,AE618,AF618,AG618,AH618,AI618,U618,V618,AJ618,AK618)</f>
        <v/>
      </c>
      <c r="AM618" s="6">
        <f>B618*0.055</f>
        <v/>
      </c>
      <c r="AN618" s="6">
        <f>B618*0.035</f>
        <v/>
      </c>
      <c r="AO618" s="6">
        <f>B618*0.165</f>
        <v/>
      </c>
      <c r="AP618" s="6">
        <f>MAX(0,AL618-AM618-AO618)</f>
        <v/>
      </c>
      <c r="AQ618" s="6">
        <f>IF(AP618&lt;=490,0,IF(AP618&lt;=600,(AP618-490)*0.05,IF(AP618&lt;=730,5.5+(AP618-600)*0.10,IF(AP618&lt;=3896.67,18.5+(AP618-730)*0.175,IF(AP618&lt;=19896.67,572.67+(AP618-3896.67)*0.25,IF(AP618&lt;=50416.67,4572.67+(AP618-19896.67)*0.30,13728.67+(AP618-50416.67)*0.35))))))</f>
        <v/>
      </c>
      <c r="AR618" s="6">
        <f>SUM(AM618,AQ618,W618,X618,Y618,Z618,AA618,AN618,AO618)</f>
        <v/>
      </c>
      <c r="AS618" s="6">
        <f>AL618-AR618</f>
        <v/>
      </c>
      <c r="AT618" s="6">
        <f>AB618-AC618</f>
        <v/>
      </c>
    </row>
    <row r="619">
      <c r="A619" s="2" t="n"/>
      <c r="B619" s="3" t="n"/>
      <c r="C619" s="4" t="n"/>
      <c r="D619" s="5" t="n"/>
      <c r="E619" s="3" t="n"/>
      <c r="F619" s="4" t="n"/>
      <c r="G619" s="5" t="n"/>
      <c r="H619" s="3" t="n"/>
      <c r="I619" s="4" t="n"/>
      <c r="J619" s="5" t="n"/>
      <c r="K619" s="3" t="n"/>
      <c r="L619" s="4" t="n"/>
      <c r="M619" s="5" t="n"/>
      <c r="N619" s="3" t="n"/>
      <c r="O619" s="4" t="n"/>
      <c r="P619" s="5" t="n"/>
      <c r="Q619" s="3" t="n"/>
      <c r="R619" s="4" t="n"/>
      <c r="S619" s="5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6">
        <f>IF(C619=0,0,IF(E619="",B619*D619/100,E619))</f>
        <v/>
      </c>
      <c r="AE619" s="6">
        <f>IF(F619=0,0,IF(H619="",B619*G619/100,H619))</f>
        <v/>
      </c>
      <c r="AF619" s="6">
        <f>IF(I619=0,0,IF(K619="",B619*J619/100,K619))</f>
        <v/>
      </c>
      <c r="AG619" s="6">
        <f>IF(L619=0,0,IF(N619="",B619*M619/100,N619))</f>
        <v/>
      </c>
      <c r="AH619" s="6">
        <f>IF(O619=0,0,IF(Q619="",B619*P619/100,Q619))</f>
        <v/>
      </c>
      <c r="AI619" s="6">
        <f>IF(R619=0,0,IF(T619="",B619*S619/100,T619))</f>
        <v/>
      </c>
      <c r="AJ619" s="6">
        <f>B619*0.035</f>
        <v/>
      </c>
      <c r="AK619" s="6">
        <f>B619*0.065</f>
        <v/>
      </c>
      <c r="AL619" s="6">
        <f>SUM(B619,AD619,AE619,AF619,AG619,AH619,AI619,U619,V619,AJ619,AK619)</f>
        <v/>
      </c>
      <c r="AM619" s="6">
        <f>B619*0.055</f>
        <v/>
      </c>
      <c r="AN619" s="6">
        <f>B619*0.035</f>
        <v/>
      </c>
      <c r="AO619" s="6">
        <f>B619*0.165</f>
        <v/>
      </c>
      <c r="AP619" s="6">
        <f>MAX(0,AL619-AM619-AO619)</f>
        <v/>
      </c>
      <c r="AQ619" s="6">
        <f>IF(AP619&lt;=490,0,IF(AP619&lt;=600,(AP619-490)*0.05,IF(AP619&lt;=730,5.5+(AP619-600)*0.10,IF(AP619&lt;=3896.67,18.5+(AP619-730)*0.175,IF(AP619&lt;=19896.67,572.67+(AP619-3896.67)*0.25,IF(AP619&lt;=50416.67,4572.67+(AP619-19896.67)*0.30,13728.67+(AP619-50416.67)*0.35))))))</f>
        <v/>
      </c>
      <c r="AR619" s="6">
        <f>SUM(AM619,AQ619,W619,X619,Y619,Z619,AA619,AN619,AO619)</f>
        <v/>
      </c>
      <c r="AS619" s="6">
        <f>AL619-AR619</f>
        <v/>
      </c>
      <c r="AT619" s="6">
        <f>AB619-AC619</f>
        <v/>
      </c>
    </row>
    <row r="620">
      <c r="A620" s="2" t="n"/>
      <c r="B620" s="3" t="n"/>
      <c r="C620" s="4" t="n"/>
      <c r="D620" s="5" t="n"/>
      <c r="E620" s="3" t="n"/>
      <c r="F620" s="4" t="n"/>
      <c r="G620" s="5" t="n"/>
      <c r="H620" s="3" t="n"/>
      <c r="I620" s="4" t="n"/>
      <c r="J620" s="5" t="n"/>
      <c r="K620" s="3" t="n"/>
      <c r="L620" s="4" t="n"/>
      <c r="M620" s="5" t="n"/>
      <c r="N620" s="3" t="n"/>
      <c r="O620" s="4" t="n"/>
      <c r="P620" s="5" t="n"/>
      <c r="Q620" s="3" t="n"/>
      <c r="R620" s="4" t="n"/>
      <c r="S620" s="5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6">
        <f>IF(C620=0,0,IF(E620="",B620*D620/100,E620))</f>
        <v/>
      </c>
      <c r="AE620" s="6">
        <f>IF(F620=0,0,IF(H620="",B620*G620/100,H620))</f>
        <v/>
      </c>
      <c r="AF620" s="6">
        <f>IF(I620=0,0,IF(K620="",B620*J620/100,K620))</f>
        <v/>
      </c>
      <c r="AG620" s="6">
        <f>IF(L620=0,0,IF(N620="",B620*M620/100,N620))</f>
        <v/>
      </c>
      <c r="AH620" s="6">
        <f>IF(O620=0,0,IF(Q620="",B620*P620/100,Q620))</f>
        <v/>
      </c>
      <c r="AI620" s="6">
        <f>IF(R620=0,0,IF(T620="",B620*S620/100,T620))</f>
        <v/>
      </c>
      <c r="AJ620" s="6">
        <f>B620*0.035</f>
        <v/>
      </c>
      <c r="AK620" s="6">
        <f>B620*0.065</f>
        <v/>
      </c>
      <c r="AL620" s="6">
        <f>SUM(B620,AD620,AE620,AF620,AG620,AH620,AI620,U620,V620,AJ620,AK620)</f>
        <v/>
      </c>
      <c r="AM620" s="6">
        <f>B620*0.055</f>
        <v/>
      </c>
      <c r="AN620" s="6">
        <f>B620*0.035</f>
        <v/>
      </c>
      <c r="AO620" s="6">
        <f>B620*0.165</f>
        <v/>
      </c>
      <c r="AP620" s="6">
        <f>MAX(0,AL620-AM620-AO620)</f>
        <v/>
      </c>
      <c r="AQ620" s="6">
        <f>IF(AP620&lt;=490,0,IF(AP620&lt;=600,(AP620-490)*0.05,IF(AP620&lt;=730,5.5+(AP620-600)*0.10,IF(AP620&lt;=3896.67,18.5+(AP620-730)*0.175,IF(AP620&lt;=19896.67,572.67+(AP620-3896.67)*0.25,IF(AP620&lt;=50416.67,4572.67+(AP620-19896.67)*0.30,13728.67+(AP620-50416.67)*0.35))))))</f>
        <v/>
      </c>
      <c r="AR620" s="6">
        <f>SUM(AM620,AQ620,W620,X620,Y620,Z620,AA620,AN620,AO620)</f>
        <v/>
      </c>
      <c r="AS620" s="6">
        <f>AL620-AR620</f>
        <v/>
      </c>
      <c r="AT620" s="6">
        <f>AB620-AC620</f>
        <v/>
      </c>
    </row>
    <row r="621">
      <c r="A621" s="2" t="n"/>
      <c r="B621" s="3" t="n"/>
      <c r="C621" s="4" t="n"/>
      <c r="D621" s="5" t="n"/>
      <c r="E621" s="3" t="n"/>
      <c r="F621" s="4" t="n"/>
      <c r="G621" s="5" t="n"/>
      <c r="H621" s="3" t="n"/>
      <c r="I621" s="4" t="n"/>
      <c r="J621" s="5" t="n"/>
      <c r="K621" s="3" t="n"/>
      <c r="L621" s="4" t="n"/>
      <c r="M621" s="5" t="n"/>
      <c r="N621" s="3" t="n"/>
      <c r="O621" s="4" t="n"/>
      <c r="P621" s="5" t="n"/>
      <c r="Q621" s="3" t="n"/>
      <c r="R621" s="4" t="n"/>
      <c r="S621" s="5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6">
        <f>IF(C621=0,0,IF(E621="",B621*D621/100,E621))</f>
        <v/>
      </c>
      <c r="AE621" s="6">
        <f>IF(F621=0,0,IF(H621="",B621*G621/100,H621))</f>
        <v/>
      </c>
      <c r="AF621" s="6">
        <f>IF(I621=0,0,IF(K621="",B621*J621/100,K621))</f>
        <v/>
      </c>
      <c r="AG621" s="6">
        <f>IF(L621=0,0,IF(N621="",B621*M621/100,N621))</f>
        <v/>
      </c>
      <c r="AH621" s="6">
        <f>IF(O621=0,0,IF(Q621="",B621*P621/100,Q621))</f>
        <v/>
      </c>
      <c r="AI621" s="6">
        <f>IF(R621=0,0,IF(T621="",B621*S621/100,T621))</f>
        <v/>
      </c>
      <c r="AJ621" s="6">
        <f>B621*0.035</f>
        <v/>
      </c>
      <c r="AK621" s="6">
        <f>B621*0.065</f>
        <v/>
      </c>
      <c r="AL621" s="6">
        <f>SUM(B621,AD621,AE621,AF621,AG621,AH621,AI621,U621,V621,AJ621,AK621)</f>
        <v/>
      </c>
      <c r="AM621" s="6">
        <f>B621*0.055</f>
        <v/>
      </c>
      <c r="AN621" s="6">
        <f>B621*0.035</f>
        <v/>
      </c>
      <c r="AO621" s="6">
        <f>B621*0.165</f>
        <v/>
      </c>
      <c r="AP621" s="6">
        <f>MAX(0,AL621-AM621-AO621)</f>
        <v/>
      </c>
      <c r="AQ621" s="6">
        <f>IF(AP621&lt;=490,0,IF(AP621&lt;=600,(AP621-490)*0.05,IF(AP621&lt;=730,5.5+(AP621-600)*0.10,IF(AP621&lt;=3896.67,18.5+(AP621-730)*0.175,IF(AP621&lt;=19896.67,572.67+(AP621-3896.67)*0.25,IF(AP621&lt;=50416.67,4572.67+(AP621-19896.67)*0.30,13728.67+(AP621-50416.67)*0.35))))))</f>
        <v/>
      </c>
      <c r="AR621" s="6">
        <f>SUM(AM621,AQ621,W621,X621,Y621,Z621,AA621,AN621,AO621)</f>
        <v/>
      </c>
      <c r="AS621" s="6">
        <f>AL621-AR621</f>
        <v/>
      </c>
      <c r="AT621" s="6">
        <f>AB621-AC621</f>
        <v/>
      </c>
    </row>
    <row r="622">
      <c r="A622" s="2" t="n"/>
      <c r="B622" s="3" t="n"/>
      <c r="C622" s="4" t="n"/>
      <c r="D622" s="5" t="n"/>
      <c r="E622" s="3" t="n"/>
      <c r="F622" s="4" t="n"/>
      <c r="G622" s="5" t="n"/>
      <c r="H622" s="3" t="n"/>
      <c r="I622" s="4" t="n"/>
      <c r="J622" s="5" t="n"/>
      <c r="K622" s="3" t="n"/>
      <c r="L622" s="4" t="n"/>
      <c r="M622" s="5" t="n"/>
      <c r="N622" s="3" t="n"/>
      <c r="O622" s="4" t="n"/>
      <c r="P622" s="5" t="n"/>
      <c r="Q622" s="3" t="n"/>
      <c r="R622" s="4" t="n"/>
      <c r="S622" s="5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6">
        <f>IF(C622=0,0,IF(E622="",B622*D622/100,E622))</f>
        <v/>
      </c>
      <c r="AE622" s="6">
        <f>IF(F622=0,0,IF(H622="",B622*G622/100,H622))</f>
        <v/>
      </c>
      <c r="AF622" s="6">
        <f>IF(I622=0,0,IF(K622="",B622*J622/100,K622))</f>
        <v/>
      </c>
      <c r="AG622" s="6">
        <f>IF(L622=0,0,IF(N622="",B622*M622/100,N622))</f>
        <v/>
      </c>
      <c r="AH622" s="6">
        <f>IF(O622=0,0,IF(Q622="",B622*P622/100,Q622))</f>
        <v/>
      </c>
      <c r="AI622" s="6">
        <f>IF(R622=0,0,IF(T622="",B622*S622/100,T622))</f>
        <v/>
      </c>
      <c r="AJ622" s="6">
        <f>B622*0.035</f>
        <v/>
      </c>
      <c r="AK622" s="6">
        <f>B622*0.065</f>
        <v/>
      </c>
      <c r="AL622" s="6">
        <f>SUM(B622,AD622,AE622,AF622,AG622,AH622,AI622,U622,V622,AJ622,AK622)</f>
        <v/>
      </c>
      <c r="AM622" s="6">
        <f>B622*0.055</f>
        <v/>
      </c>
      <c r="AN622" s="6">
        <f>B622*0.035</f>
        <v/>
      </c>
      <c r="AO622" s="6">
        <f>B622*0.165</f>
        <v/>
      </c>
      <c r="AP622" s="6">
        <f>MAX(0,AL622-AM622-AO622)</f>
        <v/>
      </c>
      <c r="AQ622" s="6">
        <f>IF(AP622&lt;=490,0,IF(AP622&lt;=600,(AP622-490)*0.05,IF(AP622&lt;=730,5.5+(AP622-600)*0.10,IF(AP622&lt;=3896.67,18.5+(AP622-730)*0.175,IF(AP622&lt;=19896.67,572.67+(AP622-3896.67)*0.25,IF(AP622&lt;=50416.67,4572.67+(AP622-19896.67)*0.30,13728.67+(AP622-50416.67)*0.35))))))</f>
        <v/>
      </c>
      <c r="AR622" s="6">
        <f>SUM(AM622,AQ622,W622,X622,Y622,Z622,AA622,AN622,AO622)</f>
        <v/>
      </c>
      <c r="AS622" s="6">
        <f>AL622-AR622</f>
        <v/>
      </c>
      <c r="AT622" s="6">
        <f>AB622-AC622</f>
        <v/>
      </c>
    </row>
    <row r="623">
      <c r="A623" s="2" t="n"/>
      <c r="B623" s="3" t="n"/>
      <c r="C623" s="4" t="n"/>
      <c r="D623" s="5" t="n"/>
      <c r="E623" s="3" t="n"/>
      <c r="F623" s="4" t="n"/>
      <c r="G623" s="5" t="n"/>
      <c r="H623" s="3" t="n"/>
      <c r="I623" s="4" t="n"/>
      <c r="J623" s="5" t="n"/>
      <c r="K623" s="3" t="n"/>
      <c r="L623" s="4" t="n"/>
      <c r="M623" s="5" t="n"/>
      <c r="N623" s="3" t="n"/>
      <c r="O623" s="4" t="n"/>
      <c r="P623" s="5" t="n"/>
      <c r="Q623" s="3" t="n"/>
      <c r="R623" s="4" t="n"/>
      <c r="S623" s="5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6">
        <f>IF(C623=0,0,IF(E623="",B623*D623/100,E623))</f>
        <v/>
      </c>
      <c r="AE623" s="6">
        <f>IF(F623=0,0,IF(H623="",B623*G623/100,H623))</f>
        <v/>
      </c>
      <c r="AF623" s="6">
        <f>IF(I623=0,0,IF(K623="",B623*J623/100,K623))</f>
        <v/>
      </c>
      <c r="AG623" s="6">
        <f>IF(L623=0,0,IF(N623="",B623*M623/100,N623))</f>
        <v/>
      </c>
      <c r="AH623" s="6">
        <f>IF(O623=0,0,IF(Q623="",B623*P623/100,Q623))</f>
        <v/>
      </c>
      <c r="AI623" s="6">
        <f>IF(R623=0,0,IF(T623="",B623*S623/100,T623))</f>
        <v/>
      </c>
      <c r="AJ623" s="6">
        <f>B623*0.035</f>
        <v/>
      </c>
      <c r="AK623" s="6">
        <f>B623*0.065</f>
        <v/>
      </c>
      <c r="AL623" s="6">
        <f>SUM(B623,AD623,AE623,AF623,AG623,AH623,AI623,U623,V623,AJ623,AK623)</f>
        <v/>
      </c>
      <c r="AM623" s="6">
        <f>B623*0.055</f>
        <v/>
      </c>
      <c r="AN623" s="6">
        <f>B623*0.035</f>
        <v/>
      </c>
      <c r="AO623" s="6">
        <f>B623*0.165</f>
        <v/>
      </c>
      <c r="AP623" s="6">
        <f>MAX(0,AL623-AM623-AO623)</f>
        <v/>
      </c>
      <c r="AQ623" s="6">
        <f>IF(AP623&lt;=490,0,IF(AP623&lt;=600,(AP623-490)*0.05,IF(AP623&lt;=730,5.5+(AP623-600)*0.10,IF(AP623&lt;=3896.67,18.5+(AP623-730)*0.175,IF(AP623&lt;=19896.67,572.67+(AP623-3896.67)*0.25,IF(AP623&lt;=50416.67,4572.67+(AP623-19896.67)*0.30,13728.67+(AP623-50416.67)*0.35))))))</f>
        <v/>
      </c>
      <c r="AR623" s="6">
        <f>SUM(AM623,AQ623,W623,X623,Y623,Z623,AA623,AN623,AO623)</f>
        <v/>
      </c>
      <c r="AS623" s="6">
        <f>AL623-AR623</f>
        <v/>
      </c>
      <c r="AT623" s="6">
        <f>AB623-AC623</f>
        <v/>
      </c>
    </row>
    <row r="624">
      <c r="A624" s="2" t="n"/>
      <c r="B624" s="3" t="n"/>
      <c r="C624" s="4" t="n"/>
      <c r="D624" s="5" t="n"/>
      <c r="E624" s="3" t="n"/>
      <c r="F624" s="4" t="n"/>
      <c r="G624" s="5" t="n"/>
      <c r="H624" s="3" t="n"/>
      <c r="I624" s="4" t="n"/>
      <c r="J624" s="5" t="n"/>
      <c r="K624" s="3" t="n"/>
      <c r="L624" s="4" t="n"/>
      <c r="M624" s="5" t="n"/>
      <c r="N624" s="3" t="n"/>
      <c r="O624" s="4" t="n"/>
      <c r="P624" s="5" t="n"/>
      <c r="Q624" s="3" t="n"/>
      <c r="R624" s="4" t="n"/>
      <c r="S624" s="5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6">
        <f>IF(C624=0,0,IF(E624="",B624*D624/100,E624))</f>
        <v/>
      </c>
      <c r="AE624" s="6">
        <f>IF(F624=0,0,IF(H624="",B624*G624/100,H624))</f>
        <v/>
      </c>
      <c r="AF624" s="6">
        <f>IF(I624=0,0,IF(K624="",B624*J624/100,K624))</f>
        <v/>
      </c>
      <c r="AG624" s="6">
        <f>IF(L624=0,0,IF(N624="",B624*M624/100,N624))</f>
        <v/>
      </c>
      <c r="AH624" s="6">
        <f>IF(O624=0,0,IF(Q624="",B624*P624/100,Q624))</f>
        <v/>
      </c>
      <c r="AI624" s="6">
        <f>IF(R624=0,0,IF(T624="",B624*S624/100,T624))</f>
        <v/>
      </c>
      <c r="AJ624" s="6">
        <f>B624*0.035</f>
        <v/>
      </c>
      <c r="AK624" s="6">
        <f>B624*0.065</f>
        <v/>
      </c>
      <c r="AL624" s="6">
        <f>SUM(B624,AD624,AE624,AF624,AG624,AH624,AI624,U624,V624,AJ624,AK624)</f>
        <v/>
      </c>
      <c r="AM624" s="6">
        <f>B624*0.055</f>
        <v/>
      </c>
      <c r="AN624" s="6">
        <f>B624*0.035</f>
        <v/>
      </c>
      <c r="AO624" s="6">
        <f>B624*0.165</f>
        <v/>
      </c>
      <c r="AP624" s="6">
        <f>MAX(0,AL624-AM624-AO624)</f>
        <v/>
      </c>
      <c r="AQ624" s="6">
        <f>IF(AP624&lt;=490,0,IF(AP624&lt;=600,(AP624-490)*0.05,IF(AP624&lt;=730,5.5+(AP624-600)*0.10,IF(AP624&lt;=3896.67,18.5+(AP624-730)*0.175,IF(AP624&lt;=19896.67,572.67+(AP624-3896.67)*0.25,IF(AP624&lt;=50416.67,4572.67+(AP624-19896.67)*0.30,13728.67+(AP624-50416.67)*0.35))))))</f>
        <v/>
      </c>
      <c r="AR624" s="6">
        <f>SUM(AM624,AQ624,W624,X624,Y624,Z624,AA624,AN624,AO624)</f>
        <v/>
      </c>
      <c r="AS624" s="6">
        <f>AL624-AR624</f>
        <v/>
      </c>
      <c r="AT624" s="6">
        <f>AB624-AC624</f>
        <v/>
      </c>
    </row>
    <row r="625">
      <c r="A625" s="2" t="n"/>
      <c r="B625" s="3" t="n"/>
      <c r="C625" s="4" t="n"/>
      <c r="D625" s="5" t="n"/>
      <c r="E625" s="3" t="n"/>
      <c r="F625" s="4" t="n"/>
      <c r="G625" s="5" t="n"/>
      <c r="H625" s="3" t="n"/>
      <c r="I625" s="4" t="n"/>
      <c r="J625" s="5" t="n"/>
      <c r="K625" s="3" t="n"/>
      <c r="L625" s="4" t="n"/>
      <c r="M625" s="5" t="n"/>
      <c r="N625" s="3" t="n"/>
      <c r="O625" s="4" t="n"/>
      <c r="P625" s="5" t="n"/>
      <c r="Q625" s="3" t="n"/>
      <c r="R625" s="4" t="n"/>
      <c r="S625" s="5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6">
        <f>IF(C625=0,0,IF(E625="",B625*D625/100,E625))</f>
        <v/>
      </c>
      <c r="AE625" s="6">
        <f>IF(F625=0,0,IF(H625="",B625*G625/100,H625))</f>
        <v/>
      </c>
      <c r="AF625" s="6">
        <f>IF(I625=0,0,IF(K625="",B625*J625/100,K625))</f>
        <v/>
      </c>
      <c r="AG625" s="6">
        <f>IF(L625=0,0,IF(N625="",B625*M625/100,N625))</f>
        <v/>
      </c>
      <c r="AH625" s="6">
        <f>IF(O625=0,0,IF(Q625="",B625*P625/100,Q625))</f>
        <v/>
      </c>
      <c r="AI625" s="6">
        <f>IF(R625=0,0,IF(T625="",B625*S625/100,T625))</f>
        <v/>
      </c>
      <c r="AJ625" s="6">
        <f>B625*0.035</f>
        <v/>
      </c>
      <c r="AK625" s="6">
        <f>B625*0.065</f>
        <v/>
      </c>
      <c r="AL625" s="6">
        <f>SUM(B625,AD625,AE625,AF625,AG625,AH625,AI625,U625,V625,AJ625,AK625)</f>
        <v/>
      </c>
      <c r="AM625" s="6">
        <f>B625*0.055</f>
        <v/>
      </c>
      <c r="AN625" s="6">
        <f>B625*0.035</f>
        <v/>
      </c>
      <c r="AO625" s="6">
        <f>B625*0.165</f>
        <v/>
      </c>
      <c r="AP625" s="6">
        <f>MAX(0,AL625-AM625-AO625)</f>
        <v/>
      </c>
      <c r="AQ625" s="6">
        <f>IF(AP625&lt;=490,0,IF(AP625&lt;=600,(AP625-490)*0.05,IF(AP625&lt;=730,5.5+(AP625-600)*0.10,IF(AP625&lt;=3896.67,18.5+(AP625-730)*0.175,IF(AP625&lt;=19896.67,572.67+(AP625-3896.67)*0.25,IF(AP625&lt;=50416.67,4572.67+(AP625-19896.67)*0.30,13728.67+(AP625-50416.67)*0.35))))))</f>
        <v/>
      </c>
      <c r="AR625" s="6">
        <f>SUM(AM625,AQ625,W625,X625,Y625,Z625,AA625,AN625,AO625)</f>
        <v/>
      </c>
      <c r="AS625" s="6">
        <f>AL625-AR625</f>
        <v/>
      </c>
      <c r="AT625" s="6">
        <f>AB625-AC625</f>
        <v/>
      </c>
    </row>
    <row r="626">
      <c r="A626" s="2" t="n"/>
      <c r="B626" s="3" t="n"/>
      <c r="C626" s="4" t="n"/>
      <c r="D626" s="5" t="n"/>
      <c r="E626" s="3" t="n"/>
      <c r="F626" s="4" t="n"/>
      <c r="G626" s="5" t="n"/>
      <c r="H626" s="3" t="n"/>
      <c r="I626" s="4" t="n"/>
      <c r="J626" s="5" t="n"/>
      <c r="K626" s="3" t="n"/>
      <c r="L626" s="4" t="n"/>
      <c r="M626" s="5" t="n"/>
      <c r="N626" s="3" t="n"/>
      <c r="O626" s="4" t="n"/>
      <c r="P626" s="5" t="n"/>
      <c r="Q626" s="3" t="n"/>
      <c r="R626" s="4" t="n"/>
      <c r="S626" s="5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6">
        <f>IF(C626=0,0,IF(E626="",B626*D626/100,E626))</f>
        <v/>
      </c>
      <c r="AE626" s="6">
        <f>IF(F626=0,0,IF(H626="",B626*G626/100,H626))</f>
        <v/>
      </c>
      <c r="AF626" s="6">
        <f>IF(I626=0,0,IF(K626="",B626*J626/100,K626))</f>
        <v/>
      </c>
      <c r="AG626" s="6">
        <f>IF(L626=0,0,IF(N626="",B626*M626/100,N626))</f>
        <v/>
      </c>
      <c r="AH626" s="6">
        <f>IF(O626=0,0,IF(Q626="",B626*P626/100,Q626))</f>
        <v/>
      </c>
      <c r="AI626" s="6">
        <f>IF(R626=0,0,IF(T626="",B626*S626/100,T626))</f>
        <v/>
      </c>
      <c r="AJ626" s="6">
        <f>B626*0.035</f>
        <v/>
      </c>
      <c r="AK626" s="6">
        <f>B626*0.065</f>
        <v/>
      </c>
      <c r="AL626" s="6">
        <f>SUM(B626,AD626,AE626,AF626,AG626,AH626,AI626,U626,V626,AJ626,AK626)</f>
        <v/>
      </c>
      <c r="AM626" s="6">
        <f>B626*0.055</f>
        <v/>
      </c>
      <c r="AN626" s="6">
        <f>B626*0.035</f>
        <v/>
      </c>
      <c r="AO626" s="6">
        <f>B626*0.165</f>
        <v/>
      </c>
      <c r="AP626" s="6">
        <f>MAX(0,AL626-AM626-AO626)</f>
        <v/>
      </c>
      <c r="AQ626" s="6">
        <f>IF(AP626&lt;=490,0,IF(AP626&lt;=600,(AP626-490)*0.05,IF(AP626&lt;=730,5.5+(AP626-600)*0.10,IF(AP626&lt;=3896.67,18.5+(AP626-730)*0.175,IF(AP626&lt;=19896.67,572.67+(AP626-3896.67)*0.25,IF(AP626&lt;=50416.67,4572.67+(AP626-19896.67)*0.30,13728.67+(AP626-50416.67)*0.35))))))</f>
        <v/>
      </c>
      <c r="AR626" s="6">
        <f>SUM(AM626,AQ626,W626,X626,Y626,Z626,AA626,AN626,AO626)</f>
        <v/>
      </c>
      <c r="AS626" s="6">
        <f>AL626-AR626</f>
        <v/>
      </c>
      <c r="AT626" s="6">
        <f>AB626-AC626</f>
        <v/>
      </c>
    </row>
    <row r="627">
      <c r="A627" s="2" t="n"/>
      <c r="B627" s="3" t="n"/>
      <c r="C627" s="4" t="n"/>
      <c r="D627" s="5" t="n"/>
      <c r="E627" s="3" t="n"/>
      <c r="F627" s="4" t="n"/>
      <c r="G627" s="5" t="n"/>
      <c r="H627" s="3" t="n"/>
      <c r="I627" s="4" t="n"/>
      <c r="J627" s="5" t="n"/>
      <c r="K627" s="3" t="n"/>
      <c r="L627" s="4" t="n"/>
      <c r="M627" s="5" t="n"/>
      <c r="N627" s="3" t="n"/>
      <c r="O627" s="4" t="n"/>
      <c r="P627" s="5" t="n"/>
      <c r="Q627" s="3" t="n"/>
      <c r="R627" s="4" t="n"/>
      <c r="S627" s="5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6">
        <f>IF(C627=0,0,IF(E627="",B627*D627/100,E627))</f>
        <v/>
      </c>
      <c r="AE627" s="6">
        <f>IF(F627=0,0,IF(H627="",B627*G627/100,H627))</f>
        <v/>
      </c>
      <c r="AF627" s="6">
        <f>IF(I627=0,0,IF(K627="",B627*J627/100,K627))</f>
        <v/>
      </c>
      <c r="AG627" s="6">
        <f>IF(L627=0,0,IF(N627="",B627*M627/100,N627))</f>
        <v/>
      </c>
      <c r="AH627" s="6">
        <f>IF(O627=0,0,IF(Q627="",B627*P627/100,Q627))</f>
        <v/>
      </c>
      <c r="AI627" s="6">
        <f>IF(R627=0,0,IF(T627="",B627*S627/100,T627))</f>
        <v/>
      </c>
      <c r="AJ627" s="6">
        <f>B627*0.035</f>
        <v/>
      </c>
      <c r="AK627" s="6">
        <f>B627*0.065</f>
        <v/>
      </c>
      <c r="AL627" s="6">
        <f>SUM(B627,AD627,AE627,AF627,AG627,AH627,AI627,U627,V627,AJ627,AK627)</f>
        <v/>
      </c>
      <c r="AM627" s="6">
        <f>B627*0.055</f>
        <v/>
      </c>
      <c r="AN627" s="6">
        <f>B627*0.035</f>
        <v/>
      </c>
      <c r="AO627" s="6">
        <f>B627*0.165</f>
        <v/>
      </c>
      <c r="AP627" s="6">
        <f>MAX(0,AL627-AM627-AO627)</f>
        <v/>
      </c>
      <c r="AQ627" s="6">
        <f>IF(AP627&lt;=490,0,IF(AP627&lt;=600,(AP627-490)*0.05,IF(AP627&lt;=730,5.5+(AP627-600)*0.10,IF(AP627&lt;=3896.67,18.5+(AP627-730)*0.175,IF(AP627&lt;=19896.67,572.67+(AP627-3896.67)*0.25,IF(AP627&lt;=50416.67,4572.67+(AP627-19896.67)*0.30,13728.67+(AP627-50416.67)*0.35))))))</f>
        <v/>
      </c>
      <c r="AR627" s="6">
        <f>SUM(AM627,AQ627,W627,X627,Y627,Z627,AA627,AN627,AO627)</f>
        <v/>
      </c>
      <c r="AS627" s="6">
        <f>AL627-AR627</f>
        <v/>
      </c>
      <c r="AT627" s="6">
        <f>AB627-AC627</f>
        <v/>
      </c>
    </row>
    <row r="628">
      <c r="A628" s="2" t="n"/>
      <c r="B628" s="3" t="n"/>
      <c r="C628" s="4" t="n"/>
      <c r="D628" s="5" t="n"/>
      <c r="E628" s="3" t="n"/>
      <c r="F628" s="4" t="n"/>
      <c r="G628" s="5" t="n"/>
      <c r="H628" s="3" t="n"/>
      <c r="I628" s="4" t="n"/>
      <c r="J628" s="5" t="n"/>
      <c r="K628" s="3" t="n"/>
      <c r="L628" s="4" t="n"/>
      <c r="M628" s="5" t="n"/>
      <c r="N628" s="3" t="n"/>
      <c r="O628" s="4" t="n"/>
      <c r="P628" s="5" t="n"/>
      <c r="Q628" s="3" t="n"/>
      <c r="R628" s="4" t="n"/>
      <c r="S628" s="5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6">
        <f>IF(C628=0,0,IF(E628="",B628*D628/100,E628))</f>
        <v/>
      </c>
      <c r="AE628" s="6">
        <f>IF(F628=0,0,IF(H628="",B628*G628/100,H628))</f>
        <v/>
      </c>
      <c r="AF628" s="6">
        <f>IF(I628=0,0,IF(K628="",B628*J628/100,K628))</f>
        <v/>
      </c>
      <c r="AG628" s="6">
        <f>IF(L628=0,0,IF(N628="",B628*M628/100,N628))</f>
        <v/>
      </c>
      <c r="AH628" s="6">
        <f>IF(O628=0,0,IF(Q628="",B628*P628/100,Q628))</f>
        <v/>
      </c>
      <c r="AI628" s="6">
        <f>IF(R628=0,0,IF(T628="",B628*S628/100,T628))</f>
        <v/>
      </c>
      <c r="AJ628" s="6">
        <f>B628*0.035</f>
        <v/>
      </c>
      <c r="AK628" s="6">
        <f>B628*0.065</f>
        <v/>
      </c>
      <c r="AL628" s="6">
        <f>SUM(B628,AD628,AE628,AF628,AG628,AH628,AI628,U628,V628,AJ628,AK628)</f>
        <v/>
      </c>
      <c r="AM628" s="6">
        <f>B628*0.055</f>
        <v/>
      </c>
      <c r="AN628" s="6">
        <f>B628*0.035</f>
        <v/>
      </c>
      <c r="AO628" s="6">
        <f>B628*0.165</f>
        <v/>
      </c>
      <c r="AP628" s="6">
        <f>MAX(0,AL628-AM628-AO628)</f>
        <v/>
      </c>
      <c r="AQ628" s="6">
        <f>IF(AP628&lt;=490,0,IF(AP628&lt;=600,(AP628-490)*0.05,IF(AP628&lt;=730,5.5+(AP628-600)*0.10,IF(AP628&lt;=3896.67,18.5+(AP628-730)*0.175,IF(AP628&lt;=19896.67,572.67+(AP628-3896.67)*0.25,IF(AP628&lt;=50416.67,4572.67+(AP628-19896.67)*0.30,13728.67+(AP628-50416.67)*0.35))))))</f>
        <v/>
      </c>
      <c r="AR628" s="6">
        <f>SUM(AM628,AQ628,W628,X628,Y628,Z628,AA628,AN628,AO628)</f>
        <v/>
      </c>
      <c r="AS628" s="6">
        <f>AL628-AR628</f>
        <v/>
      </c>
      <c r="AT628" s="6">
        <f>AB628-AC628</f>
        <v/>
      </c>
    </row>
    <row r="629">
      <c r="A629" s="2" t="n"/>
      <c r="B629" s="3" t="n"/>
      <c r="C629" s="4" t="n"/>
      <c r="D629" s="5" t="n"/>
      <c r="E629" s="3" t="n"/>
      <c r="F629" s="4" t="n"/>
      <c r="G629" s="5" t="n"/>
      <c r="H629" s="3" t="n"/>
      <c r="I629" s="4" t="n"/>
      <c r="J629" s="5" t="n"/>
      <c r="K629" s="3" t="n"/>
      <c r="L629" s="4" t="n"/>
      <c r="M629" s="5" t="n"/>
      <c r="N629" s="3" t="n"/>
      <c r="O629" s="4" t="n"/>
      <c r="P629" s="5" t="n"/>
      <c r="Q629" s="3" t="n"/>
      <c r="R629" s="4" t="n"/>
      <c r="S629" s="5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6">
        <f>IF(C629=0,0,IF(E629="",B629*D629/100,E629))</f>
        <v/>
      </c>
      <c r="AE629" s="6">
        <f>IF(F629=0,0,IF(H629="",B629*G629/100,H629))</f>
        <v/>
      </c>
      <c r="AF629" s="6">
        <f>IF(I629=0,0,IF(K629="",B629*J629/100,K629))</f>
        <v/>
      </c>
      <c r="AG629" s="6">
        <f>IF(L629=0,0,IF(N629="",B629*M629/100,N629))</f>
        <v/>
      </c>
      <c r="AH629" s="6">
        <f>IF(O629=0,0,IF(Q629="",B629*P629/100,Q629))</f>
        <v/>
      </c>
      <c r="AI629" s="6">
        <f>IF(R629=0,0,IF(T629="",B629*S629/100,T629))</f>
        <v/>
      </c>
      <c r="AJ629" s="6">
        <f>B629*0.035</f>
        <v/>
      </c>
      <c r="AK629" s="6">
        <f>B629*0.065</f>
        <v/>
      </c>
      <c r="AL629" s="6">
        <f>SUM(B629,AD629,AE629,AF629,AG629,AH629,AI629,U629,V629,AJ629,AK629)</f>
        <v/>
      </c>
      <c r="AM629" s="6">
        <f>B629*0.055</f>
        <v/>
      </c>
      <c r="AN629" s="6">
        <f>B629*0.035</f>
        <v/>
      </c>
      <c r="AO629" s="6">
        <f>B629*0.165</f>
        <v/>
      </c>
      <c r="AP629" s="6">
        <f>MAX(0,AL629-AM629-AO629)</f>
        <v/>
      </c>
      <c r="AQ629" s="6">
        <f>IF(AP629&lt;=490,0,IF(AP629&lt;=600,(AP629-490)*0.05,IF(AP629&lt;=730,5.5+(AP629-600)*0.10,IF(AP629&lt;=3896.67,18.5+(AP629-730)*0.175,IF(AP629&lt;=19896.67,572.67+(AP629-3896.67)*0.25,IF(AP629&lt;=50416.67,4572.67+(AP629-19896.67)*0.30,13728.67+(AP629-50416.67)*0.35))))))</f>
        <v/>
      </c>
      <c r="AR629" s="6">
        <f>SUM(AM629,AQ629,W629,X629,Y629,Z629,AA629,AN629,AO629)</f>
        <v/>
      </c>
      <c r="AS629" s="6">
        <f>AL629-AR629</f>
        <v/>
      </c>
      <c r="AT629" s="6">
        <f>AB629-AC629</f>
        <v/>
      </c>
    </row>
    <row r="630">
      <c r="A630" s="2" t="n"/>
      <c r="B630" s="3" t="n"/>
      <c r="C630" s="4" t="n"/>
      <c r="D630" s="5" t="n"/>
      <c r="E630" s="3" t="n"/>
      <c r="F630" s="4" t="n"/>
      <c r="G630" s="5" t="n"/>
      <c r="H630" s="3" t="n"/>
      <c r="I630" s="4" t="n"/>
      <c r="J630" s="5" t="n"/>
      <c r="K630" s="3" t="n"/>
      <c r="L630" s="4" t="n"/>
      <c r="M630" s="5" t="n"/>
      <c r="N630" s="3" t="n"/>
      <c r="O630" s="4" t="n"/>
      <c r="P630" s="5" t="n"/>
      <c r="Q630" s="3" t="n"/>
      <c r="R630" s="4" t="n"/>
      <c r="S630" s="5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6">
        <f>IF(C630=0,0,IF(E630="",B630*D630/100,E630))</f>
        <v/>
      </c>
      <c r="AE630" s="6">
        <f>IF(F630=0,0,IF(H630="",B630*G630/100,H630))</f>
        <v/>
      </c>
      <c r="AF630" s="6">
        <f>IF(I630=0,0,IF(K630="",B630*J630/100,K630))</f>
        <v/>
      </c>
      <c r="AG630" s="6">
        <f>IF(L630=0,0,IF(N630="",B630*M630/100,N630))</f>
        <v/>
      </c>
      <c r="AH630" s="6">
        <f>IF(O630=0,0,IF(Q630="",B630*P630/100,Q630))</f>
        <v/>
      </c>
      <c r="AI630" s="6">
        <f>IF(R630=0,0,IF(T630="",B630*S630/100,T630))</f>
        <v/>
      </c>
      <c r="AJ630" s="6">
        <f>B630*0.035</f>
        <v/>
      </c>
      <c r="AK630" s="6">
        <f>B630*0.065</f>
        <v/>
      </c>
      <c r="AL630" s="6">
        <f>SUM(B630,AD630,AE630,AF630,AG630,AH630,AI630,U630,V630,AJ630,AK630)</f>
        <v/>
      </c>
      <c r="AM630" s="6">
        <f>B630*0.055</f>
        <v/>
      </c>
      <c r="AN630" s="6">
        <f>B630*0.035</f>
        <v/>
      </c>
      <c r="AO630" s="6">
        <f>B630*0.165</f>
        <v/>
      </c>
      <c r="AP630" s="6">
        <f>MAX(0,AL630-AM630-AO630)</f>
        <v/>
      </c>
      <c r="AQ630" s="6">
        <f>IF(AP630&lt;=490,0,IF(AP630&lt;=600,(AP630-490)*0.05,IF(AP630&lt;=730,5.5+(AP630-600)*0.10,IF(AP630&lt;=3896.67,18.5+(AP630-730)*0.175,IF(AP630&lt;=19896.67,572.67+(AP630-3896.67)*0.25,IF(AP630&lt;=50416.67,4572.67+(AP630-19896.67)*0.30,13728.67+(AP630-50416.67)*0.35))))))</f>
        <v/>
      </c>
      <c r="AR630" s="6">
        <f>SUM(AM630,AQ630,W630,X630,Y630,Z630,AA630,AN630,AO630)</f>
        <v/>
      </c>
      <c r="AS630" s="6">
        <f>AL630-AR630</f>
        <v/>
      </c>
      <c r="AT630" s="6">
        <f>AB630-AC630</f>
        <v/>
      </c>
    </row>
    <row r="631">
      <c r="A631" s="2" t="n"/>
      <c r="B631" s="3" t="n"/>
      <c r="C631" s="4" t="n"/>
      <c r="D631" s="5" t="n"/>
      <c r="E631" s="3" t="n"/>
      <c r="F631" s="4" t="n"/>
      <c r="G631" s="5" t="n"/>
      <c r="H631" s="3" t="n"/>
      <c r="I631" s="4" t="n"/>
      <c r="J631" s="5" t="n"/>
      <c r="K631" s="3" t="n"/>
      <c r="L631" s="4" t="n"/>
      <c r="M631" s="5" t="n"/>
      <c r="N631" s="3" t="n"/>
      <c r="O631" s="4" t="n"/>
      <c r="P631" s="5" t="n"/>
      <c r="Q631" s="3" t="n"/>
      <c r="R631" s="4" t="n"/>
      <c r="S631" s="5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6">
        <f>IF(C631=0,0,IF(E631="",B631*D631/100,E631))</f>
        <v/>
      </c>
      <c r="AE631" s="6">
        <f>IF(F631=0,0,IF(H631="",B631*G631/100,H631))</f>
        <v/>
      </c>
      <c r="AF631" s="6">
        <f>IF(I631=0,0,IF(K631="",B631*J631/100,K631))</f>
        <v/>
      </c>
      <c r="AG631" s="6">
        <f>IF(L631=0,0,IF(N631="",B631*M631/100,N631))</f>
        <v/>
      </c>
      <c r="AH631" s="6">
        <f>IF(O631=0,0,IF(Q631="",B631*P631/100,Q631))</f>
        <v/>
      </c>
      <c r="AI631" s="6">
        <f>IF(R631=0,0,IF(T631="",B631*S631/100,T631))</f>
        <v/>
      </c>
      <c r="AJ631" s="6">
        <f>B631*0.035</f>
        <v/>
      </c>
      <c r="AK631" s="6">
        <f>B631*0.065</f>
        <v/>
      </c>
      <c r="AL631" s="6">
        <f>SUM(B631,AD631,AE631,AF631,AG631,AH631,AI631,U631,V631,AJ631,AK631)</f>
        <v/>
      </c>
      <c r="AM631" s="6">
        <f>B631*0.055</f>
        <v/>
      </c>
      <c r="AN631" s="6">
        <f>B631*0.035</f>
        <v/>
      </c>
      <c r="AO631" s="6">
        <f>B631*0.165</f>
        <v/>
      </c>
      <c r="AP631" s="6">
        <f>MAX(0,AL631-AM631-AO631)</f>
        <v/>
      </c>
      <c r="AQ631" s="6">
        <f>IF(AP631&lt;=490,0,IF(AP631&lt;=600,(AP631-490)*0.05,IF(AP631&lt;=730,5.5+(AP631-600)*0.10,IF(AP631&lt;=3896.67,18.5+(AP631-730)*0.175,IF(AP631&lt;=19896.67,572.67+(AP631-3896.67)*0.25,IF(AP631&lt;=50416.67,4572.67+(AP631-19896.67)*0.30,13728.67+(AP631-50416.67)*0.35))))))</f>
        <v/>
      </c>
      <c r="AR631" s="6">
        <f>SUM(AM631,AQ631,W631,X631,Y631,Z631,AA631,AN631,AO631)</f>
        <v/>
      </c>
      <c r="AS631" s="6">
        <f>AL631-AR631</f>
        <v/>
      </c>
      <c r="AT631" s="6">
        <f>AB631-AC631</f>
        <v/>
      </c>
    </row>
    <row r="632">
      <c r="A632" s="2" t="n"/>
      <c r="B632" s="3" t="n"/>
      <c r="C632" s="4" t="n"/>
      <c r="D632" s="5" t="n"/>
      <c r="E632" s="3" t="n"/>
      <c r="F632" s="4" t="n"/>
      <c r="G632" s="5" t="n"/>
      <c r="H632" s="3" t="n"/>
      <c r="I632" s="4" t="n"/>
      <c r="J632" s="5" t="n"/>
      <c r="K632" s="3" t="n"/>
      <c r="L632" s="4" t="n"/>
      <c r="M632" s="5" t="n"/>
      <c r="N632" s="3" t="n"/>
      <c r="O632" s="4" t="n"/>
      <c r="P632" s="5" t="n"/>
      <c r="Q632" s="3" t="n"/>
      <c r="R632" s="4" t="n"/>
      <c r="S632" s="5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6">
        <f>IF(C632=0,0,IF(E632="",B632*D632/100,E632))</f>
        <v/>
      </c>
      <c r="AE632" s="6">
        <f>IF(F632=0,0,IF(H632="",B632*G632/100,H632))</f>
        <v/>
      </c>
      <c r="AF632" s="6">
        <f>IF(I632=0,0,IF(K632="",B632*J632/100,K632))</f>
        <v/>
      </c>
      <c r="AG632" s="6">
        <f>IF(L632=0,0,IF(N632="",B632*M632/100,N632))</f>
        <v/>
      </c>
      <c r="AH632" s="6">
        <f>IF(O632=0,0,IF(Q632="",B632*P632/100,Q632))</f>
        <v/>
      </c>
      <c r="AI632" s="6">
        <f>IF(R632=0,0,IF(T632="",B632*S632/100,T632))</f>
        <v/>
      </c>
      <c r="AJ632" s="6">
        <f>B632*0.035</f>
        <v/>
      </c>
      <c r="AK632" s="6">
        <f>B632*0.065</f>
        <v/>
      </c>
      <c r="AL632" s="6">
        <f>SUM(B632,AD632,AE632,AF632,AG632,AH632,AI632,U632,V632,AJ632,AK632)</f>
        <v/>
      </c>
      <c r="AM632" s="6">
        <f>B632*0.055</f>
        <v/>
      </c>
      <c r="AN632" s="6">
        <f>B632*0.035</f>
        <v/>
      </c>
      <c r="AO632" s="6">
        <f>B632*0.165</f>
        <v/>
      </c>
      <c r="AP632" s="6">
        <f>MAX(0,AL632-AM632-AO632)</f>
        <v/>
      </c>
      <c r="AQ632" s="6">
        <f>IF(AP632&lt;=490,0,IF(AP632&lt;=600,(AP632-490)*0.05,IF(AP632&lt;=730,5.5+(AP632-600)*0.10,IF(AP632&lt;=3896.67,18.5+(AP632-730)*0.175,IF(AP632&lt;=19896.67,572.67+(AP632-3896.67)*0.25,IF(AP632&lt;=50416.67,4572.67+(AP632-19896.67)*0.30,13728.67+(AP632-50416.67)*0.35))))))</f>
        <v/>
      </c>
      <c r="AR632" s="6">
        <f>SUM(AM632,AQ632,W632,X632,Y632,Z632,AA632,AN632,AO632)</f>
        <v/>
      </c>
      <c r="AS632" s="6">
        <f>AL632-AR632</f>
        <v/>
      </c>
      <c r="AT632" s="6">
        <f>AB632-AC632</f>
        <v/>
      </c>
    </row>
    <row r="633">
      <c r="A633" s="2" t="n"/>
      <c r="B633" s="3" t="n"/>
      <c r="C633" s="4" t="n"/>
      <c r="D633" s="5" t="n"/>
      <c r="E633" s="3" t="n"/>
      <c r="F633" s="4" t="n"/>
      <c r="G633" s="5" t="n"/>
      <c r="H633" s="3" t="n"/>
      <c r="I633" s="4" t="n"/>
      <c r="J633" s="5" t="n"/>
      <c r="K633" s="3" t="n"/>
      <c r="L633" s="4" t="n"/>
      <c r="M633" s="5" t="n"/>
      <c r="N633" s="3" t="n"/>
      <c r="O633" s="4" t="n"/>
      <c r="P633" s="5" t="n"/>
      <c r="Q633" s="3" t="n"/>
      <c r="R633" s="4" t="n"/>
      <c r="S633" s="5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6">
        <f>IF(C633=0,0,IF(E633="",B633*D633/100,E633))</f>
        <v/>
      </c>
      <c r="AE633" s="6">
        <f>IF(F633=0,0,IF(H633="",B633*G633/100,H633))</f>
        <v/>
      </c>
      <c r="AF633" s="6">
        <f>IF(I633=0,0,IF(K633="",B633*J633/100,K633))</f>
        <v/>
      </c>
      <c r="AG633" s="6">
        <f>IF(L633=0,0,IF(N633="",B633*M633/100,N633))</f>
        <v/>
      </c>
      <c r="AH633" s="6">
        <f>IF(O633=0,0,IF(Q633="",B633*P633/100,Q633))</f>
        <v/>
      </c>
      <c r="AI633" s="6">
        <f>IF(R633=0,0,IF(T633="",B633*S633/100,T633))</f>
        <v/>
      </c>
      <c r="AJ633" s="6">
        <f>B633*0.035</f>
        <v/>
      </c>
      <c r="AK633" s="6">
        <f>B633*0.065</f>
        <v/>
      </c>
      <c r="AL633" s="6">
        <f>SUM(B633,AD633,AE633,AF633,AG633,AH633,AI633,U633,V633,AJ633,AK633)</f>
        <v/>
      </c>
      <c r="AM633" s="6">
        <f>B633*0.055</f>
        <v/>
      </c>
      <c r="AN633" s="6">
        <f>B633*0.035</f>
        <v/>
      </c>
      <c r="AO633" s="6">
        <f>B633*0.165</f>
        <v/>
      </c>
      <c r="AP633" s="6">
        <f>MAX(0,AL633-AM633-AO633)</f>
        <v/>
      </c>
      <c r="AQ633" s="6">
        <f>IF(AP633&lt;=490,0,IF(AP633&lt;=600,(AP633-490)*0.05,IF(AP633&lt;=730,5.5+(AP633-600)*0.10,IF(AP633&lt;=3896.67,18.5+(AP633-730)*0.175,IF(AP633&lt;=19896.67,572.67+(AP633-3896.67)*0.25,IF(AP633&lt;=50416.67,4572.67+(AP633-19896.67)*0.30,13728.67+(AP633-50416.67)*0.35))))))</f>
        <v/>
      </c>
      <c r="AR633" s="6">
        <f>SUM(AM633,AQ633,W633,X633,Y633,Z633,AA633,AN633,AO633)</f>
        <v/>
      </c>
      <c r="AS633" s="6">
        <f>AL633-AR633</f>
        <v/>
      </c>
      <c r="AT633" s="6">
        <f>AB633-AC633</f>
        <v/>
      </c>
    </row>
    <row r="634">
      <c r="A634" s="2" t="n"/>
      <c r="B634" s="3" t="n"/>
      <c r="C634" s="4" t="n"/>
      <c r="D634" s="5" t="n"/>
      <c r="E634" s="3" t="n"/>
      <c r="F634" s="4" t="n"/>
      <c r="G634" s="5" t="n"/>
      <c r="H634" s="3" t="n"/>
      <c r="I634" s="4" t="n"/>
      <c r="J634" s="5" t="n"/>
      <c r="K634" s="3" t="n"/>
      <c r="L634" s="4" t="n"/>
      <c r="M634" s="5" t="n"/>
      <c r="N634" s="3" t="n"/>
      <c r="O634" s="4" t="n"/>
      <c r="P634" s="5" t="n"/>
      <c r="Q634" s="3" t="n"/>
      <c r="R634" s="4" t="n"/>
      <c r="S634" s="5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6">
        <f>IF(C634=0,0,IF(E634="",B634*D634/100,E634))</f>
        <v/>
      </c>
      <c r="AE634" s="6">
        <f>IF(F634=0,0,IF(H634="",B634*G634/100,H634))</f>
        <v/>
      </c>
      <c r="AF634" s="6">
        <f>IF(I634=0,0,IF(K634="",B634*J634/100,K634))</f>
        <v/>
      </c>
      <c r="AG634" s="6">
        <f>IF(L634=0,0,IF(N634="",B634*M634/100,N634))</f>
        <v/>
      </c>
      <c r="AH634" s="6">
        <f>IF(O634=0,0,IF(Q634="",B634*P634/100,Q634))</f>
        <v/>
      </c>
      <c r="AI634" s="6">
        <f>IF(R634=0,0,IF(T634="",B634*S634/100,T634))</f>
        <v/>
      </c>
      <c r="AJ634" s="6">
        <f>B634*0.035</f>
        <v/>
      </c>
      <c r="AK634" s="6">
        <f>B634*0.065</f>
        <v/>
      </c>
      <c r="AL634" s="6">
        <f>SUM(B634,AD634,AE634,AF634,AG634,AH634,AI634,U634,V634,AJ634,AK634)</f>
        <v/>
      </c>
      <c r="AM634" s="6">
        <f>B634*0.055</f>
        <v/>
      </c>
      <c r="AN634" s="6">
        <f>B634*0.035</f>
        <v/>
      </c>
      <c r="AO634" s="6">
        <f>B634*0.165</f>
        <v/>
      </c>
      <c r="AP634" s="6">
        <f>MAX(0,AL634-AM634-AO634)</f>
        <v/>
      </c>
      <c r="AQ634" s="6">
        <f>IF(AP634&lt;=490,0,IF(AP634&lt;=600,(AP634-490)*0.05,IF(AP634&lt;=730,5.5+(AP634-600)*0.10,IF(AP634&lt;=3896.67,18.5+(AP634-730)*0.175,IF(AP634&lt;=19896.67,572.67+(AP634-3896.67)*0.25,IF(AP634&lt;=50416.67,4572.67+(AP634-19896.67)*0.30,13728.67+(AP634-50416.67)*0.35))))))</f>
        <v/>
      </c>
      <c r="AR634" s="6">
        <f>SUM(AM634,AQ634,W634,X634,Y634,Z634,AA634,AN634,AO634)</f>
        <v/>
      </c>
      <c r="AS634" s="6">
        <f>AL634-AR634</f>
        <v/>
      </c>
      <c r="AT634" s="6">
        <f>AB634-AC634</f>
        <v/>
      </c>
    </row>
    <row r="635">
      <c r="A635" s="2" t="n"/>
      <c r="B635" s="3" t="n"/>
      <c r="C635" s="4" t="n"/>
      <c r="D635" s="5" t="n"/>
      <c r="E635" s="3" t="n"/>
      <c r="F635" s="4" t="n"/>
      <c r="G635" s="5" t="n"/>
      <c r="H635" s="3" t="n"/>
      <c r="I635" s="4" t="n"/>
      <c r="J635" s="5" t="n"/>
      <c r="K635" s="3" t="n"/>
      <c r="L635" s="4" t="n"/>
      <c r="M635" s="5" t="n"/>
      <c r="N635" s="3" t="n"/>
      <c r="O635" s="4" t="n"/>
      <c r="P635" s="5" t="n"/>
      <c r="Q635" s="3" t="n"/>
      <c r="R635" s="4" t="n"/>
      <c r="S635" s="5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6">
        <f>IF(C635=0,0,IF(E635="",B635*D635/100,E635))</f>
        <v/>
      </c>
      <c r="AE635" s="6">
        <f>IF(F635=0,0,IF(H635="",B635*G635/100,H635))</f>
        <v/>
      </c>
      <c r="AF635" s="6">
        <f>IF(I635=0,0,IF(K635="",B635*J635/100,K635))</f>
        <v/>
      </c>
      <c r="AG635" s="6">
        <f>IF(L635=0,0,IF(N635="",B635*M635/100,N635))</f>
        <v/>
      </c>
      <c r="AH635" s="6">
        <f>IF(O635=0,0,IF(Q635="",B635*P635/100,Q635))</f>
        <v/>
      </c>
      <c r="AI635" s="6">
        <f>IF(R635=0,0,IF(T635="",B635*S635/100,T635))</f>
        <v/>
      </c>
      <c r="AJ635" s="6">
        <f>B635*0.035</f>
        <v/>
      </c>
      <c r="AK635" s="6">
        <f>B635*0.065</f>
        <v/>
      </c>
      <c r="AL635" s="6">
        <f>SUM(B635,AD635,AE635,AF635,AG635,AH635,AI635,U635,V635,AJ635,AK635)</f>
        <v/>
      </c>
      <c r="AM635" s="6">
        <f>B635*0.055</f>
        <v/>
      </c>
      <c r="AN635" s="6">
        <f>B635*0.035</f>
        <v/>
      </c>
      <c r="AO635" s="6">
        <f>B635*0.165</f>
        <v/>
      </c>
      <c r="AP635" s="6">
        <f>MAX(0,AL635-AM635-AO635)</f>
        <v/>
      </c>
      <c r="AQ635" s="6">
        <f>IF(AP635&lt;=490,0,IF(AP635&lt;=600,(AP635-490)*0.05,IF(AP635&lt;=730,5.5+(AP635-600)*0.10,IF(AP635&lt;=3896.67,18.5+(AP635-730)*0.175,IF(AP635&lt;=19896.67,572.67+(AP635-3896.67)*0.25,IF(AP635&lt;=50416.67,4572.67+(AP635-19896.67)*0.30,13728.67+(AP635-50416.67)*0.35))))))</f>
        <v/>
      </c>
      <c r="AR635" s="6">
        <f>SUM(AM635,AQ635,W635,X635,Y635,Z635,AA635,AN635,AO635)</f>
        <v/>
      </c>
      <c r="AS635" s="6">
        <f>AL635-AR635</f>
        <v/>
      </c>
      <c r="AT635" s="6">
        <f>AB635-AC635</f>
        <v/>
      </c>
    </row>
    <row r="636">
      <c r="A636" s="2" t="n"/>
      <c r="B636" s="3" t="n"/>
      <c r="C636" s="4" t="n"/>
      <c r="D636" s="5" t="n"/>
      <c r="E636" s="3" t="n"/>
      <c r="F636" s="4" t="n"/>
      <c r="G636" s="5" t="n"/>
      <c r="H636" s="3" t="n"/>
      <c r="I636" s="4" t="n"/>
      <c r="J636" s="5" t="n"/>
      <c r="K636" s="3" t="n"/>
      <c r="L636" s="4" t="n"/>
      <c r="M636" s="5" t="n"/>
      <c r="N636" s="3" t="n"/>
      <c r="O636" s="4" t="n"/>
      <c r="P636" s="5" t="n"/>
      <c r="Q636" s="3" t="n"/>
      <c r="R636" s="4" t="n"/>
      <c r="S636" s="5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6">
        <f>IF(C636=0,0,IF(E636="",B636*D636/100,E636))</f>
        <v/>
      </c>
      <c r="AE636" s="6">
        <f>IF(F636=0,0,IF(H636="",B636*G636/100,H636))</f>
        <v/>
      </c>
      <c r="AF636" s="6">
        <f>IF(I636=0,0,IF(K636="",B636*J636/100,K636))</f>
        <v/>
      </c>
      <c r="AG636" s="6">
        <f>IF(L636=0,0,IF(N636="",B636*M636/100,N636))</f>
        <v/>
      </c>
      <c r="AH636" s="6">
        <f>IF(O636=0,0,IF(Q636="",B636*P636/100,Q636))</f>
        <v/>
      </c>
      <c r="AI636" s="6">
        <f>IF(R636=0,0,IF(T636="",B636*S636/100,T636))</f>
        <v/>
      </c>
      <c r="AJ636" s="6">
        <f>B636*0.035</f>
        <v/>
      </c>
      <c r="AK636" s="6">
        <f>B636*0.065</f>
        <v/>
      </c>
      <c r="AL636" s="6">
        <f>SUM(B636,AD636,AE636,AF636,AG636,AH636,AI636,U636,V636,AJ636,AK636)</f>
        <v/>
      </c>
      <c r="AM636" s="6">
        <f>B636*0.055</f>
        <v/>
      </c>
      <c r="AN636" s="6">
        <f>B636*0.035</f>
        <v/>
      </c>
      <c r="AO636" s="6">
        <f>B636*0.165</f>
        <v/>
      </c>
      <c r="AP636" s="6">
        <f>MAX(0,AL636-AM636-AO636)</f>
        <v/>
      </c>
      <c r="AQ636" s="6">
        <f>IF(AP636&lt;=490,0,IF(AP636&lt;=600,(AP636-490)*0.05,IF(AP636&lt;=730,5.5+(AP636-600)*0.10,IF(AP636&lt;=3896.67,18.5+(AP636-730)*0.175,IF(AP636&lt;=19896.67,572.67+(AP636-3896.67)*0.25,IF(AP636&lt;=50416.67,4572.67+(AP636-19896.67)*0.30,13728.67+(AP636-50416.67)*0.35))))))</f>
        <v/>
      </c>
      <c r="AR636" s="6">
        <f>SUM(AM636,AQ636,W636,X636,Y636,Z636,AA636,AN636,AO636)</f>
        <v/>
      </c>
      <c r="AS636" s="6">
        <f>AL636-AR636</f>
        <v/>
      </c>
      <c r="AT636" s="6">
        <f>AB636-AC636</f>
        <v/>
      </c>
    </row>
    <row r="637">
      <c r="A637" s="2" t="n"/>
      <c r="B637" s="3" t="n"/>
      <c r="C637" s="4" t="n"/>
      <c r="D637" s="5" t="n"/>
      <c r="E637" s="3" t="n"/>
      <c r="F637" s="4" t="n"/>
      <c r="G637" s="5" t="n"/>
      <c r="H637" s="3" t="n"/>
      <c r="I637" s="4" t="n"/>
      <c r="J637" s="5" t="n"/>
      <c r="K637" s="3" t="n"/>
      <c r="L637" s="4" t="n"/>
      <c r="M637" s="5" t="n"/>
      <c r="N637" s="3" t="n"/>
      <c r="O637" s="4" t="n"/>
      <c r="P637" s="5" t="n"/>
      <c r="Q637" s="3" t="n"/>
      <c r="R637" s="4" t="n"/>
      <c r="S637" s="5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6">
        <f>IF(C637=0,0,IF(E637="",B637*D637/100,E637))</f>
        <v/>
      </c>
      <c r="AE637" s="6">
        <f>IF(F637=0,0,IF(H637="",B637*G637/100,H637))</f>
        <v/>
      </c>
      <c r="AF637" s="6">
        <f>IF(I637=0,0,IF(K637="",B637*J637/100,K637))</f>
        <v/>
      </c>
      <c r="AG637" s="6">
        <f>IF(L637=0,0,IF(N637="",B637*M637/100,N637))</f>
        <v/>
      </c>
      <c r="AH637" s="6">
        <f>IF(O637=0,0,IF(Q637="",B637*P637/100,Q637))</f>
        <v/>
      </c>
      <c r="AI637" s="6">
        <f>IF(R637=0,0,IF(T637="",B637*S637/100,T637))</f>
        <v/>
      </c>
      <c r="AJ637" s="6">
        <f>B637*0.035</f>
        <v/>
      </c>
      <c r="AK637" s="6">
        <f>B637*0.065</f>
        <v/>
      </c>
      <c r="AL637" s="6">
        <f>SUM(B637,AD637,AE637,AF637,AG637,AH637,AI637,U637,V637,AJ637,AK637)</f>
        <v/>
      </c>
      <c r="AM637" s="6">
        <f>B637*0.055</f>
        <v/>
      </c>
      <c r="AN637" s="6">
        <f>B637*0.035</f>
        <v/>
      </c>
      <c r="AO637" s="6">
        <f>B637*0.165</f>
        <v/>
      </c>
      <c r="AP637" s="6">
        <f>MAX(0,AL637-AM637-AO637)</f>
        <v/>
      </c>
      <c r="AQ637" s="6">
        <f>IF(AP637&lt;=490,0,IF(AP637&lt;=600,(AP637-490)*0.05,IF(AP637&lt;=730,5.5+(AP637-600)*0.10,IF(AP637&lt;=3896.67,18.5+(AP637-730)*0.175,IF(AP637&lt;=19896.67,572.67+(AP637-3896.67)*0.25,IF(AP637&lt;=50416.67,4572.67+(AP637-19896.67)*0.30,13728.67+(AP637-50416.67)*0.35))))))</f>
        <v/>
      </c>
      <c r="AR637" s="6">
        <f>SUM(AM637,AQ637,W637,X637,Y637,Z637,AA637,AN637,AO637)</f>
        <v/>
      </c>
      <c r="AS637" s="6">
        <f>AL637-AR637</f>
        <v/>
      </c>
      <c r="AT637" s="6">
        <f>AB637-AC637</f>
        <v/>
      </c>
    </row>
    <row r="638">
      <c r="A638" s="2" t="n"/>
      <c r="B638" s="3" t="n"/>
      <c r="C638" s="4" t="n"/>
      <c r="D638" s="5" t="n"/>
      <c r="E638" s="3" t="n"/>
      <c r="F638" s="4" t="n"/>
      <c r="G638" s="5" t="n"/>
      <c r="H638" s="3" t="n"/>
      <c r="I638" s="4" t="n"/>
      <c r="J638" s="5" t="n"/>
      <c r="K638" s="3" t="n"/>
      <c r="L638" s="4" t="n"/>
      <c r="M638" s="5" t="n"/>
      <c r="N638" s="3" t="n"/>
      <c r="O638" s="4" t="n"/>
      <c r="P638" s="5" t="n"/>
      <c r="Q638" s="3" t="n"/>
      <c r="R638" s="4" t="n"/>
      <c r="S638" s="5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6">
        <f>IF(C638=0,0,IF(E638="",B638*D638/100,E638))</f>
        <v/>
      </c>
      <c r="AE638" s="6">
        <f>IF(F638=0,0,IF(H638="",B638*G638/100,H638))</f>
        <v/>
      </c>
      <c r="AF638" s="6">
        <f>IF(I638=0,0,IF(K638="",B638*J638/100,K638))</f>
        <v/>
      </c>
      <c r="AG638" s="6">
        <f>IF(L638=0,0,IF(N638="",B638*M638/100,N638))</f>
        <v/>
      </c>
      <c r="AH638" s="6">
        <f>IF(O638=0,0,IF(Q638="",B638*P638/100,Q638))</f>
        <v/>
      </c>
      <c r="AI638" s="6">
        <f>IF(R638=0,0,IF(T638="",B638*S638/100,T638))</f>
        <v/>
      </c>
      <c r="AJ638" s="6">
        <f>B638*0.035</f>
        <v/>
      </c>
      <c r="AK638" s="6">
        <f>B638*0.065</f>
        <v/>
      </c>
      <c r="AL638" s="6">
        <f>SUM(B638,AD638,AE638,AF638,AG638,AH638,AI638,U638,V638,AJ638,AK638)</f>
        <v/>
      </c>
      <c r="AM638" s="6">
        <f>B638*0.055</f>
        <v/>
      </c>
      <c r="AN638" s="6">
        <f>B638*0.035</f>
        <v/>
      </c>
      <c r="AO638" s="6">
        <f>B638*0.165</f>
        <v/>
      </c>
      <c r="AP638" s="6">
        <f>MAX(0,AL638-AM638-AO638)</f>
        <v/>
      </c>
      <c r="AQ638" s="6">
        <f>IF(AP638&lt;=490,0,IF(AP638&lt;=600,(AP638-490)*0.05,IF(AP638&lt;=730,5.5+(AP638-600)*0.10,IF(AP638&lt;=3896.67,18.5+(AP638-730)*0.175,IF(AP638&lt;=19896.67,572.67+(AP638-3896.67)*0.25,IF(AP638&lt;=50416.67,4572.67+(AP638-19896.67)*0.30,13728.67+(AP638-50416.67)*0.35))))))</f>
        <v/>
      </c>
      <c r="AR638" s="6">
        <f>SUM(AM638,AQ638,W638,X638,Y638,Z638,AA638,AN638,AO638)</f>
        <v/>
      </c>
      <c r="AS638" s="6">
        <f>AL638-AR638</f>
        <v/>
      </c>
      <c r="AT638" s="6">
        <f>AB638-AC638</f>
        <v/>
      </c>
    </row>
    <row r="639">
      <c r="A639" s="2" t="n"/>
      <c r="B639" s="3" t="n"/>
      <c r="C639" s="4" t="n"/>
      <c r="D639" s="5" t="n"/>
      <c r="E639" s="3" t="n"/>
      <c r="F639" s="4" t="n"/>
      <c r="G639" s="5" t="n"/>
      <c r="H639" s="3" t="n"/>
      <c r="I639" s="4" t="n"/>
      <c r="J639" s="5" t="n"/>
      <c r="K639" s="3" t="n"/>
      <c r="L639" s="4" t="n"/>
      <c r="M639" s="5" t="n"/>
      <c r="N639" s="3" t="n"/>
      <c r="O639" s="4" t="n"/>
      <c r="P639" s="5" t="n"/>
      <c r="Q639" s="3" t="n"/>
      <c r="R639" s="4" t="n"/>
      <c r="S639" s="5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6">
        <f>IF(C639=0,0,IF(E639="",B639*D639/100,E639))</f>
        <v/>
      </c>
      <c r="AE639" s="6">
        <f>IF(F639=0,0,IF(H639="",B639*G639/100,H639))</f>
        <v/>
      </c>
      <c r="AF639" s="6">
        <f>IF(I639=0,0,IF(K639="",B639*J639/100,K639))</f>
        <v/>
      </c>
      <c r="AG639" s="6">
        <f>IF(L639=0,0,IF(N639="",B639*M639/100,N639))</f>
        <v/>
      </c>
      <c r="AH639" s="6">
        <f>IF(O639=0,0,IF(Q639="",B639*P639/100,Q639))</f>
        <v/>
      </c>
      <c r="AI639" s="6">
        <f>IF(R639=0,0,IF(T639="",B639*S639/100,T639))</f>
        <v/>
      </c>
      <c r="AJ639" s="6">
        <f>B639*0.035</f>
        <v/>
      </c>
      <c r="AK639" s="6">
        <f>B639*0.065</f>
        <v/>
      </c>
      <c r="AL639" s="6">
        <f>SUM(B639,AD639,AE639,AF639,AG639,AH639,AI639,U639,V639,AJ639,AK639)</f>
        <v/>
      </c>
      <c r="AM639" s="6">
        <f>B639*0.055</f>
        <v/>
      </c>
      <c r="AN639" s="6">
        <f>B639*0.035</f>
        <v/>
      </c>
      <c r="AO639" s="6">
        <f>B639*0.165</f>
        <v/>
      </c>
      <c r="AP639" s="6">
        <f>MAX(0,AL639-AM639-AO639)</f>
        <v/>
      </c>
      <c r="AQ639" s="6">
        <f>IF(AP639&lt;=490,0,IF(AP639&lt;=600,(AP639-490)*0.05,IF(AP639&lt;=730,5.5+(AP639-600)*0.10,IF(AP639&lt;=3896.67,18.5+(AP639-730)*0.175,IF(AP639&lt;=19896.67,572.67+(AP639-3896.67)*0.25,IF(AP639&lt;=50416.67,4572.67+(AP639-19896.67)*0.30,13728.67+(AP639-50416.67)*0.35))))))</f>
        <v/>
      </c>
      <c r="AR639" s="6">
        <f>SUM(AM639,AQ639,W639,X639,Y639,Z639,AA639,AN639,AO639)</f>
        <v/>
      </c>
      <c r="AS639" s="6">
        <f>AL639-AR639</f>
        <v/>
      </c>
      <c r="AT639" s="6">
        <f>AB639-AC639</f>
        <v/>
      </c>
    </row>
    <row r="640">
      <c r="A640" s="2" t="n"/>
      <c r="B640" s="3" t="n"/>
      <c r="C640" s="4" t="n"/>
      <c r="D640" s="5" t="n"/>
      <c r="E640" s="3" t="n"/>
      <c r="F640" s="4" t="n"/>
      <c r="G640" s="5" t="n"/>
      <c r="H640" s="3" t="n"/>
      <c r="I640" s="4" t="n"/>
      <c r="J640" s="5" t="n"/>
      <c r="K640" s="3" t="n"/>
      <c r="L640" s="4" t="n"/>
      <c r="M640" s="5" t="n"/>
      <c r="N640" s="3" t="n"/>
      <c r="O640" s="4" t="n"/>
      <c r="P640" s="5" t="n"/>
      <c r="Q640" s="3" t="n"/>
      <c r="R640" s="4" t="n"/>
      <c r="S640" s="5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6">
        <f>IF(C640=0,0,IF(E640="",B640*D640/100,E640))</f>
        <v/>
      </c>
      <c r="AE640" s="6">
        <f>IF(F640=0,0,IF(H640="",B640*G640/100,H640))</f>
        <v/>
      </c>
      <c r="AF640" s="6">
        <f>IF(I640=0,0,IF(K640="",B640*J640/100,K640))</f>
        <v/>
      </c>
      <c r="AG640" s="6">
        <f>IF(L640=0,0,IF(N640="",B640*M640/100,N640))</f>
        <v/>
      </c>
      <c r="AH640" s="6">
        <f>IF(O640=0,0,IF(Q640="",B640*P640/100,Q640))</f>
        <v/>
      </c>
      <c r="AI640" s="6">
        <f>IF(R640=0,0,IF(T640="",B640*S640/100,T640))</f>
        <v/>
      </c>
      <c r="AJ640" s="6">
        <f>B640*0.035</f>
        <v/>
      </c>
      <c r="AK640" s="6">
        <f>B640*0.065</f>
        <v/>
      </c>
      <c r="AL640" s="6">
        <f>SUM(B640,AD640,AE640,AF640,AG640,AH640,AI640,U640,V640,AJ640,AK640)</f>
        <v/>
      </c>
      <c r="AM640" s="6">
        <f>B640*0.055</f>
        <v/>
      </c>
      <c r="AN640" s="6">
        <f>B640*0.035</f>
        <v/>
      </c>
      <c r="AO640" s="6">
        <f>B640*0.165</f>
        <v/>
      </c>
      <c r="AP640" s="6">
        <f>MAX(0,AL640-AM640-AO640)</f>
        <v/>
      </c>
      <c r="AQ640" s="6">
        <f>IF(AP640&lt;=490,0,IF(AP640&lt;=600,(AP640-490)*0.05,IF(AP640&lt;=730,5.5+(AP640-600)*0.10,IF(AP640&lt;=3896.67,18.5+(AP640-730)*0.175,IF(AP640&lt;=19896.67,572.67+(AP640-3896.67)*0.25,IF(AP640&lt;=50416.67,4572.67+(AP640-19896.67)*0.30,13728.67+(AP640-50416.67)*0.35))))))</f>
        <v/>
      </c>
      <c r="AR640" s="6">
        <f>SUM(AM640,AQ640,W640,X640,Y640,Z640,AA640,AN640,AO640)</f>
        <v/>
      </c>
      <c r="AS640" s="6">
        <f>AL640-AR640</f>
        <v/>
      </c>
      <c r="AT640" s="6">
        <f>AB640-AC640</f>
        <v/>
      </c>
    </row>
    <row r="641">
      <c r="A641" s="2" t="n"/>
      <c r="B641" s="3" t="n"/>
      <c r="C641" s="4" t="n"/>
      <c r="D641" s="5" t="n"/>
      <c r="E641" s="3" t="n"/>
      <c r="F641" s="4" t="n"/>
      <c r="G641" s="5" t="n"/>
      <c r="H641" s="3" t="n"/>
      <c r="I641" s="4" t="n"/>
      <c r="J641" s="5" t="n"/>
      <c r="K641" s="3" t="n"/>
      <c r="L641" s="4" t="n"/>
      <c r="M641" s="5" t="n"/>
      <c r="N641" s="3" t="n"/>
      <c r="O641" s="4" t="n"/>
      <c r="P641" s="5" t="n"/>
      <c r="Q641" s="3" t="n"/>
      <c r="R641" s="4" t="n"/>
      <c r="S641" s="5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6">
        <f>IF(C641=0,0,IF(E641="",B641*D641/100,E641))</f>
        <v/>
      </c>
      <c r="AE641" s="6">
        <f>IF(F641=0,0,IF(H641="",B641*G641/100,H641))</f>
        <v/>
      </c>
      <c r="AF641" s="6">
        <f>IF(I641=0,0,IF(K641="",B641*J641/100,K641))</f>
        <v/>
      </c>
      <c r="AG641" s="6">
        <f>IF(L641=0,0,IF(N641="",B641*M641/100,N641))</f>
        <v/>
      </c>
      <c r="AH641" s="6">
        <f>IF(O641=0,0,IF(Q641="",B641*P641/100,Q641))</f>
        <v/>
      </c>
      <c r="AI641" s="6">
        <f>IF(R641=0,0,IF(T641="",B641*S641/100,T641))</f>
        <v/>
      </c>
      <c r="AJ641" s="6">
        <f>B641*0.035</f>
        <v/>
      </c>
      <c r="AK641" s="6">
        <f>B641*0.065</f>
        <v/>
      </c>
      <c r="AL641" s="6">
        <f>SUM(B641,AD641,AE641,AF641,AG641,AH641,AI641,U641,V641,AJ641,AK641)</f>
        <v/>
      </c>
      <c r="AM641" s="6">
        <f>B641*0.055</f>
        <v/>
      </c>
      <c r="AN641" s="6">
        <f>B641*0.035</f>
        <v/>
      </c>
      <c r="AO641" s="6">
        <f>B641*0.165</f>
        <v/>
      </c>
      <c r="AP641" s="6">
        <f>MAX(0,AL641-AM641-AO641)</f>
        <v/>
      </c>
      <c r="AQ641" s="6">
        <f>IF(AP641&lt;=490,0,IF(AP641&lt;=600,(AP641-490)*0.05,IF(AP641&lt;=730,5.5+(AP641-600)*0.10,IF(AP641&lt;=3896.67,18.5+(AP641-730)*0.175,IF(AP641&lt;=19896.67,572.67+(AP641-3896.67)*0.25,IF(AP641&lt;=50416.67,4572.67+(AP641-19896.67)*0.30,13728.67+(AP641-50416.67)*0.35))))))</f>
        <v/>
      </c>
      <c r="AR641" s="6">
        <f>SUM(AM641,AQ641,W641,X641,Y641,Z641,AA641,AN641,AO641)</f>
        <v/>
      </c>
      <c r="AS641" s="6">
        <f>AL641-AR641</f>
        <v/>
      </c>
      <c r="AT641" s="6">
        <f>AB641-AC641</f>
        <v/>
      </c>
    </row>
    <row r="642">
      <c r="A642" s="2" t="n"/>
      <c r="B642" s="3" t="n"/>
      <c r="C642" s="4" t="n"/>
      <c r="D642" s="5" t="n"/>
      <c r="E642" s="3" t="n"/>
      <c r="F642" s="4" t="n"/>
      <c r="G642" s="5" t="n"/>
      <c r="H642" s="3" t="n"/>
      <c r="I642" s="4" t="n"/>
      <c r="J642" s="5" t="n"/>
      <c r="K642" s="3" t="n"/>
      <c r="L642" s="4" t="n"/>
      <c r="M642" s="5" t="n"/>
      <c r="N642" s="3" t="n"/>
      <c r="O642" s="4" t="n"/>
      <c r="P642" s="5" t="n"/>
      <c r="Q642" s="3" t="n"/>
      <c r="R642" s="4" t="n"/>
      <c r="S642" s="5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6">
        <f>IF(C642=0,0,IF(E642="",B642*D642/100,E642))</f>
        <v/>
      </c>
      <c r="AE642" s="6">
        <f>IF(F642=0,0,IF(H642="",B642*G642/100,H642))</f>
        <v/>
      </c>
      <c r="AF642" s="6">
        <f>IF(I642=0,0,IF(K642="",B642*J642/100,K642))</f>
        <v/>
      </c>
      <c r="AG642" s="6">
        <f>IF(L642=0,0,IF(N642="",B642*M642/100,N642))</f>
        <v/>
      </c>
      <c r="AH642" s="6">
        <f>IF(O642=0,0,IF(Q642="",B642*P642/100,Q642))</f>
        <v/>
      </c>
      <c r="AI642" s="6">
        <f>IF(R642=0,0,IF(T642="",B642*S642/100,T642))</f>
        <v/>
      </c>
      <c r="AJ642" s="6">
        <f>B642*0.035</f>
        <v/>
      </c>
      <c r="AK642" s="6">
        <f>B642*0.065</f>
        <v/>
      </c>
      <c r="AL642" s="6">
        <f>SUM(B642,AD642,AE642,AF642,AG642,AH642,AI642,U642,V642,AJ642,AK642)</f>
        <v/>
      </c>
      <c r="AM642" s="6">
        <f>B642*0.055</f>
        <v/>
      </c>
      <c r="AN642" s="6">
        <f>B642*0.035</f>
        <v/>
      </c>
      <c r="AO642" s="6">
        <f>B642*0.165</f>
        <v/>
      </c>
      <c r="AP642" s="6">
        <f>MAX(0,AL642-AM642-AO642)</f>
        <v/>
      </c>
      <c r="AQ642" s="6">
        <f>IF(AP642&lt;=490,0,IF(AP642&lt;=600,(AP642-490)*0.05,IF(AP642&lt;=730,5.5+(AP642-600)*0.10,IF(AP642&lt;=3896.67,18.5+(AP642-730)*0.175,IF(AP642&lt;=19896.67,572.67+(AP642-3896.67)*0.25,IF(AP642&lt;=50416.67,4572.67+(AP642-19896.67)*0.30,13728.67+(AP642-50416.67)*0.35))))))</f>
        <v/>
      </c>
      <c r="AR642" s="6">
        <f>SUM(AM642,AQ642,W642,X642,Y642,Z642,AA642,AN642,AO642)</f>
        <v/>
      </c>
      <c r="AS642" s="6">
        <f>AL642-AR642</f>
        <v/>
      </c>
      <c r="AT642" s="6">
        <f>AB642-AC642</f>
        <v/>
      </c>
    </row>
    <row r="643">
      <c r="A643" s="2" t="n"/>
      <c r="B643" s="3" t="n"/>
      <c r="C643" s="4" t="n"/>
      <c r="D643" s="5" t="n"/>
      <c r="E643" s="3" t="n"/>
      <c r="F643" s="4" t="n"/>
      <c r="G643" s="5" t="n"/>
      <c r="H643" s="3" t="n"/>
      <c r="I643" s="4" t="n"/>
      <c r="J643" s="5" t="n"/>
      <c r="K643" s="3" t="n"/>
      <c r="L643" s="4" t="n"/>
      <c r="M643" s="5" t="n"/>
      <c r="N643" s="3" t="n"/>
      <c r="O643" s="4" t="n"/>
      <c r="P643" s="5" t="n"/>
      <c r="Q643" s="3" t="n"/>
      <c r="R643" s="4" t="n"/>
      <c r="S643" s="5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6">
        <f>IF(C643=0,0,IF(E643="",B643*D643/100,E643))</f>
        <v/>
      </c>
      <c r="AE643" s="6">
        <f>IF(F643=0,0,IF(H643="",B643*G643/100,H643))</f>
        <v/>
      </c>
      <c r="AF643" s="6">
        <f>IF(I643=0,0,IF(K643="",B643*J643/100,K643))</f>
        <v/>
      </c>
      <c r="AG643" s="6">
        <f>IF(L643=0,0,IF(N643="",B643*M643/100,N643))</f>
        <v/>
      </c>
      <c r="AH643" s="6">
        <f>IF(O643=0,0,IF(Q643="",B643*P643/100,Q643))</f>
        <v/>
      </c>
      <c r="AI643" s="6">
        <f>IF(R643=0,0,IF(T643="",B643*S643/100,T643))</f>
        <v/>
      </c>
      <c r="AJ643" s="6">
        <f>B643*0.035</f>
        <v/>
      </c>
      <c r="AK643" s="6">
        <f>B643*0.065</f>
        <v/>
      </c>
      <c r="AL643" s="6">
        <f>SUM(B643,AD643,AE643,AF643,AG643,AH643,AI643,U643,V643,AJ643,AK643)</f>
        <v/>
      </c>
      <c r="AM643" s="6">
        <f>B643*0.055</f>
        <v/>
      </c>
      <c r="AN643" s="6">
        <f>B643*0.035</f>
        <v/>
      </c>
      <c r="AO643" s="6">
        <f>B643*0.165</f>
        <v/>
      </c>
      <c r="AP643" s="6">
        <f>MAX(0,AL643-AM643-AO643)</f>
        <v/>
      </c>
      <c r="AQ643" s="6">
        <f>IF(AP643&lt;=490,0,IF(AP643&lt;=600,(AP643-490)*0.05,IF(AP643&lt;=730,5.5+(AP643-600)*0.10,IF(AP643&lt;=3896.67,18.5+(AP643-730)*0.175,IF(AP643&lt;=19896.67,572.67+(AP643-3896.67)*0.25,IF(AP643&lt;=50416.67,4572.67+(AP643-19896.67)*0.30,13728.67+(AP643-50416.67)*0.35))))))</f>
        <v/>
      </c>
      <c r="AR643" s="6">
        <f>SUM(AM643,AQ643,W643,X643,Y643,Z643,AA643,AN643,AO643)</f>
        <v/>
      </c>
      <c r="AS643" s="6">
        <f>AL643-AR643</f>
        <v/>
      </c>
      <c r="AT643" s="6">
        <f>AB643-AC643</f>
        <v/>
      </c>
    </row>
    <row r="644">
      <c r="A644" s="2" t="n"/>
      <c r="B644" s="3" t="n"/>
      <c r="C644" s="4" t="n"/>
      <c r="D644" s="5" t="n"/>
      <c r="E644" s="3" t="n"/>
      <c r="F644" s="4" t="n"/>
      <c r="G644" s="5" t="n"/>
      <c r="H644" s="3" t="n"/>
      <c r="I644" s="4" t="n"/>
      <c r="J644" s="5" t="n"/>
      <c r="K644" s="3" t="n"/>
      <c r="L644" s="4" t="n"/>
      <c r="M644" s="5" t="n"/>
      <c r="N644" s="3" t="n"/>
      <c r="O644" s="4" t="n"/>
      <c r="P644" s="5" t="n"/>
      <c r="Q644" s="3" t="n"/>
      <c r="R644" s="4" t="n"/>
      <c r="S644" s="5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6">
        <f>IF(C644=0,0,IF(E644="",B644*D644/100,E644))</f>
        <v/>
      </c>
      <c r="AE644" s="6">
        <f>IF(F644=0,0,IF(H644="",B644*G644/100,H644))</f>
        <v/>
      </c>
      <c r="AF644" s="6">
        <f>IF(I644=0,0,IF(K644="",B644*J644/100,K644))</f>
        <v/>
      </c>
      <c r="AG644" s="6">
        <f>IF(L644=0,0,IF(N644="",B644*M644/100,N644))</f>
        <v/>
      </c>
      <c r="AH644" s="6">
        <f>IF(O644=0,0,IF(Q644="",B644*P644/100,Q644))</f>
        <v/>
      </c>
      <c r="AI644" s="6">
        <f>IF(R644=0,0,IF(T644="",B644*S644/100,T644))</f>
        <v/>
      </c>
      <c r="AJ644" s="6">
        <f>B644*0.035</f>
        <v/>
      </c>
      <c r="AK644" s="6">
        <f>B644*0.065</f>
        <v/>
      </c>
      <c r="AL644" s="6">
        <f>SUM(B644,AD644,AE644,AF644,AG644,AH644,AI644,U644,V644,AJ644,AK644)</f>
        <v/>
      </c>
      <c r="AM644" s="6">
        <f>B644*0.055</f>
        <v/>
      </c>
      <c r="AN644" s="6">
        <f>B644*0.035</f>
        <v/>
      </c>
      <c r="AO644" s="6">
        <f>B644*0.165</f>
        <v/>
      </c>
      <c r="AP644" s="6">
        <f>MAX(0,AL644-AM644-AO644)</f>
        <v/>
      </c>
      <c r="AQ644" s="6">
        <f>IF(AP644&lt;=490,0,IF(AP644&lt;=600,(AP644-490)*0.05,IF(AP644&lt;=730,5.5+(AP644-600)*0.10,IF(AP644&lt;=3896.67,18.5+(AP644-730)*0.175,IF(AP644&lt;=19896.67,572.67+(AP644-3896.67)*0.25,IF(AP644&lt;=50416.67,4572.67+(AP644-19896.67)*0.30,13728.67+(AP644-50416.67)*0.35))))))</f>
        <v/>
      </c>
      <c r="AR644" s="6">
        <f>SUM(AM644,AQ644,W644,X644,Y644,Z644,AA644,AN644,AO644)</f>
        <v/>
      </c>
      <c r="AS644" s="6">
        <f>AL644-AR644</f>
        <v/>
      </c>
      <c r="AT644" s="6">
        <f>AB644-AC644</f>
        <v/>
      </c>
    </row>
    <row r="645">
      <c r="A645" s="2" t="n"/>
      <c r="B645" s="3" t="n"/>
      <c r="C645" s="4" t="n"/>
      <c r="D645" s="5" t="n"/>
      <c r="E645" s="3" t="n"/>
      <c r="F645" s="4" t="n"/>
      <c r="G645" s="5" t="n"/>
      <c r="H645" s="3" t="n"/>
      <c r="I645" s="4" t="n"/>
      <c r="J645" s="5" t="n"/>
      <c r="K645" s="3" t="n"/>
      <c r="L645" s="4" t="n"/>
      <c r="M645" s="5" t="n"/>
      <c r="N645" s="3" t="n"/>
      <c r="O645" s="4" t="n"/>
      <c r="P645" s="5" t="n"/>
      <c r="Q645" s="3" t="n"/>
      <c r="R645" s="4" t="n"/>
      <c r="S645" s="5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6">
        <f>IF(C645=0,0,IF(E645="",B645*D645/100,E645))</f>
        <v/>
      </c>
      <c r="AE645" s="6">
        <f>IF(F645=0,0,IF(H645="",B645*G645/100,H645))</f>
        <v/>
      </c>
      <c r="AF645" s="6">
        <f>IF(I645=0,0,IF(K645="",B645*J645/100,K645))</f>
        <v/>
      </c>
      <c r="AG645" s="6">
        <f>IF(L645=0,0,IF(N645="",B645*M645/100,N645))</f>
        <v/>
      </c>
      <c r="AH645" s="6">
        <f>IF(O645=0,0,IF(Q645="",B645*P645/100,Q645))</f>
        <v/>
      </c>
      <c r="AI645" s="6">
        <f>IF(R645=0,0,IF(T645="",B645*S645/100,T645))</f>
        <v/>
      </c>
      <c r="AJ645" s="6">
        <f>B645*0.035</f>
        <v/>
      </c>
      <c r="AK645" s="6">
        <f>B645*0.065</f>
        <v/>
      </c>
      <c r="AL645" s="6">
        <f>SUM(B645,AD645,AE645,AF645,AG645,AH645,AI645,U645,V645,AJ645,AK645)</f>
        <v/>
      </c>
      <c r="AM645" s="6">
        <f>B645*0.055</f>
        <v/>
      </c>
      <c r="AN645" s="6">
        <f>B645*0.035</f>
        <v/>
      </c>
      <c r="AO645" s="6">
        <f>B645*0.165</f>
        <v/>
      </c>
      <c r="AP645" s="6">
        <f>MAX(0,AL645-AM645-AO645)</f>
        <v/>
      </c>
      <c r="AQ645" s="6">
        <f>IF(AP645&lt;=490,0,IF(AP645&lt;=600,(AP645-490)*0.05,IF(AP645&lt;=730,5.5+(AP645-600)*0.10,IF(AP645&lt;=3896.67,18.5+(AP645-730)*0.175,IF(AP645&lt;=19896.67,572.67+(AP645-3896.67)*0.25,IF(AP645&lt;=50416.67,4572.67+(AP645-19896.67)*0.30,13728.67+(AP645-50416.67)*0.35))))))</f>
        <v/>
      </c>
      <c r="AR645" s="6">
        <f>SUM(AM645,AQ645,W645,X645,Y645,Z645,AA645,AN645,AO645)</f>
        <v/>
      </c>
      <c r="AS645" s="6">
        <f>AL645-AR645</f>
        <v/>
      </c>
      <c r="AT645" s="6">
        <f>AB645-AC645</f>
        <v/>
      </c>
    </row>
    <row r="646">
      <c r="A646" s="2" t="n"/>
      <c r="B646" s="3" t="n"/>
      <c r="C646" s="4" t="n"/>
      <c r="D646" s="5" t="n"/>
      <c r="E646" s="3" t="n"/>
      <c r="F646" s="4" t="n"/>
      <c r="G646" s="5" t="n"/>
      <c r="H646" s="3" t="n"/>
      <c r="I646" s="4" t="n"/>
      <c r="J646" s="5" t="n"/>
      <c r="K646" s="3" t="n"/>
      <c r="L646" s="4" t="n"/>
      <c r="M646" s="5" t="n"/>
      <c r="N646" s="3" t="n"/>
      <c r="O646" s="4" t="n"/>
      <c r="P646" s="5" t="n"/>
      <c r="Q646" s="3" t="n"/>
      <c r="R646" s="4" t="n"/>
      <c r="S646" s="5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6">
        <f>IF(C646=0,0,IF(E646="",B646*D646/100,E646))</f>
        <v/>
      </c>
      <c r="AE646" s="6">
        <f>IF(F646=0,0,IF(H646="",B646*G646/100,H646))</f>
        <v/>
      </c>
      <c r="AF646" s="6">
        <f>IF(I646=0,0,IF(K646="",B646*J646/100,K646))</f>
        <v/>
      </c>
      <c r="AG646" s="6">
        <f>IF(L646=0,0,IF(N646="",B646*M646/100,N646))</f>
        <v/>
      </c>
      <c r="AH646" s="6">
        <f>IF(O646=0,0,IF(Q646="",B646*P646/100,Q646))</f>
        <v/>
      </c>
      <c r="AI646" s="6">
        <f>IF(R646=0,0,IF(T646="",B646*S646/100,T646))</f>
        <v/>
      </c>
      <c r="AJ646" s="6">
        <f>B646*0.035</f>
        <v/>
      </c>
      <c r="AK646" s="6">
        <f>B646*0.065</f>
        <v/>
      </c>
      <c r="AL646" s="6">
        <f>SUM(B646,AD646,AE646,AF646,AG646,AH646,AI646,U646,V646,AJ646,AK646)</f>
        <v/>
      </c>
      <c r="AM646" s="6">
        <f>B646*0.055</f>
        <v/>
      </c>
      <c r="AN646" s="6">
        <f>B646*0.035</f>
        <v/>
      </c>
      <c r="AO646" s="6">
        <f>B646*0.165</f>
        <v/>
      </c>
      <c r="AP646" s="6">
        <f>MAX(0,AL646-AM646-AO646)</f>
        <v/>
      </c>
      <c r="AQ646" s="6">
        <f>IF(AP646&lt;=490,0,IF(AP646&lt;=600,(AP646-490)*0.05,IF(AP646&lt;=730,5.5+(AP646-600)*0.10,IF(AP646&lt;=3896.67,18.5+(AP646-730)*0.175,IF(AP646&lt;=19896.67,572.67+(AP646-3896.67)*0.25,IF(AP646&lt;=50416.67,4572.67+(AP646-19896.67)*0.30,13728.67+(AP646-50416.67)*0.35))))))</f>
        <v/>
      </c>
      <c r="AR646" s="6">
        <f>SUM(AM646,AQ646,W646,X646,Y646,Z646,AA646,AN646,AO646)</f>
        <v/>
      </c>
      <c r="AS646" s="6">
        <f>AL646-AR646</f>
        <v/>
      </c>
      <c r="AT646" s="6">
        <f>AB646-AC646</f>
        <v/>
      </c>
    </row>
    <row r="647">
      <c r="A647" s="2" t="n"/>
      <c r="B647" s="3" t="n"/>
      <c r="C647" s="4" t="n"/>
      <c r="D647" s="5" t="n"/>
      <c r="E647" s="3" t="n"/>
      <c r="F647" s="4" t="n"/>
      <c r="G647" s="5" t="n"/>
      <c r="H647" s="3" t="n"/>
      <c r="I647" s="4" t="n"/>
      <c r="J647" s="5" t="n"/>
      <c r="K647" s="3" t="n"/>
      <c r="L647" s="4" t="n"/>
      <c r="M647" s="5" t="n"/>
      <c r="N647" s="3" t="n"/>
      <c r="O647" s="4" t="n"/>
      <c r="P647" s="5" t="n"/>
      <c r="Q647" s="3" t="n"/>
      <c r="R647" s="4" t="n"/>
      <c r="S647" s="5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6">
        <f>IF(C647=0,0,IF(E647="",B647*D647/100,E647))</f>
        <v/>
      </c>
      <c r="AE647" s="6">
        <f>IF(F647=0,0,IF(H647="",B647*G647/100,H647))</f>
        <v/>
      </c>
      <c r="AF647" s="6">
        <f>IF(I647=0,0,IF(K647="",B647*J647/100,K647))</f>
        <v/>
      </c>
      <c r="AG647" s="6">
        <f>IF(L647=0,0,IF(N647="",B647*M647/100,N647))</f>
        <v/>
      </c>
      <c r="AH647" s="6">
        <f>IF(O647=0,0,IF(Q647="",B647*P647/100,Q647))</f>
        <v/>
      </c>
      <c r="AI647" s="6">
        <f>IF(R647=0,0,IF(T647="",B647*S647/100,T647))</f>
        <v/>
      </c>
      <c r="AJ647" s="6">
        <f>B647*0.035</f>
        <v/>
      </c>
      <c r="AK647" s="6">
        <f>B647*0.065</f>
        <v/>
      </c>
      <c r="AL647" s="6">
        <f>SUM(B647,AD647,AE647,AF647,AG647,AH647,AI647,U647,V647,AJ647,AK647)</f>
        <v/>
      </c>
      <c r="AM647" s="6">
        <f>B647*0.055</f>
        <v/>
      </c>
      <c r="AN647" s="6">
        <f>B647*0.035</f>
        <v/>
      </c>
      <c r="AO647" s="6">
        <f>B647*0.165</f>
        <v/>
      </c>
      <c r="AP647" s="6">
        <f>MAX(0,AL647-AM647-AO647)</f>
        <v/>
      </c>
      <c r="AQ647" s="6">
        <f>IF(AP647&lt;=490,0,IF(AP647&lt;=600,(AP647-490)*0.05,IF(AP647&lt;=730,5.5+(AP647-600)*0.10,IF(AP647&lt;=3896.67,18.5+(AP647-730)*0.175,IF(AP647&lt;=19896.67,572.67+(AP647-3896.67)*0.25,IF(AP647&lt;=50416.67,4572.67+(AP647-19896.67)*0.30,13728.67+(AP647-50416.67)*0.35))))))</f>
        <v/>
      </c>
      <c r="AR647" s="6">
        <f>SUM(AM647,AQ647,W647,X647,Y647,Z647,AA647,AN647,AO647)</f>
        <v/>
      </c>
      <c r="AS647" s="6">
        <f>AL647-AR647</f>
        <v/>
      </c>
      <c r="AT647" s="6">
        <f>AB647-AC647</f>
        <v/>
      </c>
    </row>
    <row r="648">
      <c r="A648" s="2" t="n"/>
      <c r="B648" s="3" t="n"/>
      <c r="C648" s="4" t="n"/>
      <c r="D648" s="5" t="n"/>
      <c r="E648" s="3" t="n"/>
      <c r="F648" s="4" t="n"/>
      <c r="G648" s="5" t="n"/>
      <c r="H648" s="3" t="n"/>
      <c r="I648" s="4" t="n"/>
      <c r="J648" s="5" t="n"/>
      <c r="K648" s="3" t="n"/>
      <c r="L648" s="4" t="n"/>
      <c r="M648" s="5" t="n"/>
      <c r="N648" s="3" t="n"/>
      <c r="O648" s="4" t="n"/>
      <c r="P648" s="5" t="n"/>
      <c r="Q648" s="3" t="n"/>
      <c r="R648" s="4" t="n"/>
      <c r="S648" s="5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6">
        <f>IF(C648=0,0,IF(E648="",B648*D648/100,E648))</f>
        <v/>
      </c>
      <c r="AE648" s="6">
        <f>IF(F648=0,0,IF(H648="",B648*G648/100,H648))</f>
        <v/>
      </c>
      <c r="AF648" s="6">
        <f>IF(I648=0,0,IF(K648="",B648*J648/100,K648))</f>
        <v/>
      </c>
      <c r="AG648" s="6">
        <f>IF(L648=0,0,IF(N648="",B648*M648/100,N648))</f>
        <v/>
      </c>
      <c r="AH648" s="6">
        <f>IF(O648=0,0,IF(Q648="",B648*P648/100,Q648))</f>
        <v/>
      </c>
      <c r="AI648" s="6">
        <f>IF(R648=0,0,IF(T648="",B648*S648/100,T648))</f>
        <v/>
      </c>
      <c r="AJ648" s="6">
        <f>B648*0.035</f>
        <v/>
      </c>
      <c r="AK648" s="6">
        <f>B648*0.065</f>
        <v/>
      </c>
      <c r="AL648" s="6">
        <f>SUM(B648,AD648,AE648,AF648,AG648,AH648,AI648,U648,V648,AJ648,AK648)</f>
        <v/>
      </c>
      <c r="AM648" s="6">
        <f>B648*0.055</f>
        <v/>
      </c>
      <c r="AN648" s="6">
        <f>B648*0.035</f>
        <v/>
      </c>
      <c r="AO648" s="6">
        <f>B648*0.165</f>
        <v/>
      </c>
      <c r="AP648" s="6">
        <f>MAX(0,AL648-AM648-AO648)</f>
        <v/>
      </c>
      <c r="AQ648" s="6">
        <f>IF(AP648&lt;=490,0,IF(AP648&lt;=600,(AP648-490)*0.05,IF(AP648&lt;=730,5.5+(AP648-600)*0.10,IF(AP648&lt;=3896.67,18.5+(AP648-730)*0.175,IF(AP648&lt;=19896.67,572.67+(AP648-3896.67)*0.25,IF(AP648&lt;=50416.67,4572.67+(AP648-19896.67)*0.30,13728.67+(AP648-50416.67)*0.35))))))</f>
        <v/>
      </c>
      <c r="AR648" s="6">
        <f>SUM(AM648,AQ648,W648,X648,Y648,Z648,AA648,AN648,AO648)</f>
        <v/>
      </c>
      <c r="AS648" s="6">
        <f>AL648-AR648</f>
        <v/>
      </c>
      <c r="AT648" s="6">
        <f>AB648-AC648</f>
        <v/>
      </c>
    </row>
    <row r="649">
      <c r="A649" s="2" t="n"/>
      <c r="B649" s="3" t="n"/>
      <c r="C649" s="4" t="n"/>
      <c r="D649" s="5" t="n"/>
      <c r="E649" s="3" t="n"/>
      <c r="F649" s="4" t="n"/>
      <c r="G649" s="5" t="n"/>
      <c r="H649" s="3" t="n"/>
      <c r="I649" s="4" t="n"/>
      <c r="J649" s="5" t="n"/>
      <c r="K649" s="3" t="n"/>
      <c r="L649" s="4" t="n"/>
      <c r="M649" s="5" t="n"/>
      <c r="N649" s="3" t="n"/>
      <c r="O649" s="4" t="n"/>
      <c r="P649" s="5" t="n"/>
      <c r="Q649" s="3" t="n"/>
      <c r="R649" s="4" t="n"/>
      <c r="S649" s="5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6">
        <f>IF(C649=0,0,IF(E649="",B649*D649/100,E649))</f>
        <v/>
      </c>
      <c r="AE649" s="6">
        <f>IF(F649=0,0,IF(H649="",B649*G649/100,H649))</f>
        <v/>
      </c>
      <c r="AF649" s="6">
        <f>IF(I649=0,0,IF(K649="",B649*J649/100,K649))</f>
        <v/>
      </c>
      <c r="AG649" s="6">
        <f>IF(L649=0,0,IF(N649="",B649*M649/100,N649))</f>
        <v/>
      </c>
      <c r="AH649" s="6">
        <f>IF(O649=0,0,IF(Q649="",B649*P649/100,Q649))</f>
        <v/>
      </c>
      <c r="AI649" s="6">
        <f>IF(R649=0,0,IF(T649="",B649*S649/100,T649))</f>
        <v/>
      </c>
      <c r="AJ649" s="6">
        <f>B649*0.035</f>
        <v/>
      </c>
      <c r="AK649" s="6">
        <f>B649*0.065</f>
        <v/>
      </c>
      <c r="AL649" s="6">
        <f>SUM(B649,AD649,AE649,AF649,AG649,AH649,AI649,U649,V649,AJ649,AK649)</f>
        <v/>
      </c>
      <c r="AM649" s="6">
        <f>B649*0.055</f>
        <v/>
      </c>
      <c r="AN649" s="6">
        <f>B649*0.035</f>
        <v/>
      </c>
      <c r="AO649" s="6">
        <f>B649*0.165</f>
        <v/>
      </c>
      <c r="AP649" s="6">
        <f>MAX(0,AL649-AM649-AO649)</f>
        <v/>
      </c>
      <c r="AQ649" s="6">
        <f>IF(AP649&lt;=490,0,IF(AP649&lt;=600,(AP649-490)*0.05,IF(AP649&lt;=730,5.5+(AP649-600)*0.10,IF(AP649&lt;=3896.67,18.5+(AP649-730)*0.175,IF(AP649&lt;=19896.67,572.67+(AP649-3896.67)*0.25,IF(AP649&lt;=50416.67,4572.67+(AP649-19896.67)*0.30,13728.67+(AP649-50416.67)*0.35))))))</f>
        <v/>
      </c>
      <c r="AR649" s="6">
        <f>SUM(AM649,AQ649,W649,X649,Y649,Z649,AA649,AN649,AO649)</f>
        <v/>
      </c>
      <c r="AS649" s="6">
        <f>AL649-AR649</f>
        <v/>
      </c>
      <c r="AT649" s="6">
        <f>AB649-AC649</f>
        <v/>
      </c>
    </row>
    <row r="650">
      <c r="A650" s="2" t="n"/>
      <c r="B650" s="3" t="n"/>
      <c r="C650" s="4" t="n"/>
      <c r="D650" s="5" t="n"/>
      <c r="E650" s="3" t="n"/>
      <c r="F650" s="4" t="n"/>
      <c r="G650" s="5" t="n"/>
      <c r="H650" s="3" t="n"/>
      <c r="I650" s="4" t="n"/>
      <c r="J650" s="5" t="n"/>
      <c r="K650" s="3" t="n"/>
      <c r="L650" s="4" t="n"/>
      <c r="M650" s="5" t="n"/>
      <c r="N650" s="3" t="n"/>
      <c r="O650" s="4" t="n"/>
      <c r="P650" s="5" t="n"/>
      <c r="Q650" s="3" t="n"/>
      <c r="R650" s="4" t="n"/>
      <c r="S650" s="5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6">
        <f>IF(C650=0,0,IF(E650="",B650*D650/100,E650))</f>
        <v/>
      </c>
      <c r="AE650" s="6">
        <f>IF(F650=0,0,IF(H650="",B650*G650/100,H650))</f>
        <v/>
      </c>
      <c r="AF650" s="6">
        <f>IF(I650=0,0,IF(K650="",B650*J650/100,K650))</f>
        <v/>
      </c>
      <c r="AG650" s="6">
        <f>IF(L650=0,0,IF(N650="",B650*M650/100,N650))</f>
        <v/>
      </c>
      <c r="AH650" s="6">
        <f>IF(O650=0,0,IF(Q650="",B650*P650/100,Q650))</f>
        <v/>
      </c>
      <c r="AI650" s="6">
        <f>IF(R650=0,0,IF(T650="",B650*S650/100,T650))</f>
        <v/>
      </c>
      <c r="AJ650" s="6">
        <f>B650*0.035</f>
        <v/>
      </c>
      <c r="AK650" s="6">
        <f>B650*0.065</f>
        <v/>
      </c>
      <c r="AL650" s="6">
        <f>SUM(B650,AD650,AE650,AF650,AG650,AH650,AI650,U650,V650,AJ650,AK650)</f>
        <v/>
      </c>
      <c r="AM650" s="6">
        <f>B650*0.055</f>
        <v/>
      </c>
      <c r="AN650" s="6">
        <f>B650*0.035</f>
        <v/>
      </c>
      <c r="AO650" s="6">
        <f>B650*0.165</f>
        <v/>
      </c>
      <c r="AP650" s="6">
        <f>MAX(0,AL650-AM650-AO650)</f>
        <v/>
      </c>
      <c r="AQ650" s="6">
        <f>IF(AP650&lt;=490,0,IF(AP650&lt;=600,(AP650-490)*0.05,IF(AP650&lt;=730,5.5+(AP650-600)*0.10,IF(AP650&lt;=3896.67,18.5+(AP650-730)*0.175,IF(AP650&lt;=19896.67,572.67+(AP650-3896.67)*0.25,IF(AP650&lt;=50416.67,4572.67+(AP650-19896.67)*0.30,13728.67+(AP650-50416.67)*0.35))))))</f>
        <v/>
      </c>
      <c r="AR650" s="6">
        <f>SUM(AM650,AQ650,W650,X650,Y650,Z650,AA650,AN650,AO650)</f>
        <v/>
      </c>
      <c r="AS650" s="6">
        <f>AL650-AR650</f>
        <v/>
      </c>
      <c r="AT650" s="6">
        <f>AB650-AC650</f>
        <v/>
      </c>
    </row>
    <row r="651">
      <c r="A651" s="2" t="n"/>
      <c r="B651" s="3" t="n"/>
      <c r="C651" s="4" t="n"/>
      <c r="D651" s="5" t="n"/>
      <c r="E651" s="3" t="n"/>
      <c r="F651" s="4" t="n"/>
      <c r="G651" s="5" t="n"/>
      <c r="H651" s="3" t="n"/>
      <c r="I651" s="4" t="n"/>
      <c r="J651" s="5" t="n"/>
      <c r="K651" s="3" t="n"/>
      <c r="L651" s="4" t="n"/>
      <c r="M651" s="5" t="n"/>
      <c r="N651" s="3" t="n"/>
      <c r="O651" s="4" t="n"/>
      <c r="P651" s="5" t="n"/>
      <c r="Q651" s="3" t="n"/>
      <c r="R651" s="4" t="n"/>
      <c r="S651" s="5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6">
        <f>IF(C651=0,0,IF(E651="",B651*D651/100,E651))</f>
        <v/>
      </c>
      <c r="AE651" s="6">
        <f>IF(F651=0,0,IF(H651="",B651*G651/100,H651))</f>
        <v/>
      </c>
      <c r="AF651" s="6">
        <f>IF(I651=0,0,IF(K651="",B651*J651/100,K651))</f>
        <v/>
      </c>
      <c r="AG651" s="6">
        <f>IF(L651=0,0,IF(N651="",B651*M651/100,N651))</f>
        <v/>
      </c>
      <c r="AH651" s="6">
        <f>IF(O651=0,0,IF(Q651="",B651*P651/100,Q651))</f>
        <v/>
      </c>
      <c r="AI651" s="6">
        <f>IF(R651=0,0,IF(T651="",B651*S651/100,T651))</f>
        <v/>
      </c>
      <c r="AJ651" s="6">
        <f>B651*0.035</f>
        <v/>
      </c>
      <c r="AK651" s="6">
        <f>B651*0.065</f>
        <v/>
      </c>
      <c r="AL651" s="6">
        <f>SUM(B651,AD651,AE651,AF651,AG651,AH651,AI651,U651,V651,AJ651,AK651)</f>
        <v/>
      </c>
      <c r="AM651" s="6">
        <f>B651*0.055</f>
        <v/>
      </c>
      <c r="AN651" s="6">
        <f>B651*0.035</f>
        <v/>
      </c>
      <c r="AO651" s="6">
        <f>B651*0.165</f>
        <v/>
      </c>
      <c r="AP651" s="6">
        <f>MAX(0,AL651-AM651-AO651)</f>
        <v/>
      </c>
      <c r="AQ651" s="6">
        <f>IF(AP651&lt;=490,0,IF(AP651&lt;=600,(AP651-490)*0.05,IF(AP651&lt;=730,5.5+(AP651-600)*0.10,IF(AP651&lt;=3896.67,18.5+(AP651-730)*0.175,IF(AP651&lt;=19896.67,572.67+(AP651-3896.67)*0.25,IF(AP651&lt;=50416.67,4572.67+(AP651-19896.67)*0.30,13728.67+(AP651-50416.67)*0.35))))))</f>
        <v/>
      </c>
      <c r="AR651" s="6">
        <f>SUM(AM651,AQ651,W651,X651,Y651,Z651,AA651,AN651,AO651)</f>
        <v/>
      </c>
      <c r="AS651" s="6">
        <f>AL651-AR651</f>
        <v/>
      </c>
      <c r="AT651" s="6">
        <f>AB651-AC651</f>
        <v/>
      </c>
    </row>
    <row r="652">
      <c r="A652" s="2" t="n"/>
      <c r="B652" s="3" t="n"/>
      <c r="C652" s="4" t="n"/>
      <c r="D652" s="5" t="n"/>
      <c r="E652" s="3" t="n"/>
      <c r="F652" s="4" t="n"/>
      <c r="G652" s="5" t="n"/>
      <c r="H652" s="3" t="n"/>
      <c r="I652" s="4" t="n"/>
      <c r="J652" s="5" t="n"/>
      <c r="K652" s="3" t="n"/>
      <c r="L652" s="4" t="n"/>
      <c r="M652" s="5" t="n"/>
      <c r="N652" s="3" t="n"/>
      <c r="O652" s="4" t="n"/>
      <c r="P652" s="5" t="n"/>
      <c r="Q652" s="3" t="n"/>
      <c r="R652" s="4" t="n"/>
      <c r="S652" s="5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6">
        <f>IF(C652=0,0,IF(E652="",B652*D652/100,E652))</f>
        <v/>
      </c>
      <c r="AE652" s="6">
        <f>IF(F652=0,0,IF(H652="",B652*G652/100,H652))</f>
        <v/>
      </c>
      <c r="AF652" s="6">
        <f>IF(I652=0,0,IF(K652="",B652*J652/100,K652))</f>
        <v/>
      </c>
      <c r="AG652" s="6">
        <f>IF(L652=0,0,IF(N652="",B652*M652/100,N652))</f>
        <v/>
      </c>
      <c r="AH652" s="6">
        <f>IF(O652=0,0,IF(Q652="",B652*P652/100,Q652))</f>
        <v/>
      </c>
      <c r="AI652" s="6">
        <f>IF(R652=0,0,IF(T652="",B652*S652/100,T652))</f>
        <v/>
      </c>
      <c r="AJ652" s="6">
        <f>B652*0.035</f>
        <v/>
      </c>
      <c r="AK652" s="6">
        <f>B652*0.065</f>
        <v/>
      </c>
      <c r="AL652" s="6">
        <f>SUM(B652,AD652,AE652,AF652,AG652,AH652,AI652,U652,V652,AJ652,AK652)</f>
        <v/>
      </c>
      <c r="AM652" s="6">
        <f>B652*0.055</f>
        <v/>
      </c>
      <c r="AN652" s="6">
        <f>B652*0.035</f>
        <v/>
      </c>
      <c r="AO652" s="6">
        <f>B652*0.165</f>
        <v/>
      </c>
      <c r="AP652" s="6">
        <f>MAX(0,AL652-AM652-AO652)</f>
        <v/>
      </c>
      <c r="AQ652" s="6">
        <f>IF(AP652&lt;=490,0,IF(AP652&lt;=600,(AP652-490)*0.05,IF(AP652&lt;=730,5.5+(AP652-600)*0.10,IF(AP652&lt;=3896.67,18.5+(AP652-730)*0.175,IF(AP652&lt;=19896.67,572.67+(AP652-3896.67)*0.25,IF(AP652&lt;=50416.67,4572.67+(AP652-19896.67)*0.30,13728.67+(AP652-50416.67)*0.35))))))</f>
        <v/>
      </c>
      <c r="AR652" s="6">
        <f>SUM(AM652,AQ652,W652,X652,Y652,Z652,AA652,AN652,AO652)</f>
        <v/>
      </c>
      <c r="AS652" s="6">
        <f>AL652-AR652</f>
        <v/>
      </c>
      <c r="AT652" s="6">
        <f>AB652-AC652</f>
        <v/>
      </c>
    </row>
    <row r="653">
      <c r="A653" s="2" t="n"/>
      <c r="B653" s="3" t="n"/>
      <c r="C653" s="4" t="n"/>
      <c r="D653" s="5" t="n"/>
      <c r="E653" s="3" t="n"/>
      <c r="F653" s="4" t="n"/>
      <c r="G653" s="5" t="n"/>
      <c r="H653" s="3" t="n"/>
      <c r="I653" s="4" t="n"/>
      <c r="J653" s="5" t="n"/>
      <c r="K653" s="3" t="n"/>
      <c r="L653" s="4" t="n"/>
      <c r="M653" s="5" t="n"/>
      <c r="N653" s="3" t="n"/>
      <c r="O653" s="4" t="n"/>
      <c r="P653" s="5" t="n"/>
      <c r="Q653" s="3" t="n"/>
      <c r="R653" s="4" t="n"/>
      <c r="S653" s="5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6">
        <f>IF(C653=0,0,IF(E653="",B653*D653/100,E653))</f>
        <v/>
      </c>
      <c r="AE653" s="6">
        <f>IF(F653=0,0,IF(H653="",B653*G653/100,H653))</f>
        <v/>
      </c>
      <c r="AF653" s="6">
        <f>IF(I653=0,0,IF(K653="",B653*J653/100,K653))</f>
        <v/>
      </c>
      <c r="AG653" s="6">
        <f>IF(L653=0,0,IF(N653="",B653*M653/100,N653))</f>
        <v/>
      </c>
      <c r="AH653" s="6">
        <f>IF(O653=0,0,IF(Q653="",B653*P653/100,Q653))</f>
        <v/>
      </c>
      <c r="AI653" s="6">
        <f>IF(R653=0,0,IF(T653="",B653*S653/100,T653))</f>
        <v/>
      </c>
      <c r="AJ653" s="6">
        <f>B653*0.035</f>
        <v/>
      </c>
      <c r="AK653" s="6">
        <f>B653*0.065</f>
        <v/>
      </c>
      <c r="AL653" s="6">
        <f>SUM(B653,AD653,AE653,AF653,AG653,AH653,AI653,U653,V653,AJ653,AK653)</f>
        <v/>
      </c>
      <c r="AM653" s="6">
        <f>B653*0.055</f>
        <v/>
      </c>
      <c r="AN653" s="6">
        <f>B653*0.035</f>
        <v/>
      </c>
      <c r="AO653" s="6">
        <f>B653*0.165</f>
        <v/>
      </c>
      <c r="AP653" s="6">
        <f>MAX(0,AL653-AM653-AO653)</f>
        <v/>
      </c>
      <c r="AQ653" s="6">
        <f>IF(AP653&lt;=490,0,IF(AP653&lt;=600,(AP653-490)*0.05,IF(AP653&lt;=730,5.5+(AP653-600)*0.10,IF(AP653&lt;=3896.67,18.5+(AP653-730)*0.175,IF(AP653&lt;=19896.67,572.67+(AP653-3896.67)*0.25,IF(AP653&lt;=50416.67,4572.67+(AP653-19896.67)*0.30,13728.67+(AP653-50416.67)*0.35))))))</f>
        <v/>
      </c>
      <c r="AR653" s="6">
        <f>SUM(AM653,AQ653,W653,X653,Y653,Z653,AA653,AN653,AO653)</f>
        <v/>
      </c>
      <c r="AS653" s="6">
        <f>AL653-AR653</f>
        <v/>
      </c>
      <c r="AT653" s="6">
        <f>AB653-AC653</f>
        <v/>
      </c>
    </row>
    <row r="654">
      <c r="A654" s="2" t="n"/>
      <c r="B654" s="3" t="n"/>
      <c r="C654" s="4" t="n"/>
      <c r="D654" s="5" t="n"/>
      <c r="E654" s="3" t="n"/>
      <c r="F654" s="4" t="n"/>
      <c r="G654" s="5" t="n"/>
      <c r="H654" s="3" t="n"/>
      <c r="I654" s="4" t="n"/>
      <c r="J654" s="5" t="n"/>
      <c r="K654" s="3" t="n"/>
      <c r="L654" s="4" t="n"/>
      <c r="M654" s="5" t="n"/>
      <c r="N654" s="3" t="n"/>
      <c r="O654" s="4" t="n"/>
      <c r="P654" s="5" t="n"/>
      <c r="Q654" s="3" t="n"/>
      <c r="R654" s="4" t="n"/>
      <c r="S654" s="5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6">
        <f>IF(C654=0,0,IF(E654="",B654*D654/100,E654))</f>
        <v/>
      </c>
      <c r="AE654" s="6">
        <f>IF(F654=0,0,IF(H654="",B654*G654/100,H654))</f>
        <v/>
      </c>
      <c r="AF654" s="6">
        <f>IF(I654=0,0,IF(K654="",B654*J654/100,K654))</f>
        <v/>
      </c>
      <c r="AG654" s="6">
        <f>IF(L654=0,0,IF(N654="",B654*M654/100,N654))</f>
        <v/>
      </c>
      <c r="AH654" s="6">
        <f>IF(O654=0,0,IF(Q654="",B654*P654/100,Q654))</f>
        <v/>
      </c>
      <c r="AI654" s="6">
        <f>IF(R654=0,0,IF(T654="",B654*S654/100,T654))</f>
        <v/>
      </c>
      <c r="AJ654" s="6">
        <f>B654*0.035</f>
        <v/>
      </c>
      <c r="AK654" s="6">
        <f>B654*0.065</f>
        <v/>
      </c>
      <c r="AL654" s="6">
        <f>SUM(B654,AD654,AE654,AF654,AG654,AH654,AI654,U654,V654,AJ654,AK654)</f>
        <v/>
      </c>
      <c r="AM654" s="6">
        <f>B654*0.055</f>
        <v/>
      </c>
      <c r="AN654" s="6">
        <f>B654*0.035</f>
        <v/>
      </c>
      <c r="AO654" s="6">
        <f>B654*0.165</f>
        <v/>
      </c>
      <c r="AP654" s="6">
        <f>MAX(0,AL654-AM654-AO654)</f>
        <v/>
      </c>
      <c r="AQ654" s="6">
        <f>IF(AP654&lt;=490,0,IF(AP654&lt;=600,(AP654-490)*0.05,IF(AP654&lt;=730,5.5+(AP654-600)*0.10,IF(AP654&lt;=3896.67,18.5+(AP654-730)*0.175,IF(AP654&lt;=19896.67,572.67+(AP654-3896.67)*0.25,IF(AP654&lt;=50416.67,4572.67+(AP654-19896.67)*0.30,13728.67+(AP654-50416.67)*0.35))))))</f>
        <v/>
      </c>
      <c r="AR654" s="6">
        <f>SUM(AM654,AQ654,W654,X654,Y654,Z654,AA654,AN654,AO654)</f>
        <v/>
      </c>
      <c r="AS654" s="6">
        <f>AL654-AR654</f>
        <v/>
      </c>
      <c r="AT654" s="6">
        <f>AB654-AC654</f>
        <v/>
      </c>
    </row>
    <row r="655">
      <c r="A655" s="2" t="n"/>
      <c r="B655" s="3" t="n"/>
      <c r="C655" s="4" t="n"/>
      <c r="D655" s="5" t="n"/>
      <c r="E655" s="3" t="n"/>
      <c r="F655" s="4" t="n"/>
      <c r="G655" s="5" t="n"/>
      <c r="H655" s="3" t="n"/>
      <c r="I655" s="4" t="n"/>
      <c r="J655" s="5" t="n"/>
      <c r="K655" s="3" t="n"/>
      <c r="L655" s="4" t="n"/>
      <c r="M655" s="5" t="n"/>
      <c r="N655" s="3" t="n"/>
      <c r="O655" s="4" t="n"/>
      <c r="P655" s="5" t="n"/>
      <c r="Q655" s="3" t="n"/>
      <c r="R655" s="4" t="n"/>
      <c r="S655" s="5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6">
        <f>IF(C655=0,0,IF(E655="",B655*D655/100,E655))</f>
        <v/>
      </c>
      <c r="AE655" s="6">
        <f>IF(F655=0,0,IF(H655="",B655*G655/100,H655))</f>
        <v/>
      </c>
      <c r="AF655" s="6">
        <f>IF(I655=0,0,IF(K655="",B655*J655/100,K655))</f>
        <v/>
      </c>
      <c r="AG655" s="6">
        <f>IF(L655=0,0,IF(N655="",B655*M655/100,N655))</f>
        <v/>
      </c>
      <c r="AH655" s="6">
        <f>IF(O655=0,0,IF(Q655="",B655*P655/100,Q655))</f>
        <v/>
      </c>
      <c r="AI655" s="6">
        <f>IF(R655=0,0,IF(T655="",B655*S655/100,T655))</f>
        <v/>
      </c>
      <c r="AJ655" s="6">
        <f>B655*0.035</f>
        <v/>
      </c>
      <c r="AK655" s="6">
        <f>B655*0.065</f>
        <v/>
      </c>
      <c r="AL655" s="6">
        <f>SUM(B655,AD655,AE655,AF655,AG655,AH655,AI655,U655,V655,AJ655,AK655)</f>
        <v/>
      </c>
      <c r="AM655" s="6">
        <f>B655*0.055</f>
        <v/>
      </c>
      <c r="AN655" s="6">
        <f>B655*0.035</f>
        <v/>
      </c>
      <c r="AO655" s="6">
        <f>B655*0.165</f>
        <v/>
      </c>
      <c r="AP655" s="6">
        <f>MAX(0,AL655-AM655-AO655)</f>
        <v/>
      </c>
      <c r="AQ655" s="6">
        <f>IF(AP655&lt;=490,0,IF(AP655&lt;=600,(AP655-490)*0.05,IF(AP655&lt;=730,5.5+(AP655-600)*0.10,IF(AP655&lt;=3896.67,18.5+(AP655-730)*0.175,IF(AP655&lt;=19896.67,572.67+(AP655-3896.67)*0.25,IF(AP655&lt;=50416.67,4572.67+(AP655-19896.67)*0.30,13728.67+(AP655-50416.67)*0.35))))))</f>
        <v/>
      </c>
      <c r="AR655" s="6">
        <f>SUM(AM655,AQ655,W655,X655,Y655,Z655,AA655,AN655,AO655)</f>
        <v/>
      </c>
      <c r="AS655" s="6">
        <f>AL655-AR655</f>
        <v/>
      </c>
      <c r="AT655" s="6">
        <f>AB655-AC655</f>
        <v/>
      </c>
    </row>
    <row r="656">
      <c r="A656" s="2" t="n"/>
      <c r="B656" s="3" t="n"/>
      <c r="C656" s="4" t="n"/>
      <c r="D656" s="5" t="n"/>
      <c r="E656" s="3" t="n"/>
      <c r="F656" s="4" t="n"/>
      <c r="G656" s="5" t="n"/>
      <c r="H656" s="3" t="n"/>
      <c r="I656" s="4" t="n"/>
      <c r="J656" s="5" t="n"/>
      <c r="K656" s="3" t="n"/>
      <c r="L656" s="4" t="n"/>
      <c r="M656" s="5" t="n"/>
      <c r="N656" s="3" t="n"/>
      <c r="O656" s="4" t="n"/>
      <c r="P656" s="5" t="n"/>
      <c r="Q656" s="3" t="n"/>
      <c r="R656" s="4" t="n"/>
      <c r="S656" s="5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6">
        <f>IF(C656=0,0,IF(E656="",B656*D656/100,E656))</f>
        <v/>
      </c>
      <c r="AE656" s="6">
        <f>IF(F656=0,0,IF(H656="",B656*G656/100,H656))</f>
        <v/>
      </c>
      <c r="AF656" s="6">
        <f>IF(I656=0,0,IF(K656="",B656*J656/100,K656))</f>
        <v/>
      </c>
      <c r="AG656" s="6">
        <f>IF(L656=0,0,IF(N656="",B656*M656/100,N656))</f>
        <v/>
      </c>
      <c r="AH656" s="6">
        <f>IF(O656=0,0,IF(Q656="",B656*P656/100,Q656))</f>
        <v/>
      </c>
      <c r="AI656" s="6">
        <f>IF(R656=0,0,IF(T656="",B656*S656/100,T656))</f>
        <v/>
      </c>
      <c r="AJ656" s="6">
        <f>B656*0.035</f>
        <v/>
      </c>
      <c r="AK656" s="6">
        <f>B656*0.065</f>
        <v/>
      </c>
      <c r="AL656" s="6">
        <f>SUM(B656,AD656,AE656,AF656,AG656,AH656,AI656,U656,V656,AJ656,AK656)</f>
        <v/>
      </c>
      <c r="AM656" s="6">
        <f>B656*0.055</f>
        <v/>
      </c>
      <c r="AN656" s="6">
        <f>B656*0.035</f>
        <v/>
      </c>
      <c r="AO656" s="6">
        <f>B656*0.165</f>
        <v/>
      </c>
      <c r="AP656" s="6">
        <f>MAX(0,AL656-AM656-AO656)</f>
        <v/>
      </c>
      <c r="AQ656" s="6">
        <f>IF(AP656&lt;=490,0,IF(AP656&lt;=600,(AP656-490)*0.05,IF(AP656&lt;=730,5.5+(AP656-600)*0.10,IF(AP656&lt;=3896.67,18.5+(AP656-730)*0.175,IF(AP656&lt;=19896.67,572.67+(AP656-3896.67)*0.25,IF(AP656&lt;=50416.67,4572.67+(AP656-19896.67)*0.30,13728.67+(AP656-50416.67)*0.35))))))</f>
        <v/>
      </c>
      <c r="AR656" s="6">
        <f>SUM(AM656,AQ656,W656,X656,Y656,Z656,AA656,AN656,AO656)</f>
        <v/>
      </c>
      <c r="AS656" s="6">
        <f>AL656-AR656</f>
        <v/>
      </c>
      <c r="AT656" s="6">
        <f>AB656-AC656</f>
        <v/>
      </c>
    </row>
    <row r="657">
      <c r="A657" s="2" t="n"/>
      <c r="B657" s="3" t="n"/>
      <c r="C657" s="4" t="n"/>
      <c r="D657" s="5" t="n"/>
      <c r="E657" s="3" t="n"/>
      <c r="F657" s="4" t="n"/>
      <c r="G657" s="5" t="n"/>
      <c r="H657" s="3" t="n"/>
      <c r="I657" s="4" t="n"/>
      <c r="J657" s="5" t="n"/>
      <c r="K657" s="3" t="n"/>
      <c r="L657" s="4" t="n"/>
      <c r="M657" s="5" t="n"/>
      <c r="N657" s="3" t="n"/>
      <c r="O657" s="4" t="n"/>
      <c r="P657" s="5" t="n"/>
      <c r="Q657" s="3" t="n"/>
      <c r="R657" s="4" t="n"/>
      <c r="S657" s="5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6">
        <f>IF(C657=0,0,IF(E657="",B657*D657/100,E657))</f>
        <v/>
      </c>
      <c r="AE657" s="6">
        <f>IF(F657=0,0,IF(H657="",B657*G657/100,H657))</f>
        <v/>
      </c>
      <c r="AF657" s="6">
        <f>IF(I657=0,0,IF(K657="",B657*J657/100,K657))</f>
        <v/>
      </c>
      <c r="AG657" s="6">
        <f>IF(L657=0,0,IF(N657="",B657*M657/100,N657))</f>
        <v/>
      </c>
      <c r="AH657" s="6">
        <f>IF(O657=0,0,IF(Q657="",B657*P657/100,Q657))</f>
        <v/>
      </c>
      <c r="AI657" s="6">
        <f>IF(R657=0,0,IF(T657="",B657*S657/100,T657))</f>
        <v/>
      </c>
      <c r="AJ657" s="6">
        <f>B657*0.035</f>
        <v/>
      </c>
      <c r="AK657" s="6">
        <f>B657*0.065</f>
        <v/>
      </c>
      <c r="AL657" s="6">
        <f>SUM(B657,AD657,AE657,AF657,AG657,AH657,AI657,U657,V657,AJ657,AK657)</f>
        <v/>
      </c>
      <c r="AM657" s="6">
        <f>B657*0.055</f>
        <v/>
      </c>
      <c r="AN657" s="6">
        <f>B657*0.035</f>
        <v/>
      </c>
      <c r="AO657" s="6">
        <f>B657*0.165</f>
        <v/>
      </c>
      <c r="AP657" s="6">
        <f>MAX(0,AL657-AM657-AO657)</f>
        <v/>
      </c>
      <c r="AQ657" s="6">
        <f>IF(AP657&lt;=490,0,IF(AP657&lt;=600,(AP657-490)*0.05,IF(AP657&lt;=730,5.5+(AP657-600)*0.10,IF(AP657&lt;=3896.67,18.5+(AP657-730)*0.175,IF(AP657&lt;=19896.67,572.67+(AP657-3896.67)*0.25,IF(AP657&lt;=50416.67,4572.67+(AP657-19896.67)*0.30,13728.67+(AP657-50416.67)*0.35))))))</f>
        <v/>
      </c>
      <c r="AR657" s="6">
        <f>SUM(AM657,AQ657,W657,X657,Y657,Z657,AA657,AN657,AO657)</f>
        <v/>
      </c>
      <c r="AS657" s="6">
        <f>AL657-AR657</f>
        <v/>
      </c>
      <c r="AT657" s="6">
        <f>AB657-AC657</f>
        <v/>
      </c>
    </row>
    <row r="658">
      <c r="A658" s="2" t="n"/>
      <c r="B658" s="3" t="n"/>
      <c r="C658" s="4" t="n"/>
      <c r="D658" s="5" t="n"/>
      <c r="E658" s="3" t="n"/>
      <c r="F658" s="4" t="n"/>
      <c r="G658" s="5" t="n"/>
      <c r="H658" s="3" t="n"/>
      <c r="I658" s="4" t="n"/>
      <c r="J658" s="5" t="n"/>
      <c r="K658" s="3" t="n"/>
      <c r="L658" s="4" t="n"/>
      <c r="M658" s="5" t="n"/>
      <c r="N658" s="3" t="n"/>
      <c r="O658" s="4" t="n"/>
      <c r="P658" s="5" t="n"/>
      <c r="Q658" s="3" t="n"/>
      <c r="R658" s="4" t="n"/>
      <c r="S658" s="5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6">
        <f>IF(C658=0,0,IF(E658="",B658*D658/100,E658))</f>
        <v/>
      </c>
      <c r="AE658" s="6">
        <f>IF(F658=0,0,IF(H658="",B658*G658/100,H658))</f>
        <v/>
      </c>
      <c r="AF658" s="6">
        <f>IF(I658=0,0,IF(K658="",B658*J658/100,K658))</f>
        <v/>
      </c>
      <c r="AG658" s="6">
        <f>IF(L658=0,0,IF(N658="",B658*M658/100,N658))</f>
        <v/>
      </c>
      <c r="AH658" s="6">
        <f>IF(O658=0,0,IF(Q658="",B658*P658/100,Q658))</f>
        <v/>
      </c>
      <c r="AI658" s="6">
        <f>IF(R658=0,0,IF(T658="",B658*S658/100,T658))</f>
        <v/>
      </c>
      <c r="AJ658" s="6">
        <f>B658*0.035</f>
        <v/>
      </c>
      <c r="AK658" s="6">
        <f>B658*0.065</f>
        <v/>
      </c>
      <c r="AL658" s="6">
        <f>SUM(B658,AD658,AE658,AF658,AG658,AH658,AI658,U658,V658,AJ658,AK658)</f>
        <v/>
      </c>
      <c r="AM658" s="6">
        <f>B658*0.055</f>
        <v/>
      </c>
      <c r="AN658" s="6">
        <f>B658*0.035</f>
        <v/>
      </c>
      <c r="AO658" s="6">
        <f>B658*0.165</f>
        <v/>
      </c>
      <c r="AP658" s="6">
        <f>MAX(0,AL658-AM658-AO658)</f>
        <v/>
      </c>
      <c r="AQ658" s="6">
        <f>IF(AP658&lt;=490,0,IF(AP658&lt;=600,(AP658-490)*0.05,IF(AP658&lt;=730,5.5+(AP658-600)*0.10,IF(AP658&lt;=3896.67,18.5+(AP658-730)*0.175,IF(AP658&lt;=19896.67,572.67+(AP658-3896.67)*0.25,IF(AP658&lt;=50416.67,4572.67+(AP658-19896.67)*0.30,13728.67+(AP658-50416.67)*0.35))))))</f>
        <v/>
      </c>
      <c r="AR658" s="6">
        <f>SUM(AM658,AQ658,W658,X658,Y658,Z658,AA658,AN658,AO658)</f>
        <v/>
      </c>
      <c r="AS658" s="6">
        <f>AL658-AR658</f>
        <v/>
      </c>
      <c r="AT658" s="6">
        <f>AB658-AC658</f>
        <v/>
      </c>
    </row>
    <row r="659">
      <c r="A659" s="2" t="n"/>
      <c r="B659" s="3" t="n"/>
      <c r="C659" s="4" t="n"/>
      <c r="D659" s="5" t="n"/>
      <c r="E659" s="3" t="n"/>
      <c r="F659" s="4" t="n"/>
      <c r="G659" s="5" t="n"/>
      <c r="H659" s="3" t="n"/>
      <c r="I659" s="4" t="n"/>
      <c r="J659" s="5" t="n"/>
      <c r="K659" s="3" t="n"/>
      <c r="L659" s="4" t="n"/>
      <c r="M659" s="5" t="n"/>
      <c r="N659" s="3" t="n"/>
      <c r="O659" s="4" t="n"/>
      <c r="P659" s="5" t="n"/>
      <c r="Q659" s="3" t="n"/>
      <c r="R659" s="4" t="n"/>
      <c r="S659" s="5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6">
        <f>IF(C659=0,0,IF(E659="",B659*D659/100,E659))</f>
        <v/>
      </c>
      <c r="AE659" s="6">
        <f>IF(F659=0,0,IF(H659="",B659*G659/100,H659))</f>
        <v/>
      </c>
      <c r="AF659" s="6">
        <f>IF(I659=0,0,IF(K659="",B659*J659/100,K659))</f>
        <v/>
      </c>
      <c r="AG659" s="6">
        <f>IF(L659=0,0,IF(N659="",B659*M659/100,N659))</f>
        <v/>
      </c>
      <c r="AH659" s="6">
        <f>IF(O659=0,0,IF(Q659="",B659*P659/100,Q659))</f>
        <v/>
      </c>
      <c r="AI659" s="6">
        <f>IF(R659=0,0,IF(T659="",B659*S659/100,T659))</f>
        <v/>
      </c>
      <c r="AJ659" s="6">
        <f>B659*0.035</f>
        <v/>
      </c>
      <c r="AK659" s="6">
        <f>B659*0.065</f>
        <v/>
      </c>
      <c r="AL659" s="6">
        <f>SUM(B659,AD659,AE659,AF659,AG659,AH659,AI659,U659,V659,AJ659,AK659)</f>
        <v/>
      </c>
      <c r="AM659" s="6">
        <f>B659*0.055</f>
        <v/>
      </c>
      <c r="AN659" s="6">
        <f>B659*0.035</f>
        <v/>
      </c>
      <c r="AO659" s="6">
        <f>B659*0.165</f>
        <v/>
      </c>
      <c r="AP659" s="6">
        <f>MAX(0,AL659-AM659-AO659)</f>
        <v/>
      </c>
      <c r="AQ659" s="6">
        <f>IF(AP659&lt;=490,0,IF(AP659&lt;=600,(AP659-490)*0.05,IF(AP659&lt;=730,5.5+(AP659-600)*0.10,IF(AP659&lt;=3896.67,18.5+(AP659-730)*0.175,IF(AP659&lt;=19896.67,572.67+(AP659-3896.67)*0.25,IF(AP659&lt;=50416.67,4572.67+(AP659-19896.67)*0.30,13728.67+(AP659-50416.67)*0.35))))))</f>
        <v/>
      </c>
      <c r="AR659" s="6">
        <f>SUM(AM659,AQ659,W659,X659,Y659,Z659,AA659,AN659,AO659)</f>
        <v/>
      </c>
      <c r="AS659" s="6">
        <f>AL659-AR659</f>
        <v/>
      </c>
      <c r="AT659" s="6">
        <f>AB659-AC659</f>
        <v/>
      </c>
    </row>
    <row r="660">
      <c r="A660" s="2" t="n"/>
      <c r="B660" s="3" t="n"/>
      <c r="C660" s="4" t="n"/>
      <c r="D660" s="5" t="n"/>
      <c r="E660" s="3" t="n"/>
      <c r="F660" s="4" t="n"/>
      <c r="G660" s="5" t="n"/>
      <c r="H660" s="3" t="n"/>
      <c r="I660" s="4" t="n"/>
      <c r="J660" s="5" t="n"/>
      <c r="K660" s="3" t="n"/>
      <c r="L660" s="4" t="n"/>
      <c r="M660" s="5" t="n"/>
      <c r="N660" s="3" t="n"/>
      <c r="O660" s="4" t="n"/>
      <c r="P660" s="5" t="n"/>
      <c r="Q660" s="3" t="n"/>
      <c r="R660" s="4" t="n"/>
      <c r="S660" s="5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6">
        <f>IF(C660=0,0,IF(E660="",B660*D660/100,E660))</f>
        <v/>
      </c>
      <c r="AE660" s="6">
        <f>IF(F660=0,0,IF(H660="",B660*G660/100,H660))</f>
        <v/>
      </c>
      <c r="AF660" s="6">
        <f>IF(I660=0,0,IF(K660="",B660*J660/100,K660))</f>
        <v/>
      </c>
      <c r="AG660" s="6">
        <f>IF(L660=0,0,IF(N660="",B660*M660/100,N660))</f>
        <v/>
      </c>
      <c r="AH660" s="6">
        <f>IF(O660=0,0,IF(Q660="",B660*P660/100,Q660))</f>
        <v/>
      </c>
      <c r="AI660" s="6">
        <f>IF(R660=0,0,IF(T660="",B660*S660/100,T660))</f>
        <v/>
      </c>
      <c r="AJ660" s="6">
        <f>B660*0.035</f>
        <v/>
      </c>
      <c r="AK660" s="6">
        <f>B660*0.065</f>
        <v/>
      </c>
      <c r="AL660" s="6">
        <f>SUM(B660,AD660,AE660,AF660,AG660,AH660,AI660,U660,V660,AJ660,AK660)</f>
        <v/>
      </c>
      <c r="AM660" s="6">
        <f>B660*0.055</f>
        <v/>
      </c>
      <c r="AN660" s="6">
        <f>B660*0.035</f>
        <v/>
      </c>
      <c r="AO660" s="6">
        <f>B660*0.165</f>
        <v/>
      </c>
      <c r="AP660" s="6">
        <f>MAX(0,AL660-AM660-AO660)</f>
        <v/>
      </c>
      <c r="AQ660" s="6">
        <f>IF(AP660&lt;=490,0,IF(AP660&lt;=600,(AP660-490)*0.05,IF(AP660&lt;=730,5.5+(AP660-600)*0.10,IF(AP660&lt;=3896.67,18.5+(AP660-730)*0.175,IF(AP660&lt;=19896.67,572.67+(AP660-3896.67)*0.25,IF(AP660&lt;=50416.67,4572.67+(AP660-19896.67)*0.30,13728.67+(AP660-50416.67)*0.35))))))</f>
        <v/>
      </c>
      <c r="AR660" s="6">
        <f>SUM(AM660,AQ660,W660,X660,Y660,Z660,AA660,AN660,AO660)</f>
        <v/>
      </c>
      <c r="AS660" s="6">
        <f>AL660-AR660</f>
        <v/>
      </c>
      <c r="AT660" s="6">
        <f>AB660-AC660</f>
        <v/>
      </c>
    </row>
    <row r="661">
      <c r="A661" s="2" t="n"/>
      <c r="B661" s="3" t="n"/>
      <c r="C661" s="4" t="n"/>
      <c r="D661" s="5" t="n"/>
      <c r="E661" s="3" t="n"/>
      <c r="F661" s="4" t="n"/>
      <c r="G661" s="5" t="n"/>
      <c r="H661" s="3" t="n"/>
      <c r="I661" s="4" t="n"/>
      <c r="J661" s="5" t="n"/>
      <c r="K661" s="3" t="n"/>
      <c r="L661" s="4" t="n"/>
      <c r="M661" s="5" t="n"/>
      <c r="N661" s="3" t="n"/>
      <c r="O661" s="4" t="n"/>
      <c r="P661" s="5" t="n"/>
      <c r="Q661" s="3" t="n"/>
      <c r="R661" s="4" t="n"/>
      <c r="S661" s="5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6">
        <f>IF(C661=0,0,IF(E661="",B661*D661/100,E661))</f>
        <v/>
      </c>
      <c r="AE661" s="6">
        <f>IF(F661=0,0,IF(H661="",B661*G661/100,H661))</f>
        <v/>
      </c>
      <c r="AF661" s="6">
        <f>IF(I661=0,0,IF(K661="",B661*J661/100,K661))</f>
        <v/>
      </c>
      <c r="AG661" s="6">
        <f>IF(L661=0,0,IF(N661="",B661*M661/100,N661))</f>
        <v/>
      </c>
      <c r="AH661" s="6">
        <f>IF(O661=0,0,IF(Q661="",B661*P661/100,Q661))</f>
        <v/>
      </c>
      <c r="AI661" s="6">
        <f>IF(R661=0,0,IF(T661="",B661*S661/100,T661))</f>
        <v/>
      </c>
      <c r="AJ661" s="6">
        <f>B661*0.035</f>
        <v/>
      </c>
      <c r="AK661" s="6">
        <f>B661*0.065</f>
        <v/>
      </c>
      <c r="AL661" s="6">
        <f>SUM(B661,AD661,AE661,AF661,AG661,AH661,AI661,U661,V661,AJ661,AK661)</f>
        <v/>
      </c>
      <c r="AM661" s="6">
        <f>B661*0.055</f>
        <v/>
      </c>
      <c r="AN661" s="6">
        <f>B661*0.035</f>
        <v/>
      </c>
      <c r="AO661" s="6">
        <f>B661*0.165</f>
        <v/>
      </c>
      <c r="AP661" s="6">
        <f>MAX(0,AL661-AM661-AO661)</f>
        <v/>
      </c>
      <c r="AQ661" s="6">
        <f>IF(AP661&lt;=490,0,IF(AP661&lt;=600,(AP661-490)*0.05,IF(AP661&lt;=730,5.5+(AP661-600)*0.10,IF(AP661&lt;=3896.67,18.5+(AP661-730)*0.175,IF(AP661&lt;=19896.67,572.67+(AP661-3896.67)*0.25,IF(AP661&lt;=50416.67,4572.67+(AP661-19896.67)*0.30,13728.67+(AP661-50416.67)*0.35))))))</f>
        <v/>
      </c>
      <c r="AR661" s="6">
        <f>SUM(AM661,AQ661,W661,X661,Y661,Z661,AA661,AN661,AO661)</f>
        <v/>
      </c>
      <c r="AS661" s="6">
        <f>AL661-AR661</f>
        <v/>
      </c>
      <c r="AT661" s="6">
        <f>AB661-AC661</f>
        <v/>
      </c>
    </row>
    <row r="662">
      <c r="A662" s="2" t="n"/>
      <c r="B662" s="3" t="n"/>
      <c r="C662" s="4" t="n"/>
      <c r="D662" s="5" t="n"/>
      <c r="E662" s="3" t="n"/>
      <c r="F662" s="4" t="n"/>
      <c r="G662" s="5" t="n"/>
      <c r="H662" s="3" t="n"/>
      <c r="I662" s="4" t="n"/>
      <c r="J662" s="5" t="n"/>
      <c r="K662" s="3" t="n"/>
      <c r="L662" s="4" t="n"/>
      <c r="M662" s="5" t="n"/>
      <c r="N662" s="3" t="n"/>
      <c r="O662" s="4" t="n"/>
      <c r="P662" s="5" t="n"/>
      <c r="Q662" s="3" t="n"/>
      <c r="R662" s="4" t="n"/>
      <c r="S662" s="5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6">
        <f>IF(C662=0,0,IF(E662="",B662*D662/100,E662))</f>
        <v/>
      </c>
      <c r="AE662" s="6">
        <f>IF(F662=0,0,IF(H662="",B662*G662/100,H662))</f>
        <v/>
      </c>
      <c r="AF662" s="6">
        <f>IF(I662=0,0,IF(K662="",B662*J662/100,K662))</f>
        <v/>
      </c>
      <c r="AG662" s="6">
        <f>IF(L662=0,0,IF(N662="",B662*M662/100,N662))</f>
        <v/>
      </c>
      <c r="AH662" s="6">
        <f>IF(O662=0,0,IF(Q662="",B662*P662/100,Q662))</f>
        <v/>
      </c>
      <c r="AI662" s="6">
        <f>IF(R662=0,0,IF(T662="",B662*S662/100,T662))</f>
        <v/>
      </c>
      <c r="AJ662" s="6">
        <f>B662*0.035</f>
        <v/>
      </c>
      <c r="AK662" s="6">
        <f>B662*0.065</f>
        <v/>
      </c>
      <c r="AL662" s="6">
        <f>SUM(B662,AD662,AE662,AF662,AG662,AH662,AI662,U662,V662,AJ662,AK662)</f>
        <v/>
      </c>
      <c r="AM662" s="6">
        <f>B662*0.055</f>
        <v/>
      </c>
      <c r="AN662" s="6">
        <f>B662*0.035</f>
        <v/>
      </c>
      <c r="AO662" s="6">
        <f>B662*0.165</f>
        <v/>
      </c>
      <c r="AP662" s="6">
        <f>MAX(0,AL662-AM662-AO662)</f>
        <v/>
      </c>
      <c r="AQ662" s="6">
        <f>IF(AP662&lt;=490,0,IF(AP662&lt;=600,(AP662-490)*0.05,IF(AP662&lt;=730,5.5+(AP662-600)*0.10,IF(AP662&lt;=3896.67,18.5+(AP662-730)*0.175,IF(AP662&lt;=19896.67,572.67+(AP662-3896.67)*0.25,IF(AP662&lt;=50416.67,4572.67+(AP662-19896.67)*0.30,13728.67+(AP662-50416.67)*0.35))))))</f>
        <v/>
      </c>
      <c r="AR662" s="6">
        <f>SUM(AM662,AQ662,W662,X662,Y662,Z662,AA662,AN662,AO662)</f>
        <v/>
      </c>
      <c r="AS662" s="6">
        <f>AL662-AR662</f>
        <v/>
      </c>
      <c r="AT662" s="6">
        <f>AB662-AC662</f>
        <v/>
      </c>
    </row>
    <row r="663">
      <c r="A663" s="2" t="n"/>
      <c r="B663" s="3" t="n"/>
      <c r="C663" s="4" t="n"/>
      <c r="D663" s="5" t="n"/>
      <c r="E663" s="3" t="n"/>
      <c r="F663" s="4" t="n"/>
      <c r="G663" s="5" t="n"/>
      <c r="H663" s="3" t="n"/>
      <c r="I663" s="4" t="n"/>
      <c r="J663" s="5" t="n"/>
      <c r="K663" s="3" t="n"/>
      <c r="L663" s="4" t="n"/>
      <c r="M663" s="5" t="n"/>
      <c r="N663" s="3" t="n"/>
      <c r="O663" s="4" t="n"/>
      <c r="P663" s="5" t="n"/>
      <c r="Q663" s="3" t="n"/>
      <c r="R663" s="4" t="n"/>
      <c r="S663" s="5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6">
        <f>IF(C663=0,0,IF(E663="",B663*D663/100,E663))</f>
        <v/>
      </c>
      <c r="AE663" s="6">
        <f>IF(F663=0,0,IF(H663="",B663*G663/100,H663))</f>
        <v/>
      </c>
      <c r="AF663" s="6">
        <f>IF(I663=0,0,IF(K663="",B663*J663/100,K663))</f>
        <v/>
      </c>
      <c r="AG663" s="6">
        <f>IF(L663=0,0,IF(N663="",B663*M663/100,N663))</f>
        <v/>
      </c>
      <c r="AH663" s="6">
        <f>IF(O663=0,0,IF(Q663="",B663*P663/100,Q663))</f>
        <v/>
      </c>
      <c r="AI663" s="6">
        <f>IF(R663=0,0,IF(T663="",B663*S663/100,T663))</f>
        <v/>
      </c>
      <c r="AJ663" s="6">
        <f>B663*0.035</f>
        <v/>
      </c>
      <c r="AK663" s="6">
        <f>B663*0.065</f>
        <v/>
      </c>
      <c r="AL663" s="6">
        <f>SUM(B663,AD663,AE663,AF663,AG663,AH663,AI663,U663,V663,AJ663,AK663)</f>
        <v/>
      </c>
      <c r="AM663" s="6">
        <f>B663*0.055</f>
        <v/>
      </c>
      <c r="AN663" s="6">
        <f>B663*0.035</f>
        <v/>
      </c>
      <c r="AO663" s="6">
        <f>B663*0.165</f>
        <v/>
      </c>
      <c r="AP663" s="6">
        <f>MAX(0,AL663-AM663-AO663)</f>
        <v/>
      </c>
      <c r="AQ663" s="6">
        <f>IF(AP663&lt;=490,0,IF(AP663&lt;=600,(AP663-490)*0.05,IF(AP663&lt;=730,5.5+(AP663-600)*0.10,IF(AP663&lt;=3896.67,18.5+(AP663-730)*0.175,IF(AP663&lt;=19896.67,572.67+(AP663-3896.67)*0.25,IF(AP663&lt;=50416.67,4572.67+(AP663-19896.67)*0.30,13728.67+(AP663-50416.67)*0.35))))))</f>
        <v/>
      </c>
      <c r="AR663" s="6">
        <f>SUM(AM663,AQ663,W663,X663,Y663,Z663,AA663,AN663,AO663)</f>
        <v/>
      </c>
      <c r="AS663" s="6">
        <f>AL663-AR663</f>
        <v/>
      </c>
      <c r="AT663" s="6">
        <f>AB663-AC663</f>
        <v/>
      </c>
    </row>
    <row r="664">
      <c r="A664" s="2" t="n"/>
      <c r="B664" s="3" t="n"/>
      <c r="C664" s="4" t="n"/>
      <c r="D664" s="5" t="n"/>
      <c r="E664" s="3" t="n"/>
      <c r="F664" s="4" t="n"/>
      <c r="G664" s="5" t="n"/>
      <c r="H664" s="3" t="n"/>
      <c r="I664" s="4" t="n"/>
      <c r="J664" s="5" t="n"/>
      <c r="K664" s="3" t="n"/>
      <c r="L664" s="4" t="n"/>
      <c r="M664" s="5" t="n"/>
      <c r="N664" s="3" t="n"/>
      <c r="O664" s="4" t="n"/>
      <c r="P664" s="5" t="n"/>
      <c r="Q664" s="3" t="n"/>
      <c r="R664" s="4" t="n"/>
      <c r="S664" s="5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6">
        <f>IF(C664=0,0,IF(E664="",B664*D664/100,E664))</f>
        <v/>
      </c>
      <c r="AE664" s="6">
        <f>IF(F664=0,0,IF(H664="",B664*G664/100,H664))</f>
        <v/>
      </c>
      <c r="AF664" s="6">
        <f>IF(I664=0,0,IF(K664="",B664*J664/100,K664))</f>
        <v/>
      </c>
      <c r="AG664" s="6">
        <f>IF(L664=0,0,IF(N664="",B664*M664/100,N664))</f>
        <v/>
      </c>
      <c r="AH664" s="6">
        <f>IF(O664=0,0,IF(Q664="",B664*P664/100,Q664))</f>
        <v/>
      </c>
      <c r="AI664" s="6">
        <f>IF(R664=0,0,IF(T664="",B664*S664/100,T664))</f>
        <v/>
      </c>
      <c r="AJ664" s="6">
        <f>B664*0.035</f>
        <v/>
      </c>
      <c r="AK664" s="6">
        <f>B664*0.065</f>
        <v/>
      </c>
      <c r="AL664" s="6">
        <f>SUM(B664,AD664,AE664,AF664,AG664,AH664,AI664,U664,V664,AJ664,AK664)</f>
        <v/>
      </c>
      <c r="AM664" s="6">
        <f>B664*0.055</f>
        <v/>
      </c>
      <c r="AN664" s="6">
        <f>B664*0.035</f>
        <v/>
      </c>
      <c r="AO664" s="6">
        <f>B664*0.165</f>
        <v/>
      </c>
      <c r="AP664" s="6">
        <f>MAX(0,AL664-AM664-AO664)</f>
        <v/>
      </c>
      <c r="AQ664" s="6">
        <f>IF(AP664&lt;=490,0,IF(AP664&lt;=600,(AP664-490)*0.05,IF(AP664&lt;=730,5.5+(AP664-600)*0.10,IF(AP664&lt;=3896.67,18.5+(AP664-730)*0.175,IF(AP664&lt;=19896.67,572.67+(AP664-3896.67)*0.25,IF(AP664&lt;=50416.67,4572.67+(AP664-19896.67)*0.30,13728.67+(AP664-50416.67)*0.35))))))</f>
        <v/>
      </c>
      <c r="AR664" s="6">
        <f>SUM(AM664,AQ664,W664,X664,Y664,Z664,AA664,AN664,AO664)</f>
        <v/>
      </c>
      <c r="AS664" s="6">
        <f>AL664-AR664</f>
        <v/>
      </c>
      <c r="AT664" s="6">
        <f>AB664-AC664</f>
        <v/>
      </c>
    </row>
    <row r="665">
      <c r="A665" s="2" t="n"/>
      <c r="B665" s="3" t="n"/>
      <c r="C665" s="4" t="n"/>
      <c r="D665" s="5" t="n"/>
      <c r="E665" s="3" t="n"/>
      <c r="F665" s="4" t="n"/>
      <c r="G665" s="5" t="n"/>
      <c r="H665" s="3" t="n"/>
      <c r="I665" s="4" t="n"/>
      <c r="J665" s="5" t="n"/>
      <c r="K665" s="3" t="n"/>
      <c r="L665" s="4" t="n"/>
      <c r="M665" s="5" t="n"/>
      <c r="N665" s="3" t="n"/>
      <c r="O665" s="4" t="n"/>
      <c r="P665" s="5" t="n"/>
      <c r="Q665" s="3" t="n"/>
      <c r="R665" s="4" t="n"/>
      <c r="S665" s="5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6">
        <f>IF(C665=0,0,IF(E665="",B665*D665/100,E665))</f>
        <v/>
      </c>
      <c r="AE665" s="6">
        <f>IF(F665=0,0,IF(H665="",B665*G665/100,H665))</f>
        <v/>
      </c>
      <c r="AF665" s="6">
        <f>IF(I665=0,0,IF(K665="",B665*J665/100,K665))</f>
        <v/>
      </c>
      <c r="AG665" s="6">
        <f>IF(L665=0,0,IF(N665="",B665*M665/100,N665))</f>
        <v/>
      </c>
      <c r="AH665" s="6">
        <f>IF(O665=0,0,IF(Q665="",B665*P665/100,Q665))</f>
        <v/>
      </c>
      <c r="AI665" s="6">
        <f>IF(R665=0,0,IF(T665="",B665*S665/100,T665))</f>
        <v/>
      </c>
      <c r="AJ665" s="6">
        <f>B665*0.035</f>
        <v/>
      </c>
      <c r="AK665" s="6">
        <f>B665*0.065</f>
        <v/>
      </c>
      <c r="AL665" s="6">
        <f>SUM(B665,AD665,AE665,AF665,AG665,AH665,AI665,U665,V665,AJ665,AK665)</f>
        <v/>
      </c>
      <c r="AM665" s="6">
        <f>B665*0.055</f>
        <v/>
      </c>
      <c r="AN665" s="6">
        <f>B665*0.035</f>
        <v/>
      </c>
      <c r="AO665" s="6">
        <f>B665*0.165</f>
        <v/>
      </c>
      <c r="AP665" s="6">
        <f>MAX(0,AL665-AM665-AO665)</f>
        <v/>
      </c>
      <c r="AQ665" s="6">
        <f>IF(AP665&lt;=490,0,IF(AP665&lt;=600,(AP665-490)*0.05,IF(AP665&lt;=730,5.5+(AP665-600)*0.10,IF(AP665&lt;=3896.67,18.5+(AP665-730)*0.175,IF(AP665&lt;=19896.67,572.67+(AP665-3896.67)*0.25,IF(AP665&lt;=50416.67,4572.67+(AP665-19896.67)*0.30,13728.67+(AP665-50416.67)*0.35))))))</f>
        <v/>
      </c>
      <c r="AR665" s="6">
        <f>SUM(AM665,AQ665,W665,X665,Y665,Z665,AA665,AN665,AO665)</f>
        <v/>
      </c>
      <c r="AS665" s="6">
        <f>AL665-AR665</f>
        <v/>
      </c>
      <c r="AT665" s="6">
        <f>AB665-AC665</f>
        <v/>
      </c>
    </row>
    <row r="666">
      <c r="A666" s="2" t="n"/>
      <c r="B666" s="3" t="n"/>
      <c r="C666" s="4" t="n"/>
      <c r="D666" s="5" t="n"/>
      <c r="E666" s="3" t="n"/>
      <c r="F666" s="4" t="n"/>
      <c r="G666" s="5" t="n"/>
      <c r="H666" s="3" t="n"/>
      <c r="I666" s="4" t="n"/>
      <c r="J666" s="5" t="n"/>
      <c r="K666" s="3" t="n"/>
      <c r="L666" s="4" t="n"/>
      <c r="M666" s="5" t="n"/>
      <c r="N666" s="3" t="n"/>
      <c r="O666" s="4" t="n"/>
      <c r="P666" s="5" t="n"/>
      <c r="Q666" s="3" t="n"/>
      <c r="R666" s="4" t="n"/>
      <c r="S666" s="5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6">
        <f>IF(C666=0,0,IF(E666="",B666*D666/100,E666))</f>
        <v/>
      </c>
      <c r="AE666" s="6">
        <f>IF(F666=0,0,IF(H666="",B666*G666/100,H666))</f>
        <v/>
      </c>
      <c r="AF666" s="6">
        <f>IF(I666=0,0,IF(K666="",B666*J666/100,K666))</f>
        <v/>
      </c>
      <c r="AG666" s="6">
        <f>IF(L666=0,0,IF(N666="",B666*M666/100,N666))</f>
        <v/>
      </c>
      <c r="AH666" s="6">
        <f>IF(O666=0,0,IF(Q666="",B666*P666/100,Q666))</f>
        <v/>
      </c>
      <c r="AI666" s="6">
        <f>IF(R666=0,0,IF(T666="",B666*S666/100,T666))</f>
        <v/>
      </c>
      <c r="AJ666" s="6">
        <f>B666*0.035</f>
        <v/>
      </c>
      <c r="AK666" s="6">
        <f>B666*0.065</f>
        <v/>
      </c>
      <c r="AL666" s="6">
        <f>SUM(B666,AD666,AE666,AF666,AG666,AH666,AI666,U666,V666,AJ666,AK666)</f>
        <v/>
      </c>
      <c r="AM666" s="6">
        <f>B666*0.055</f>
        <v/>
      </c>
      <c r="AN666" s="6">
        <f>B666*0.035</f>
        <v/>
      </c>
      <c r="AO666" s="6">
        <f>B666*0.165</f>
        <v/>
      </c>
      <c r="AP666" s="6">
        <f>MAX(0,AL666-AM666-AO666)</f>
        <v/>
      </c>
      <c r="AQ666" s="6">
        <f>IF(AP666&lt;=490,0,IF(AP666&lt;=600,(AP666-490)*0.05,IF(AP666&lt;=730,5.5+(AP666-600)*0.10,IF(AP666&lt;=3896.67,18.5+(AP666-730)*0.175,IF(AP666&lt;=19896.67,572.67+(AP666-3896.67)*0.25,IF(AP666&lt;=50416.67,4572.67+(AP666-19896.67)*0.30,13728.67+(AP666-50416.67)*0.35))))))</f>
        <v/>
      </c>
      <c r="AR666" s="6">
        <f>SUM(AM666,AQ666,W666,X666,Y666,Z666,AA666,AN666,AO666)</f>
        <v/>
      </c>
      <c r="AS666" s="6">
        <f>AL666-AR666</f>
        <v/>
      </c>
      <c r="AT666" s="6">
        <f>AB666-AC666</f>
        <v/>
      </c>
    </row>
    <row r="667">
      <c r="A667" s="2" t="n"/>
      <c r="B667" s="3" t="n"/>
      <c r="C667" s="4" t="n"/>
      <c r="D667" s="5" t="n"/>
      <c r="E667" s="3" t="n"/>
      <c r="F667" s="4" t="n"/>
      <c r="G667" s="5" t="n"/>
      <c r="H667" s="3" t="n"/>
      <c r="I667" s="4" t="n"/>
      <c r="J667" s="5" t="n"/>
      <c r="K667" s="3" t="n"/>
      <c r="L667" s="4" t="n"/>
      <c r="M667" s="5" t="n"/>
      <c r="N667" s="3" t="n"/>
      <c r="O667" s="4" t="n"/>
      <c r="P667" s="5" t="n"/>
      <c r="Q667" s="3" t="n"/>
      <c r="R667" s="4" t="n"/>
      <c r="S667" s="5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6">
        <f>IF(C667=0,0,IF(E667="",B667*D667/100,E667))</f>
        <v/>
      </c>
      <c r="AE667" s="6">
        <f>IF(F667=0,0,IF(H667="",B667*G667/100,H667))</f>
        <v/>
      </c>
      <c r="AF667" s="6">
        <f>IF(I667=0,0,IF(K667="",B667*J667/100,K667))</f>
        <v/>
      </c>
      <c r="AG667" s="6">
        <f>IF(L667=0,0,IF(N667="",B667*M667/100,N667))</f>
        <v/>
      </c>
      <c r="AH667" s="6">
        <f>IF(O667=0,0,IF(Q667="",B667*P667/100,Q667))</f>
        <v/>
      </c>
      <c r="AI667" s="6">
        <f>IF(R667=0,0,IF(T667="",B667*S667/100,T667))</f>
        <v/>
      </c>
      <c r="AJ667" s="6">
        <f>B667*0.035</f>
        <v/>
      </c>
      <c r="AK667" s="6">
        <f>B667*0.065</f>
        <v/>
      </c>
      <c r="AL667" s="6">
        <f>SUM(B667,AD667,AE667,AF667,AG667,AH667,AI667,U667,V667,AJ667,AK667)</f>
        <v/>
      </c>
      <c r="AM667" s="6">
        <f>B667*0.055</f>
        <v/>
      </c>
      <c r="AN667" s="6">
        <f>B667*0.035</f>
        <v/>
      </c>
      <c r="AO667" s="6">
        <f>B667*0.165</f>
        <v/>
      </c>
      <c r="AP667" s="6">
        <f>MAX(0,AL667-AM667-AO667)</f>
        <v/>
      </c>
      <c r="AQ667" s="6">
        <f>IF(AP667&lt;=490,0,IF(AP667&lt;=600,(AP667-490)*0.05,IF(AP667&lt;=730,5.5+(AP667-600)*0.10,IF(AP667&lt;=3896.67,18.5+(AP667-730)*0.175,IF(AP667&lt;=19896.67,572.67+(AP667-3896.67)*0.25,IF(AP667&lt;=50416.67,4572.67+(AP667-19896.67)*0.30,13728.67+(AP667-50416.67)*0.35))))))</f>
        <v/>
      </c>
      <c r="AR667" s="6">
        <f>SUM(AM667,AQ667,W667,X667,Y667,Z667,AA667,AN667,AO667)</f>
        <v/>
      </c>
      <c r="AS667" s="6">
        <f>AL667-AR667</f>
        <v/>
      </c>
      <c r="AT667" s="6">
        <f>AB667-AC667</f>
        <v/>
      </c>
    </row>
    <row r="668">
      <c r="A668" s="2" t="n"/>
      <c r="B668" s="3" t="n"/>
      <c r="C668" s="4" t="n"/>
      <c r="D668" s="5" t="n"/>
      <c r="E668" s="3" t="n"/>
      <c r="F668" s="4" t="n"/>
      <c r="G668" s="5" t="n"/>
      <c r="H668" s="3" t="n"/>
      <c r="I668" s="4" t="n"/>
      <c r="J668" s="5" t="n"/>
      <c r="K668" s="3" t="n"/>
      <c r="L668" s="4" t="n"/>
      <c r="M668" s="5" t="n"/>
      <c r="N668" s="3" t="n"/>
      <c r="O668" s="4" t="n"/>
      <c r="P668" s="5" t="n"/>
      <c r="Q668" s="3" t="n"/>
      <c r="R668" s="4" t="n"/>
      <c r="S668" s="5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6">
        <f>IF(C668=0,0,IF(E668="",B668*D668/100,E668))</f>
        <v/>
      </c>
      <c r="AE668" s="6">
        <f>IF(F668=0,0,IF(H668="",B668*G668/100,H668))</f>
        <v/>
      </c>
      <c r="AF668" s="6">
        <f>IF(I668=0,0,IF(K668="",B668*J668/100,K668))</f>
        <v/>
      </c>
      <c r="AG668" s="6">
        <f>IF(L668=0,0,IF(N668="",B668*M668/100,N668))</f>
        <v/>
      </c>
      <c r="AH668" s="6">
        <f>IF(O668=0,0,IF(Q668="",B668*P668/100,Q668))</f>
        <v/>
      </c>
      <c r="AI668" s="6">
        <f>IF(R668=0,0,IF(T668="",B668*S668/100,T668))</f>
        <v/>
      </c>
      <c r="AJ668" s="6">
        <f>B668*0.035</f>
        <v/>
      </c>
      <c r="AK668" s="6">
        <f>B668*0.065</f>
        <v/>
      </c>
      <c r="AL668" s="6">
        <f>SUM(B668,AD668,AE668,AF668,AG668,AH668,AI668,U668,V668,AJ668,AK668)</f>
        <v/>
      </c>
      <c r="AM668" s="6">
        <f>B668*0.055</f>
        <v/>
      </c>
      <c r="AN668" s="6">
        <f>B668*0.035</f>
        <v/>
      </c>
      <c r="AO668" s="6">
        <f>B668*0.165</f>
        <v/>
      </c>
      <c r="AP668" s="6">
        <f>MAX(0,AL668-AM668-AO668)</f>
        <v/>
      </c>
      <c r="AQ668" s="6">
        <f>IF(AP668&lt;=490,0,IF(AP668&lt;=600,(AP668-490)*0.05,IF(AP668&lt;=730,5.5+(AP668-600)*0.10,IF(AP668&lt;=3896.67,18.5+(AP668-730)*0.175,IF(AP668&lt;=19896.67,572.67+(AP668-3896.67)*0.25,IF(AP668&lt;=50416.67,4572.67+(AP668-19896.67)*0.30,13728.67+(AP668-50416.67)*0.35))))))</f>
        <v/>
      </c>
      <c r="AR668" s="6">
        <f>SUM(AM668,AQ668,W668,X668,Y668,Z668,AA668,AN668,AO668)</f>
        <v/>
      </c>
      <c r="AS668" s="6">
        <f>AL668-AR668</f>
        <v/>
      </c>
      <c r="AT668" s="6">
        <f>AB668-AC668</f>
        <v/>
      </c>
    </row>
    <row r="669">
      <c r="A669" s="2" t="n"/>
      <c r="B669" s="3" t="n"/>
      <c r="C669" s="4" t="n"/>
      <c r="D669" s="5" t="n"/>
      <c r="E669" s="3" t="n"/>
      <c r="F669" s="4" t="n"/>
      <c r="G669" s="5" t="n"/>
      <c r="H669" s="3" t="n"/>
      <c r="I669" s="4" t="n"/>
      <c r="J669" s="5" t="n"/>
      <c r="K669" s="3" t="n"/>
      <c r="L669" s="4" t="n"/>
      <c r="M669" s="5" t="n"/>
      <c r="N669" s="3" t="n"/>
      <c r="O669" s="4" t="n"/>
      <c r="P669" s="5" t="n"/>
      <c r="Q669" s="3" t="n"/>
      <c r="R669" s="4" t="n"/>
      <c r="S669" s="5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6">
        <f>IF(C669=0,0,IF(E669="",B669*D669/100,E669))</f>
        <v/>
      </c>
      <c r="AE669" s="6">
        <f>IF(F669=0,0,IF(H669="",B669*G669/100,H669))</f>
        <v/>
      </c>
      <c r="AF669" s="6">
        <f>IF(I669=0,0,IF(K669="",B669*J669/100,K669))</f>
        <v/>
      </c>
      <c r="AG669" s="6">
        <f>IF(L669=0,0,IF(N669="",B669*M669/100,N669))</f>
        <v/>
      </c>
      <c r="AH669" s="6">
        <f>IF(O669=0,0,IF(Q669="",B669*P669/100,Q669))</f>
        <v/>
      </c>
      <c r="AI669" s="6">
        <f>IF(R669=0,0,IF(T669="",B669*S669/100,T669))</f>
        <v/>
      </c>
      <c r="AJ669" s="6">
        <f>B669*0.035</f>
        <v/>
      </c>
      <c r="AK669" s="6">
        <f>B669*0.065</f>
        <v/>
      </c>
      <c r="AL669" s="6">
        <f>SUM(B669,AD669,AE669,AF669,AG669,AH669,AI669,U669,V669,AJ669,AK669)</f>
        <v/>
      </c>
      <c r="AM669" s="6">
        <f>B669*0.055</f>
        <v/>
      </c>
      <c r="AN669" s="6">
        <f>B669*0.035</f>
        <v/>
      </c>
      <c r="AO669" s="6">
        <f>B669*0.165</f>
        <v/>
      </c>
      <c r="AP669" s="6">
        <f>MAX(0,AL669-AM669-AO669)</f>
        <v/>
      </c>
      <c r="AQ669" s="6">
        <f>IF(AP669&lt;=490,0,IF(AP669&lt;=600,(AP669-490)*0.05,IF(AP669&lt;=730,5.5+(AP669-600)*0.10,IF(AP669&lt;=3896.67,18.5+(AP669-730)*0.175,IF(AP669&lt;=19896.67,572.67+(AP669-3896.67)*0.25,IF(AP669&lt;=50416.67,4572.67+(AP669-19896.67)*0.30,13728.67+(AP669-50416.67)*0.35))))))</f>
        <v/>
      </c>
      <c r="AR669" s="6">
        <f>SUM(AM669,AQ669,W669,X669,Y669,Z669,AA669,AN669,AO669)</f>
        <v/>
      </c>
      <c r="AS669" s="6">
        <f>AL669-AR669</f>
        <v/>
      </c>
      <c r="AT669" s="6">
        <f>AB669-AC669</f>
        <v/>
      </c>
    </row>
    <row r="670">
      <c r="A670" s="2" t="n"/>
      <c r="B670" s="3" t="n"/>
      <c r="C670" s="4" t="n"/>
      <c r="D670" s="5" t="n"/>
      <c r="E670" s="3" t="n"/>
      <c r="F670" s="4" t="n"/>
      <c r="G670" s="5" t="n"/>
      <c r="H670" s="3" t="n"/>
      <c r="I670" s="4" t="n"/>
      <c r="J670" s="5" t="n"/>
      <c r="K670" s="3" t="n"/>
      <c r="L670" s="4" t="n"/>
      <c r="M670" s="5" t="n"/>
      <c r="N670" s="3" t="n"/>
      <c r="O670" s="4" t="n"/>
      <c r="P670" s="5" t="n"/>
      <c r="Q670" s="3" t="n"/>
      <c r="R670" s="4" t="n"/>
      <c r="S670" s="5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6">
        <f>IF(C670=0,0,IF(E670="",B670*D670/100,E670))</f>
        <v/>
      </c>
      <c r="AE670" s="6">
        <f>IF(F670=0,0,IF(H670="",B670*G670/100,H670))</f>
        <v/>
      </c>
      <c r="AF670" s="6">
        <f>IF(I670=0,0,IF(K670="",B670*J670/100,K670))</f>
        <v/>
      </c>
      <c r="AG670" s="6">
        <f>IF(L670=0,0,IF(N670="",B670*M670/100,N670))</f>
        <v/>
      </c>
      <c r="AH670" s="6">
        <f>IF(O670=0,0,IF(Q670="",B670*P670/100,Q670))</f>
        <v/>
      </c>
      <c r="AI670" s="6">
        <f>IF(R670=0,0,IF(T670="",B670*S670/100,T670))</f>
        <v/>
      </c>
      <c r="AJ670" s="6">
        <f>B670*0.035</f>
        <v/>
      </c>
      <c r="AK670" s="6">
        <f>B670*0.065</f>
        <v/>
      </c>
      <c r="AL670" s="6">
        <f>SUM(B670,AD670,AE670,AF670,AG670,AH670,AI670,U670,V670,AJ670,AK670)</f>
        <v/>
      </c>
      <c r="AM670" s="6">
        <f>B670*0.055</f>
        <v/>
      </c>
      <c r="AN670" s="6">
        <f>B670*0.035</f>
        <v/>
      </c>
      <c r="AO670" s="6">
        <f>B670*0.165</f>
        <v/>
      </c>
      <c r="AP670" s="6">
        <f>MAX(0,AL670-AM670-AO670)</f>
        <v/>
      </c>
      <c r="AQ670" s="6">
        <f>IF(AP670&lt;=490,0,IF(AP670&lt;=600,(AP670-490)*0.05,IF(AP670&lt;=730,5.5+(AP670-600)*0.10,IF(AP670&lt;=3896.67,18.5+(AP670-730)*0.175,IF(AP670&lt;=19896.67,572.67+(AP670-3896.67)*0.25,IF(AP670&lt;=50416.67,4572.67+(AP670-19896.67)*0.30,13728.67+(AP670-50416.67)*0.35))))))</f>
        <v/>
      </c>
      <c r="AR670" s="6">
        <f>SUM(AM670,AQ670,W670,X670,Y670,Z670,AA670,AN670,AO670)</f>
        <v/>
      </c>
      <c r="AS670" s="6">
        <f>AL670-AR670</f>
        <v/>
      </c>
      <c r="AT670" s="6">
        <f>AB670-AC670</f>
        <v/>
      </c>
    </row>
    <row r="671">
      <c r="A671" s="2" t="n"/>
      <c r="B671" s="3" t="n"/>
      <c r="C671" s="4" t="n"/>
      <c r="D671" s="5" t="n"/>
      <c r="E671" s="3" t="n"/>
      <c r="F671" s="4" t="n"/>
      <c r="G671" s="5" t="n"/>
      <c r="H671" s="3" t="n"/>
      <c r="I671" s="4" t="n"/>
      <c r="J671" s="5" t="n"/>
      <c r="K671" s="3" t="n"/>
      <c r="L671" s="4" t="n"/>
      <c r="M671" s="5" t="n"/>
      <c r="N671" s="3" t="n"/>
      <c r="O671" s="4" t="n"/>
      <c r="P671" s="5" t="n"/>
      <c r="Q671" s="3" t="n"/>
      <c r="R671" s="4" t="n"/>
      <c r="S671" s="5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6">
        <f>IF(C671=0,0,IF(E671="",B671*D671/100,E671))</f>
        <v/>
      </c>
      <c r="AE671" s="6">
        <f>IF(F671=0,0,IF(H671="",B671*G671/100,H671))</f>
        <v/>
      </c>
      <c r="AF671" s="6">
        <f>IF(I671=0,0,IF(K671="",B671*J671/100,K671))</f>
        <v/>
      </c>
      <c r="AG671" s="6">
        <f>IF(L671=0,0,IF(N671="",B671*M671/100,N671))</f>
        <v/>
      </c>
      <c r="AH671" s="6">
        <f>IF(O671=0,0,IF(Q671="",B671*P671/100,Q671))</f>
        <v/>
      </c>
      <c r="AI671" s="6">
        <f>IF(R671=0,0,IF(T671="",B671*S671/100,T671))</f>
        <v/>
      </c>
      <c r="AJ671" s="6">
        <f>B671*0.035</f>
        <v/>
      </c>
      <c r="AK671" s="6">
        <f>B671*0.065</f>
        <v/>
      </c>
      <c r="AL671" s="6">
        <f>SUM(B671,AD671,AE671,AF671,AG671,AH671,AI671,U671,V671,AJ671,AK671)</f>
        <v/>
      </c>
      <c r="AM671" s="6">
        <f>B671*0.055</f>
        <v/>
      </c>
      <c r="AN671" s="6">
        <f>B671*0.035</f>
        <v/>
      </c>
      <c r="AO671" s="6">
        <f>B671*0.165</f>
        <v/>
      </c>
      <c r="AP671" s="6">
        <f>MAX(0,AL671-AM671-AO671)</f>
        <v/>
      </c>
      <c r="AQ671" s="6">
        <f>IF(AP671&lt;=490,0,IF(AP671&lt;=600,(AP671-490)*0.05,IF(AP671&lt;=730,5.5+(AP671-600)*0.10,IF(AP671&lt;=3896.67,18.5+(AP671-730)*0.175,IF(AP671&lt;=19896.67,572.67+(AP671-3896.67)*0.25,IF(AP671&lt;=50416.67,4572.67+(AP671-19896.67)*0.30,13728.67+(AP671-50416.67)*0.35))))))</f>
        <v/>
      </c>
      <c r="AR671" s="6">
        <f>SUM(AM671,AQ671,W671,X671,Y671,Z671,AA671,AN671,AO671)</f>
        <v/>
      </c>
      <c r="AS671" s="6">
        <f>AL671-AR671</f>
        <v/>
      </c>
      <c r="AT671" s="6">
        <f>AB671-AC671</f>
        <v/>
      </c>
    </row>
    <row r="672">
      <c r="A672" s="2" t="n"/>
      <c r="B672" s="3" t="n"/>
      <c r="C672" s="4" t="n"/>
      <c r="D672" s="5" t="n"/>
      <c r="E672" s="3" t="n"/>
      <c r="F672" s="4" t="n"/>
      <c r="G672" s="5" t="n"/>
      <c r="H672" s="3" t="n"/>
      <c r="I672" s="4" t="n"/>
      <c r="J672" s="5" t="n"/>
      <c r="K672" s="3" t="n"/>
      <c r="L672" s="4" t="n"/>
      <c r="M672" s="5" t="n"/>
      <c r="N672" s="3" t="n"/>
      <c r="O672" s="4" t="n"/>
      <c r="P672" s="5" t="n"/>
      <c r="Q672" s="3" t="n"/>
      <c r="R672" s="4" t="n"/>
      <c r="S672" s="5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6">
        <f>IF(C672=0,0,IF(E672="",B672*D672/100,E672))</f>
        <v/>
      </c>
      <c r="AE672" s="6">
        <f>IF(F672=0,0,IF(H672="",B672*G672/100,H672))</f>
        <v/>
      </c>
      <c r="AF672" s="6">
        <f>IF(I672=0,0,IF(K672="",B672*J672/100,K672))</f>
        <v/>
      </c>
      <c r="AG672" s="6">
        <f>IF(L672=0,0,IF(N672="",B672*M672/100,N672))</f>
        <v/>
      </c>
      <c r="AH672" s="6">
        <f>IF(O672=0,0,IF(Q672="",B672*P672/100,Q672))</f>
        <v/>
      </c>
      <c r="AI672" s="6">
        <f>IF(R672=0,0,IF(T672="",B672*S672/100,T672))</f>
        <v/>
      </c>
      <c r="AJ672" s="6">
        <f>B672*0.035</f>
        <v/>
      </c>
      <c r="AK672" s="6">
        <f>B672*0.065</f>
        <v/>
      </c>
      <c r="AL672" s="6">
        <f>SUM(B672,AD672,AE672,AF672,AG672,AH672,AI672,U672,V672,AJ672,AK672)</f>
        <v/>
      </c>
      <c r="AM672" s="6">
        <f>B672*0.055</f>
        <v/>
      </c>
      <c r="AN672" s="6">
        <f>B672*0.035</f>
        <v/>
      </c>
      <c r="AO672" s="6">
        <f>B672*0.165</f>
        <v/>
      </c>
      <c r="AP672" s="6">
        <f>MAX(0,AL672-AM672-AO672)</f>
        <v/>
      </c>
      <c r="AQ672" s="6">
        <f>IF(AP672&lt;=490,0,IF(AP672&lt;=600,(AP672-490)*0.05,IF(AP672&lt;=730,5.5+(AP672-600)*0.10,IF(AP672&lt;=3896.67,18.5+(AP672-730)*0.175,IF(AP672&lt;=19896.67,572.67+(AP672-3896.67)*0.25,IF(AP672&lt;=50416.67,4572.67+(AP672-19896.67)*0.30,13728.67+(AP672-50416.67)*0.35))))))</f>
        <v/>
      </c>
      <c r="AR672" s="6">
        <f>SUM(AM672,AQ672,W672,X672,Y672,Z672,AA672,AN672,AO672)</f>
        <v/>
      </c>
      <c r="AS672" s="6">
        <f>AL672-AR672</f>
        <v/>
      </c>
      <c r="AT672" s="6">
        <f>AB672-AC672</f>
        <v/>
      </c>
    </row>
    <row r="673">
      <c r="A673" s="2" t="n"/>
      <c r="B673" s="3" t="n"/>
      <c r="C673" s="4" t="n"/>
      <c r="D673" s="5" t="n"/>
      <c r="E673" s="3" t="n"/>
      <c r="F673" s="4" t="n"/>
      <c r="G673" s="5" t="n"/>
      <c r="H673" s="3" t="n"/>
      <c r="I673" s="4" t="n"/>
      <c r="J673" s="5" t="n"/>
      <c r="K673" s="3" t="n"/>
      <c r="L673" s="4" t="n"/>
      <c r="M673" s="5" t="n"/>
      <c r="N673" s="3" t="n"/>
      <c r="O673" s="4" t="n"/>
      <c r="P673" s="5" t="n"/>
      <c r="Q673" s="3" t="n"/>
      <c r="R673" s="4" t="n"/>
      <c r="S673" s="5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6">
        <f>IF(C673=0,0,IF(E673="",B673*D673/100,E673))</f>
        <v/>
      </c>
      <c r="AE673" s="6">
        <f>IF(F673=0,0,IF(H673="",B673*G673/100,H673))</f>
        <v/>
      </c>
      <c r="AF673" s="6">
        <f>IF(I673=0,0,IF(K673="",B673*J673/100,K673))</f>
        <v/>
      </c>
      <c r="AG673" s="6">
        <f>IF(L673=0,0,IF(N673="",B673*M673/100,N673))</f>
        <v/>
      </c>
      <c r="AH673" s="6">
        <f>IF(O673=0,0,IF(Q673="",B673*P673/100,Q673))</f>
        <v/>
      </c>
      <c r="AI673" s="6">
        <f>IF(R673=0,0,IF(T673="",B673*S673/100,T673))</f>
        <v/>
      </c>
      <c r="AJ673" s="6">
        <f>B673*0.035</f>
        <v/>
      </c>
      <c r="AK673" s="6">
        <f>B673*0.065</f>
        <v/>
      </c>
      <c r="AL673" s="6">
        <f>SUM(B673,AD673,AE673,AF673,AG673,AH673,AI673,U673,V673,AJ673,AK673)</f>
        <v/>
      </c>
      <c r="AM673" s="6">
        <f>B673*0.055</f>
        <v/>
      </c>
      <c r="AN673" s="6">
        <f>B673*0.035</f>
        <v/>
      </c>
      <c r="AO673" s="6">
        <f>B673*0.165</f>
        <v/>
      </c>
      <c r="AP673" s="6">
        <f>MAX(0,AL673-AM673-AO673)</f>
        <v/>
      </c>
      <c r="AQ673" s="6">
        <f>IF(AP673&lt;=490,0,IF(AP673&lt;=600,(AP673-490)*0.05,IF(AP673&lt;=730,5.5+(AP673-600)*0.10,IF(AP673&lt;=3896.67,18.5+(AP673-730)*0.175,IF(AP673&lt;=19896.67,572.67+(AP673-3896.67)*0.25,IF(AP673&lt;=50416.67,4572.67+(AP673-19896.67)*0.30,13728.67+(AP673-50416.67)*0.35))))))</f>
        <v/>
      </c>
      <c r="AR673" s="6">
        <f>SUM(AM673,AQ673,W673,X673,Y673,Z673,AA673,AN673,AO673)</f>
        <v/>
      </c>
      <c r="AS673" s="6">
        <f>AL673-AR673</f>
        <v/>
      </c>
      <c r="AT673" s="6">
        <f>AB673-AC673</f>
        <v/>
      </c>
    </row>
    <row r="674">
      <c r="A674" s="2" t="n"/>
      <c r="B674" s="3" t="n"/>
      <c r="C674" s="4" t="n"/>
      <c r="D674" s="5" t="n"/>
      <c r="E674" s="3" t="n"/>
      <c r="F674" s="4" t="n"/>
      <c r="G674" s="5" t="n"/>
      <c r="H674" s="3" t="n"/>
      <c r="I674" s="4" t="n"/>
      <c r="J674" s="5" t="n"/>
      <c r="K674" s="3" t="n"/>
      <c r="L674" s="4" t="n"/>
      <c r="M674" s="5" t="n"/>
      <c r="N674" s="3" t="n"/>
      <c r="O674" s="4" t="n"/>
      <c r="P674" s="5" t="n"/>
      <c r="Q674" s="3" t="n"/>
      <c r="R674" s="4" t="n"/>
      <c r="S674" s="5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6">
        <f>IF(C674=0,0,IF(E674="",B674*D674/100,E674))</f>
        <v/>
      </c>
      <c r="AE674" s="6">
        <f>IF(F674=0,0,IF(H674="",B674*G674/100,H674))</f>
        <v/>
      </c>
      <c r="AF674" s="6">
        <f>IF(I674=0,0,IF(K674="",B674*J674/100,K674))</f>
        <v/>
      </c>
      <c r="AG674" s="6">
        <f>IF(L674=0,0,IF(N674="",B674*M674/100,N674))</f>
        <v/>
      </c>
      <c r="AH674" s="6">
        <f>IF(O674=0,0,IF(Q674="",B674*P674/100,Q674))</f>
        <v/>
      </c>
      <c r="AI674" s="6">
        <f>IF(R674=0,0,IF(T674="",B674*S674/100,T674))</f>
        <v/>
      </c>
      <c r="AJ674" s="6">
        <f>B674*0.035</f>
        <v/>
      </c>
      <c r="AK674" s="6">
        <f>B674*0.065</f>
        <v/>
      </c>
      <c r="AL674" s="6">
        <f>SUM(B674,AD674,AE674,AF674,AG674,AH674,AI674,U674,V674,AJ674,AK674)</f>
        <v/>
      </c>
      <c r="AM674" s="6">
        <f>B674*0.055</f>
        <v/>
      </c>
      <c r="AN674" s="6">
        <f>B674*0.035</f>
        <v/>
      </c>
      <c r="AO674" s="6">
        <f>B674*0.165</f>
        <v/>
      </c>
      <c r="AP674" s="6">
        <f>MAX(0,AL674-AM674-AO674)</f>
        <v/>
      </c>
      <c r="AQ674" s="6">
        <f>IF(AP674&lt;=490,0,IF(AP674&lt;=600,(AP674-490)*0.05,IF(AP674&lt;=730,5.5+(AP674-600)*0.10,IF(AP674&lt;=3896.67,18.5+(AP674-730)*0.175,IF(AP674&lt;=19896.67,572.67+(AP674-3896.67)*0.25,IF(AP674&lt;=50416.67,4572.67+(AP674-19896.67)*0.30,13728.67+(AP674-50416.67)*0.35))))))</f>
        <v/>
      </c>
      <c r="AR674" s="6">
        <f>SUM(AM674,AQ674,W674,X674,Y674,Z674,AA674,AN674,AO674)</f>
        <v/>
      </c>
      <c r="AS674" s="6">
        <f>AL674-AR674</f>
        <v/>
      </c>
      <c r="AT674" s="6">
        <f>AB674-AC674</f>
        <v/>
      </c>
    </row>
    <row r="675">
      <c r="A675" s="2" t="n"/>
      <c r="B675" s="3" t="n"/>
      <c r="C675" s="4" t="n"/>
      <c r="D675" s="5" t="n"/>
      <c r="E675" s="3" t="n"/>
      <c r="F675" s="4" t="n"/>
      <c r="G675" s="5" t="n"/>
      <c r="H675" s="3" t="n"/>
      <c r="I675" s="4" t="n"/>
      <c r="J675" s="5" t="n"/>
      <c r="K675" s="3" t="n"/>
      <c r="L675" s="4" t="n"/>
      <c r="M675" s="5" t="n"/>
      <c r="N675" s="3" t="n"/>
      <c r="O675" s="4" t="n"/>
      <c r="P675" s="5" t="n"/>
      <c r="Q675" s="3" t="n"/>
      <c r="R675" s="4" t="n"/>
      <c r="S675" s="5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6">
        <f>IF(C675=0,0,IF(E675="",B675*D675/100,E675))</f>
        <v/>
      </c>
      <c r="AE675" s="6">
        <f>IF(F675=0,0,IF(H675="",B675*G675/100,H675))</f>
        <v/>
      </c>
      <c r="AF675" s="6">
        <f>IF(I675=0,0,IF(K675="",B675*J675/100,K675))</f>
        <v/>
      </c>
      <c r="AG675" s="6">
        <f>IF(L675=0,0,IF(N675="",B675*M675/100,N675))</f>
        <v/>
      </c>
      <c r="AH675" s="6">
        <f>IF(O675=0,0,IF(Q675="",B675*P675/100,Q675))</f>
        <v/>
      </c>
      <c r="AI675" s="6">
        <f>IF(R675=0,0,IF(T675="",B675*S675/100,T675))</f>
        <v/>
      </c>
      <c r="AJ675" s="6">
        <f>B675*0.035</f>
        <v/>
      </c>
      <c r="AK675" s="6">
        <f>B675*0.065</f>
        <v/>
      </c>
      <c r="AL675" s="6">
        <f>SUM(B675,AD675,AE675,AF675,AG675,AH675,AI675,U675,V675,AJ675,AK675)</f>
        <v/>
      </c>
      <c r="AM675" s="6">
        <f>B675*0.055</f>
        <v/>
      </c>
      <c r="AN675" s="6">
        <f>B675*0.035</f>
        <v/>
      </c>
      <c r="AO675" s="6">
        <f>B675*0.165</f>
        <v/>
      </c>
      <c r="AP675" s="6">
        <f>MAX(0,AL675-AM675-AO675)</f>
        <v/>
      </c>
      <c r="AQ675" s="6">
        <f>IF(AP675&lt;=490,0,IF(AP675&lt;=600,(AP675-490)*0.05,IF(AP675&lt;=730,5.5+(AP675-600)*0.10,IF(AP675&lt;=3896.67,18.5+(AP675-730)*0.175,IF(AP675&lt;=19896.67,572.67+(AP675-3896.67)*0.25,IF(AP675&lt;=50416.67,4572.67+(AP675-19896.67)*0.30,13728.67+(AP675-50416.67)*0.35))))))</f>
        <v/>
      </c>
      <c r="AR675" s="6">
        <f>SUM(AM675,AQ675,W675,X675,Y675,Z675,AA675,AN675,AO675)</f>
        <v/>
      </c>
      <c r="AS675" s="6">
        <f>AL675-AR675</f>
        <v/>
      </c>
      <c r="AT675" s="6">
        <f>AB675-AC675</f>
        <v/>
      </c>
    </row>
    <row r="676">
      <c r="A676" s="2" t="n"/>
      <c r="B676" s="3" t="n"/>
      <c r="C676" s="4" t="n"/>
      <c r="D676" s="5" t="n"/>
      <c r="E676" s="3" t="n"/>
      <c r="F676" s="4" t="n"/>
      <c r="G676" s="5" t="n"/>
      <c r="H676" s="3" t="n"/>
      <c r="I676" s="4" t="n"/>
      <c r="J676" s="5" t="n"/>
      <c r="K676" s="3" t="n"/>
      <c r="L676" s="4" t="n"/>
      <c r="M676" s="5" t="n"/>
      <c r="N676" s="3" t="n"/>
      <c r="O676" s="4" t="n"/>
      <c r="P676" s="5" t="n"/>
      <c r="Q676" s="3" t="n"/>
      <c r="R676" s="4" t="n"/>
      <c r="S676" s="5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6">
        <f>IF(C676=0,0,IF(E676="",B676*D676/100,E676))</f>
        <v/>
      </c>
      <c r="AE676" s="6">
        <f>IF(F676=0,0,IF(H676="",B676*G676/100,H676))</f>
        <v/>
      </c>
      <c r="AF676" s="6">
        <f>IF(I676=0,0,IF(K676="",B676*J676/100,K676))</f>
        <v/>
      </c>
      <c r="AG676" s="6">
        <f>IF(L676=0,0,IF(N676="",B676*M676/100,N676))</f>
        <v/>
      </c>
      <c r="AH676" s="6">
        <f>IF(O676=0,0,IF(Q676="",B676*P676/100,Q676))</f>
        <v/>
      </c>
      <c r="AI676" s="6">
        <f>IF(R676=0,0,IF(T676="",B676*S676/100,T676))</f>
        <v/>
      </c>
      <c r="AJ676" s="6">
        <f>B676*0.035</f>
        <v/>
      </c>
      <c r="AK676" s="6">
        <f>B676*0.065</f>
        <v/>
      </c>
      <c r="AL676" s="6">
        <f>SUM(B676,AD676,AE676,AF676,AG676,AH676,AI676,U676,V676,AJ676,AK676)</f>
        <v/>
      </c>
      <c r="AM676" s="6">
        <f>B676*0.055</f>
        <v/>
      </c>
      <c r="AN676" s="6">
        <f>B676*0.035</f>
        <v/>
      </c>
      <c r="AO676" s="6">
        <f>B676*0.165</f>
        <v/>
      </c>
      <c r="AP676" s="6">
        <f>MAX(0,AL676-AM676-AO676)</f>
        <v/>
      </c>
      <c r="AQ676" s="6">
        <f>IF(AP676&lt;=490,0,IF(AP676&lt;=600,(AP676-490)*0.05,IF(AP676&lt;=730,5.5+(AP676-600)*0.10,IF(AP676&lt;=3896.67,18.5+(AP676-730)*0.175,IF(AP676&lt;=19896.67,572.67+(AP676-3896.67)*0.25,IF(AP676&lt;=50416.67,4572.67+(AP676-19896.67)*0.30,13728.67+(AP676-50416.67)*0.35))))))</f>
        <v/>
      </c>
      <c r="AR676" s="6">
        <f>SUM(AM676,AQ676,W676,X676,Y676,Z676,AA676,AN676,AO676)</f>
        <v/>
      </c>
      <c r="AS676" s="6">
        <f>AL676-AR676</f>
        <v/>
      </c>
      <c r="AT676" s="6">
        <f>AB676-AC676</f>
        <v/>
      </c>
    </row>
    <row r="677">
      <c r="A677" s="2" t="n"/>
      <c r="B677" s="3" t="n"/>
      <c r="C677" s="4" t="n"/>
      <c r="D677" s="5" t="n"/>
      <c r="E677" s="3" t="n"/>
      <c r="F677" s="4" t="n"/>
      <c r="G677" s="5" t="n"/>
      <c r="H677" s="3" t="n"/>
      <c r="I677" s="4" t="n"/>
      <c r="J677" s="5" t="n"/>
      <c r="K677" s="3" t="n"/>
      <c r="L677" s="4" t="n"/>
      <c r="M677" s="5" t="n"/>
      <c r="N677" s="3" t="n"/>
      <c r="O677" s="4" t="n"/>
      <c r="P677" s="5" t="n"/>
      <c r="Q677" s="3" t="n"/>
      <c r="R677" s="4" t="n"/>
      <c r="S677" s="5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6">
        <f>IF(C677=0,0,IF(E677="",B677*D677/100,E677))</f>
        <v/>
      </c>
      <c r="AE677" s="6">
        <f>IF(F677=0,0,IF(H677="",B677*G677/100,H677))</f>
        <v/>
      </c>
      <c r="AF677" s="6">
        <f>IF(I677=0,0,IF(K677="",B677*J677/100,K677))</f>
        <v/>
      </c>
      <c r="AG677" s="6">
        <f>IF(L677=0,0,IF(N677="",B677*M677/100,N677))</f>
        <v/>
      </c>
      <c r="AH677" s="6">
        <f>IF(O677=0,0,IF(Q677="",B677*P677/100,Q677))</f>
        <v/>
      </c>
      <c r="AI677" s="6">
        <f>IF(R677=0,0,IF(T677="",B677*S677/100,T677))</f>
        <v/>
      </c>
      <c r="AJ677" s="6">
        <f>B677*0.035</f>
        <v/>
      </c>
      <c r="AK677" s="6">
        <f>B677*0.065</f>
        <v/>
      </c>
      <c r="AL677" s="6">
        <f>SUM(B677,AD677,AE677,AF677,AG677,AH677,AI677,U677,V677,AJ677,AK677)</f>
        <v/>
      </c>
      <c r="AM677" s="6">
        <f>B677*0.055</f>
        <v/>
      </c>
      <c r="AN677" s="6">
        <f>B677*0.035</f>
        <v/>
      </c>
      <c r="AO677" s="6">
        <f>B677*0.165</f>
        <v/>
      </c>
      <c r="AP677" s="6">
        <f>MAX(0,AL677-AM677-AO677)</f>
        <v/>
      </c>
      <c r="AQ677" s="6">
        <f>IF(AP677&lt;=490,0,IF(AP677&lt;=600,(AP677-490)*0.05,IF(AP677&lt;=730,5.5+(AP677-600)*0.10,IF(AP677&lt;=3896.67,18.5+(AP677-730)*0.175,IF(AP677&lt;=19896.67,572.67+(AP677-3896.67)*0.25,IF(AP677&lt;=50416.67,4572.67+(AP677-19896.67)*0.30,13728.67+(AP677-50416.67)*0.35))))))</f>
        <v/>
      </c>
      <c r="AR677" s="6">
        <f>SUM(AM677,AQ677,W677,X677,Y677,Z677,AA677,AN677,AO677)</f>
        <v/>
      </c>
      <c r="AS677" s="6">
        <f>AL677-AR677</f>
        <v/>
      </c>
      <c r="AT677" s="6">
        <f>AB677-AC677</f>
        <v/>
      </c>
    </row>
    <row r="678">
      <c r="A678" s="2" t="n"/>
      <c r="B678" s="3" t="n"/>
      <c r="C678" s="4" t="n"/>
      <c r="D678" s="5" t="n"/>
      <c r="E678" s="3" t="n"/>
      <c r="F678" s="4" t="n"/>
      <c r="G678" s="5" t="n"/>
      <c r="H678" s="3" t="n"/>
      <c r="I678" s="4" t="n"/>
      <c r="J678" s="5" t="n"/>
      <c r="K678" s="3" t="n"/>
      <c r="L678" s="4" t="n"/>
      <c r="M678" s="5" t="n"/>
      <c r="N678" s="3" t="n"/>
      <c r="O678" s="4" t="n"/>
      <c r="P678" s="5" t="n"/>
      <c r="Q678" s="3" t="n"/>
      <c r="R678" s="4" t="n"/>
      <c r="S678" s="5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6">
        <f>IF(C678=0,0,IF(E678="",B678*D678/100,E678))</f>
        <v/>
      </c>
      <c r="AE678" s="6">
        <f>IF(F678=0,0,IF(H678="",B678*G678/100,H678))</f>
        <v/>
      </c>
      <c r="AF678" s="6">
        <f>IF(I678=0,0,IF(K678="",B678*J678/100,K678))</f>
        <v/>
      </c>
      <c r="AG678" s="6">
        <f>IF(L678=0,0,IF(N678="",B678*M678/100,N678))</f>
        <v/>
      </c>
      <c r="AH678" s="6">
        <f>IF(O678=0,0,IF(Q678="",B678*P678/100,Q678))</f>
        <v/>
      </c>
      <c r="AI678" s="6">
        <f>IF(R678=0,0,IF(T678="",B678*S678/100,T678))</f>
        <v/>
      </c>
      <c r="AJ678" s="6">
        <f>B678*0.035</f>
        <v/>
      </c>
      <c r="AK678" s="6">
        <f>B678*0.065</f>
        <v/>
      </c>
      <c r="AL678" s="6">
        <f>SUM(B678,AD678,AE678,AF678,AG678,AH678,AI678,U678,V678,AJ678,AK678)</f>
        <v/>
      </c>
      <c r="AM678" s="6">
        <f>B678*0.055</f>
        <v/>
      </c>
      <c r="AN678" s="6">
        <f>B678*0.035</f>
        <v/>
      </c>
      <c r="AO678" s="6">
        <f>B678*0.165</f>
        <v/>
      </c>
      <c r="AP678" s="6">
        <f>MAX(0,AL678-AM678-AO678)</f>
        <v/>
      </c>
      <c r="AQ678" s="6">
        <f>IF(AP678&lt;=490,0,IF(AP678&lt;=600,(AP678-490)*0.05,IF(AP678&lt;=730,5.5+(AP678-600)*0.10,IF(AP678&lt;=3896.67,18.5+(AP678-730)*0.175,IF(AP678&lt;=19896.67,572.67+(AP678-3896.67)*0.25,IF(AP678&lt;=50416.67,4572.67+(AP678-19896.67)*0.30,13728.67+(AP678-50416.67)*0.35))))))</f>
        <v/>
      </c>
      <c r="AR678" s="6">
        <f>SUM(AM678,AQ678,W678,X678,Y678,Z678,AA678,AN678,AO678)</f>
        <v/>
      </c>
      <c r="AS678" s="6">
        <f>AL678-AR678</f>
        <v/>
      </c>
      <c r="AT678" s="6">
        <f>AB678-AC678</f>
        <v/>
      </c>
    </row>
    <row r="679">
      <c r="A679" s="2" t="n"/>
      <c r="B679" s="3" t="n"/>
      <c r="C679" s="4" t="n"/>
      <c r="D679" s="5" t="n"/>
      <c r="E679" s="3" t="n"/>
      <c r="F679" s="4" t="n"/>
      <c r="G679" s="5" t="n"/>
      <c r="H679" s="3" t="n"/>
      <c r="I679" s="4" t="n"/>
      <c r="J679" s="5" t="n"/>
      <c r="K679" s="3" t="n"/>
      <c r="L679" s="4" t="n"/>
      <c r="M679" s="5" t="n"/>
      <c r="N679" s="3" t="n"/>
      <c r="O679" s="4" t="n"/>
      <c r="P679" s="5" t="n"/>
      <c r="Q679" s="3" t="n"/>
      <c r="R679" s="4" t="n"/>
      <c r="S679" s="5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6">
        <f>IF(C679=0,0,IF(E679="",B679*D679/100,E679))</f>
        <v/>
      </c>
      <c r="AE679" s="6">
        <f>IF(F679=0,0,IF(H679="",B679*G679/100,H679))</f>
        <v/>
      </c>
      <c r="AF679" s="6">
        <f>IF(I679=0,0,IF(K679="",B679*J679/100,K679))</f>
        <v/>
      </c>
      <c r="AG679" s="6">
        <f>IF(L679=0,0,IF(N679="",B679*M679/100,N679))</f>
        <v/>
      </c>
      <c r="AH679" s="6">
        <f>IF(O679=0,0,IF(Q679="",B679*P679/100,Q679))</f>
        <v/>
      </c>
      <c r="AI679" s="6">
        <f>IF(R679=0,0,IF(T679="",B679*S679/100,T679))</f>
        <v/>
      </c>
      <c r="AJ679" s="6">
        <f>B679*0.035</f>
        <v/>
      </c>
      <c r="AK679" s="6">
        <f>B679*0.065</f>
        <v/>
      </c>
      <c r="AL679" s="6">
        <f>SUM(B679,AD679,AE679,AF679,AG679,AH679,AI679,U679,V679,AJ679,AK679)</f>
        <v/>
      </c>
      <c r="AM679" s="6">
        <f>B679*0.055</f>
        <v/>
      </c>
      <c r="AN679" s="6">
        <f>B679*0.035</f>
        <v/>
      </c>
      <c r="AO679" s="6">
        <f>B679*0.165</f>
        <v/>
      </c>
      <c r="AP679" s="6">
        <f>MAX(0,AL679-AM679-AO679)</f>
        <v/>
      </c>
      <c r="AQ679" s="6">
        <f>IF(AP679&lt;=490,0,IF(AP679&lt;=600,(AP679-490)*0.05,IF(AP679&lt;=730,5.5+(AP679-600)*0.10,IF(AP679&lt;=3896.67,18.5+(AP679-730)*0.175,IF(AP679&lt;=19896.67,572.67+(AP679-3896.67)*0.25,IF(AP679&lt;=50416.67,4572.67+(AP679-19896.67)*0.30,13728.67+(AP679-50416.67)*0.35))))))</f>
        <v/>
      </c>
      <c r="AR679" s="6">
        <f>SUM(AM679,AQ679,W679,X679,Y679,Z679,AA679,AN679,AO679)</f>
        <v/>
      </c>
      <c r="AS679" s="6">
        <f>AL679-AR679</f>
        <v/>
      </c>
      <c r="AT679" s="6">
        <f>AB679-AC679</f>
        <v/>
      </c>
    </row>
    <row r="680">
      <c r="A680" s="2" t="n"/>
      <c r="B680" s="3" t="n"/>
      <c r="C680" s="4" t="n"/>
      <c r="D680" s="5" t="n"/>
      <c r="E680" s="3" t="n"/>
      <c r="F680" s="4" t="n"/>
      <c r="G680" s="5" t="n"/>
      <c r="H680" s="3" t="n"/>
      <c r="I680" s="4" t="n"/>
      <c r="J680" s="5" t="n"/>
      <c r="K680" s="3" t="n"/>
      <c r="L680" s="4" t="n"/>
      <c r="M680" s="5" t="n"/>
      <c r="N680" s="3" t="n"/>
      <c r="O680" s="4" t="n"/>
      <c r="P680" s="5" t="n"/>
      <c r="Q680" s="3" t="n"/>
      <c r="R680" s="4" t="n"/>
      <c r="S680" s="5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6">
        <f>IF(C680=0,0,IF(E680="",B680*D680/100,E680))</f>
        <v/>
      </c>
      <c r="AE680" s="6">
        <f>IF(F680=0,0,IF(H680="",B680*G680/100,H680))</f>
        <v/>
      </c>
      <c r="AF680" s="6">
        <f>IF(I680=0,0,IF(K680="",B680*J680/100,K680))</f>
        <v/>
      </c>
      <c r="AG680" s="6">
        <f>IF(L680=0,0,IF(N680="",B680*M680/100,N680))</f>
        <v/>
      </c>
      <c r="AH680" s="6">
        <f>IF(O680=0,0,IF(Q680="",B680*P680/100,Q680))</f>
        <v/>
      </c>
      <c r="AI680" s="6">
        <f>IF(R680=0,0,IF(T680="",B680*S680/100,T680))</f>
        <v/>
      </c>
      <c r="AJ680" s="6">
        <f>B680*0.035</f>
        <v/>
      </c>
      <c r="AK680" s="6">
        <f>B680*0.065</f>
        <v/>
      </c>
      <c r="AL680" s="6">
        <f>SUM(B680,AD680,AE680,AF680,AG680,AH680,AI680,U680,V680,AJ680,AK680)</f>
        <v/>
      </c>
      <c r="AM680" s="6">
        <f>B680*0.055</f>
        <v/>
      </c>
      <c r="AN680" s="6">
        <f>B680*0.035</f>
        <v/>
      </c>
      <c r="AO680" s="6">
        <f>B680*0.165</f>
        <v/>
      </c>
      <c r="AP680" s="6">
        <f>MAX(0,AL680-AM680-AO680)</f>
        <v/>
      </c>
      <c r="AQ680" s="6">
        <f>IF(AP680&lt;=490,0,IF(AP680&lt;=600,(AP680-490)*0.05,IF(AP680&lt;=730,5.5+(AP680-600)*0.10,IF(AP680&lt;=3896.67,18.5+(AP680-730)*0.175,IF(AP680&lt;=19896.67,572.67+(AP680-3896.67)*0.25,IF(AP680&lt;=50416.67,4572.67+(AP680-19896.67)*0.30,13728.67+(AP680-50416.67)*0.35))))))</f>
        <v/>
      </c>
      <c r="AR680" s="6">
        <f>SUM(AM680,AQ680,W680,X680,Y680,Z680,AA680,AN680,AO680)</f>
        <v/>
      </c>
      <c r="AS680" s="6">
        <f>AL680-AR680</f>
        <v/>
      </c>
      <c r="AT680" s="6">
        <f>AB680-AC680</f>
        <v/>
      </c>
    </row>
    <row r="681">
      <c r="A681" s="2" t="n"/>
      <c r="B681" s="3" t="n"/>
      <c r="C681" s="4" t="n"/>
      <c r="D681" s="5" t="n"/>
      <c r="E681" s="3" t="n"/>
      <c r="F681" s="4" t="n"/>
      <c r="G681" s="5" t="n"/>
      <c r="H681" s="3" t="n"/>
      <c r="I681" s="4" t="n"/>
      <c r="J681" s="5" t="n"/>
      <c r="K681" s="3" t="n"/>
      <c r="L681" s="4" t="n"/>
      <c r="M681" s="5" t="n"/>
      <c r="N681" s="3" t="n"/>
      <c r="O681" s="4" t="n"/>
      <c r="P681" s="5" t="n"/>
      <c r="Q681" s="3" t="n"/>
      <c r="R681" s="4" t="n"/>
      <c r="S681" s="5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6">
        <f>IF(C681=0,0,IF(E681="",B681*D681/100,E681))</f>
        <v/>
      </c>
      <c r="AE681" s="6">
        <f>IF(F681=0,0,IF(H681="",B681*G681/100,H681))</f>
        <v/>
      </c>
      <c r="AF681" s="6">
        <f>IF(I681=0,0,IF(K681="",B681*J681/100,K681))</f>
        <v/>
      </c>
      <c r="AG681" s="6">
        <f>IF(L681=0,0,IF(N681="",B681*M681/100,N681))</f>
        <v/>
      </c>
      <c r="AH681" s="6">
        <f>IF(O681=0,0,IF(Q681="",B681*P681/100,Q681))</f>
        <v/>
      </c>
      <c r="AI681" s="6">
        <f>IF(R681=0,0,IF(T681="",B681*S681/100,T681))</f>
        <v/>
      </c>
      <c r="AJ681" s="6">
        <f>B681*0.035</f>
        <v/>
      </c>
      <c r="AK681" s="6">
        <f>B681*0.065</f>
        <v/>
      </c>
      <c r="AL681" s="6">
        <f>SUM(B681,AD681,AE681,AF681,AG681,AH681,AI681,U681,V681,AJ681,AK681)</f>
        <v/>
      </c>
      <c r="AM681" s="6">
        <f>B681*0.055</f>
        <v/>
      </c>
      <c r="AN681" s="6">
        <f>B681*0.035</f>
        <v/>
      </c>
      <c r="AO681" s="6">
        <f>B681*0.165</f>
        <v/>
      </c>
      <c r="AP681" s="6">
        <f>MAX(0,AL681-AM681-AO681)</f>
        <v/>
      </c>
      <c r="AQ681" s="6">
        <f>IF(AP681&lt;=490,0,IF(AP681&lt;=600,(AP681-490)*0.05,IF(AP681&lt;=730,5.5+(AP681-600)*0.10,IF(AP681&lt;=3896.67,18.5+(AP681-730)*0.175,IF(AP681&lt;=19896.67,572.67+(AP681-3896.67)*0.25,IF(AP681&lt;=50416.67,4572.67+(AP681-19896.67)*0.30,13728.67+(AP681-50416.67)*0.35))))))</f>
        <v/>
      </c>
      <c r="AR681" s="6">
        <f>SUM(AM681,AQ681,W681,X681,Y681,Z681,AA681,AN681,AO681)</f>
        <v/>
      </c>
      <c r="AS681" s="6">
        <f>AL681-AR681</f>
        <v/>
      </c>
      <c r="AT681" s="6">
        <f>AB681-AC681</f>
        <v/>
      </c>
    </row>
    <row r="682">
      <c r="A682" s="2" t="n"/>
      <c r="B682" s="3" t="n"/>
      <c r="C682" s="4" t="n"/>
      <c r="D682" s="5" t="n"/>
      <c r="E682" s="3" t="n"/>
      <c r="F682" s="4" t="n"/>
      <c r="G682" s="5" t="n"/>
      <c r="H682" s="3" t="n"/>
      <c r="I682" s="4" t="n"/>
      <c r="J682" s="5" t="n"/>
      <c r="K682" s="3" t="n"/>
      <c r="L682" s="4" t="n"/>
      <c r="M682" s="5" t="n"/>
      <c r="N682" s="3" t="n"/>
      <c r="O682" s="4" t="n"/>
      <c r="P682" s="5" t="n"/>
      <c r="Q682" s="3" t="n"/>
      <c r="R682" s="4" t="n"/>
      <c r="S682" s="5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6">
        <f>IF(C682=0,0,IF(E682="",B682*D682/100,E682))</f>
        <v/>
      </c>
      <c r="AE682" s="6">
        <f>IF(F682=0,0,IF(H682="",B682*G682/100,H682))</f>
        <v/>
      </c>
      <c r="AF682" s="6">
        <f>IF(I682=0,0,IF(K682="",B682*J682/100,K682))</f>
        <v/>
      </c>
      <c r="AG682" s="6">
        <f>IF(L682=0,0,IF(N682="",B682*M682/100,N682))</f>
        <v/>
      </c>
      <c r="AH682" s="6">
        <f>IF(O682=0,0,IF(Q682="",B682*P682/100,Q682))</f>
        <v/>
      </c>
      <c r="AI682" s="6">
        <f>IF(R682=0,0,IF(T682="",B682*S682/100,T682))</f>
        <v/>
      </c>
      <c r="AJ682" s="6">
        <f>B682*0.035</f>
        <v/>
      </c>
      <c r="AK682" s="6">
        <f>B682*0.065</f>
        <v/>
      </c>
      <c r="AL682" s="6">
        <f>SUM(B682,AD682,AE682,AF682,AG682,AH682,AI682,U682,V682,AJ682,AK682)</f>
        <v/>
      </c>
      <c r="AM682" s="6">
        <f>B682*0.055</f>
        <v/>
      </c>
      <c r="AN682" s="6">
        <f>B682*0.035</f>
        <v/>
      </c>
      <c r="AO682" s="6">
        <f>B682*0.165</f>
        <v/>
      </c>
      <c r="AP682" s="6">
        <f>MAX(0,AL682-AM682-AO682)</f>
        <v/>
      </c>
      <c r="AQ682" s="6">
        <f>IF(AP682&lt;=490,0,IF(AP682&lt;=600,(AP682-490)*0.05,IF(AP682&lt;=730,5.5+(AP682-600)*0.10,IF(AP682&lt;=3896.67,18.5+(AP682-730)*0.175,IF(AP682&lt;=19896.67,572.67+(AP682-3896.67)*0.25,IF(AP682&lt;=50416.67,4572.67+(AP682-19896.67)*0.30,13728.67+(AP682-50416.67)*0.35))))))</f>
        <v/>
      </c>
      <c r="AR682" s="6">
        <f>SUM(AM682,AQ682,W682,X682,Y682,Z682,AA682,AN682,AO682)</f>
        <v/>
      </c>
      <c r="AS682" s="6">
        <f>AL682-AR682</f>
        <v/>
      </c>
      <c r="AT682" s="6">
        <f>AB682-AC682</f>
        <v/>
      </c>
    </row>
    <row r="683">
      <c r="A683" s="2" t="n"/>
      <c r="B683" s="3" t="n"/>
      <c r="C683" s="4" t="n"/>
      <c r="D683" s="5" t="n"/>
      <c r="E683" s="3" t="n"/>
      <c r="F683" s="4" t="n"/>
      <c r="G683" s="5" t="n"/>
      <c r="H683" s="3" t="n"/>
      <c r="I683" s="4" t="n"/>
      <c r="J683" s="5" t="n"/>
      <c r="K683" s="3" t="n"/>
      <c r="L683" s="4" t="n"/>
      <c r="M683" s="5" t="n"/>
      <c r="N683" s="3" t="n"/>
      <c r="O683" s="4" t="n"/>
      <c r="P683" s="5" t="n"/>
      <c r="Q683" s="3" t="n"/>
      <c r="R683" s="4" t="n"/>
      <c r="S683" s="5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6">
        <f>IF(C683=0,0,IF(E683="",B683*D683/100,E683))</f>
        <v/>
      </c>
      <c r="AE683" s="6">
        <f>IF(F683=0,0,IF(H683="",B683*G683/100,H683))</f>
        <v/>
      </c>
      <c r="AF683" s="6">
        <f>IF(I683=0,0,IF(K683="",B683*J683/100,K683))</f>
        <v/>
      </c>
      <c r="AG683" s="6">
        <f>IF(L683=0,0,IF(N683="",B683*M683/100,N683))</f>
        <v/>
      </c>
      <c r="AH683" s="6">
        <f>IF(O683=0,0,IF(Q683="",B683*P683/100,Q683))</f>
        <v/>
      </c>
      <c r="AI683" s="6">
        <f>IF(R683=0,0,IF(T683="",B683*S683/100,T683))</f>
        <v/>
      </c>
      <c r="AJ683" s="6">
        <f>B683*0.035</f>
        <v/>
      </c>
      <c r="AK683" s="6">
        <f>B683*0.065</f>
        <v/>
      </c>
      <c r="AL683" s="6">
        <f>SUM(B683,AD683,AE683,AF683,AG683,AH683,AI683,U683,V683,AJ683,AK683)</f>
        <v/>
      </c>
      <c r="AM683" s="6">
        <f>B683*0.055</f>
        <v/>
      </c>
      <c r="AN683" s="6">
        <f>B683*0.035</f>
        <v/>
      </c>
      <c r="AO683" s="6">
        <f>B683*0.165</f>
        <v/>
      </c>
      <c r="AP683" s="6">
        <f>MAX(0,AL683-AM683-AO683)</f>
        <v/>
      </c>
      <c r="AQ683" s="6">
        <f>IF(AP683&lt;=490,0,IF(AP683&lt;=600,(AP683-490)*0.05,IF(AP683&lt;=730,5.5+(AP683-600)*0.10,IF(AP683&lt;=3896.67,18.5+(AP683-730)*0.175,IF(AP683&lt;=19896.67,572.67+(AP683-3896.67)*0.25,IF(AP683&lt;=50416.67,4572.67+(AP683-19896.67)*0.30,13728.67+(AP683-50416.67)*0.35))))))</f>
        <v/>
      </c>
      <c r="AR683" s="6">
        <f>SUM(AM683,AQ683,W683,X683,Y683,Z683,AA683,AN683,AO683)</f>
        <v/>
      </c>
      <c r="AS683" s="6">
        <f>AL683-AR683</f>
        <v/>
      </c>
      <c r="AT683" s="6">
        <f>AB683-AC683</f>
        <v/>
      </c>
    </row>
    <row r="684">
      <c r="A684" s="2" t="n"/>
      <c r="B684" s="3" t="n"/>
      <c r="C684" s="4" t="n"/>
      <c r="D684" s="5" t="n"/>
      <c r="E684" s="3" t="n"/>
      <c r="F684" s="4" t="n"/>
      <c r="G684" s="5" t="n"/>
      <c r="H684" s="3" t="n"/>
      <c r="I684" s="4" t="n"/>
      <c r="J684" s="5" t="n"/>
      <c r="K684" s="3" t="n"/>
      <c r="L684" s="4" t="n"/>
      <c r="M684" s="5" t="n"/>
      <c r="N684" s="3" t="n"/>
      <c r="O684" s="4" t="n"/>
      <c r="P684" s="5" t="n"/>
      <c r="Q684" s="3" t="n"/>
      <c r="R684" s="4" t="n"/>
      <c r="S684" s="5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6">
        <f>IF(C684=0,0,IF(E684="",B684*D684/100,E684))</f>
        <v/>
      </c>
      <c r="AE684" s="6">
        <f>IF(F684=0,0,IF(H684="",B684*G684/100,H684))</f>
        <v/>
      </c>
      <c r="AF684" s="6">
        <f>IF(I684=0,0,IF(K684="",B684*J684/100,K684))</f>
        <v/>
      </c>
      <c r="AG684" s="6">
        <f>IF(L684=0,0,IF(N684="",B684*M684/100,N684))</f>
        <v/>
      </c>
      <c r="AH684" s="6">
        <f>IF(O684=0,0,IF(Q684="",B684*P684/100,Q684))</f>
        <v/>
      </c>
      <c r="AI684" s="6">
        <f>IF(R684=0,0,IF(T684="",B684*S684/100,T684))</f>
        <v/>
      </c>
      <c r="AJ684" s="6">
        <f>B684*0.035</f>
        <v/>
      </c>
      <c r="AK684" s="6">
        <f>B684*0.065</f>
        <v/>
      </c>
      <c r="AL684" s="6">
        <f>SUM(B684,AD684,AE684,AF684,AG684,AH684,AI684,U684,V684,AJ684,AK684)</f>
        <v/>
      </c>
      <c r="AM684" s="6">
        <f>B684*0.055</f>
        <v/>
      </c>
      <c r="AN684" s="6">
        <f>B684*0.035</f>
        <v/>
      </c>
      <c r="AO684" s="6">
        <f>B684*0.165</f>
        <v/>
      </c>
      <c r="AP684" s="6">
        <f>MAX(0,AL684-AM684-AO684)</f>
        <v/>
      </c>
      <c r="AQ684" s="6">
        <f>IF(AP684&lt;=490,0,IF(AP684&lt;=600,(AP684-490)*0.05,IF(AP684&lt;=730,5.5+(AP684-600)*0.10,IF(AP684&lt;=3896.67,18.5+(AP684-730)*0.175,IF(AP684&lt;=19896.67,572.67+(AP684-3896.67)*0.25,IF(AP684&lt;=50416.67,4572.67+(AP684-19896.67)*0.30,13728.67+(AP684-50416.67)*0.35))))))</f>
        <v/>
      </c>
      <c r="AR684" s="6">
        <f>SUM(AM684,AQ684,W684,X684,Y684,Z684,AA684,AN684,AO684)</f>
        <v/>
      </c>
      <c r="AS684" s="6">
        <f>AL684-AR684</f>
        <v/>
      </c>
      <c r="AT684" s="6">
        <f>AB684-AC684</f>
        <v/>
      </c>
    </row>
    <row r="685">
      <c r="A685" s="2" t="n"/>
      <c r="B685" s="3" t="n"/>
      <c r="C685" s="4" t="n"/>
      <c r="D685" s="5" t="n"/>
      <c r="E685" s="3" t="n"/>
      <c r="F685" s="4" t="n"/>
      <c r="G685" s="5" t="n"/>
      <c r="H685" s="3" t="n"/>
      <c r="I685" s="4" t="n"/>
      <c r="J685" s="5" t="n"/>
      <c r="K685" s="3" t="n"/>
      <c r="L685" s="4" t="n"/>
      <c r="M685" s="5" t="n"/>
      <c r="N685" s="3" t="n"/>
      <c r="O685" s="4" t="n"/>
      <c r="P685" s="5" t="n"/>
      <c r="Q685" s="3" t="n"/>
      <c r="R685" s="4" t="n"/>
      <c r="S685" s="5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6">
        <f>IF(C685=0,0,IF(E685="",B685*D685/100,E685))</f>
        <v/>
      </c>
      <c r="AE685" s="6">
        <f>IF(F685=0,0,IF(H685="",B685*G685/100,H685))</f>
        <v/>
      </c>
      <c r="AF685" s="6">
        <f>IF(I685=0,0,IF(K685="",B685*J685/100,K685))</f>
        <v/>
      </c>
      <c r="AG685" s="6">
        <f>IF(L685=0,0,IF(N685="",B685*M685/100,N685))</f>
        <v/>
      </c>
      <c r="AH685" s="6">
        <f>IF(O685=0,0,IF(Q685="",B685*P685/100,Q685))</f>
        <v/>
      </c>
      <c r="AI685" s="6">
        <f>IF(R685=0,0,IF(T685="",B685*S685/100,T685))</f>
        <v/>
      </c>
      <c r="AJ685" s="6">
        <f>B685*0.035</f>
        <v/>
      </c>
      <c r="AK685" s="6">
        <f>B685*0.065</f>
        <v/>
      </c>
      <c r="AL685" s="6">
        <f>SUM(B685,AD685,AE685,AF685,AG685,AH685,AI685,U685,V685,AJ685,AK685)</f>
        <v/>
      </c>
      <c r="AM685" s="6">
        <f>B685*0.055</f>
        <v/>
      </c>
      <c r="AN685" s="6">
        <f>B685*0.035</f>
        <v/>
      </c>
      <c r="AO685" s="6">
        <f>B685*0.165</f>
        <v/>
      </c>
      <c r="AP685" s="6">
        <f>MAX(0,AL685-AM685-AO685)</f>
        <v/>
      </c>
      <c r="AQ685" s="6">
        <f>IF(AP685&lt;=490,0,IF(AP685&lt;=600,(AP685-490)*0.05,IF(AP685&lt;=730,5.5+(AP685-600)*0.10,IF(AP685&lt;=3896.67,18.5+(AP685-730)*0.175,IF(AP685&lt;=19896.67,572.67+(AP685-3896.67)*0.25,IF(AP685&lt;=50416.67,4572.67+(AP685-19896.67)*0.30,13728.67+(AP685-50416.67)*0.35))))))</f>
        <v/>
      </c>
      <c r="AR685" s="6">
        <f>SUM(AM685,AQ685,W685,X685,Y685,Z685,AA685,AN685,AO685)</f>
        <v/>
      </c>
      <c r="AS685" s="6">
        <f>AL685-AR685</f>
        <v/>
      </c>
      <c r="AT685" s="6">
        <f>AB685-AC685</f>
        <v/>
      </c>
    </row>
    <row r="686">
      <c r="A686" s="2" t="n"/>
      <c r="B686" s="3" t="n"/>
      <c r="C686" s="4" t="n"/>
      <c r="D686" s="5" t="n"/>
      <c r="E686" s="3" t="n"/>
      <c r="F686" s="4" t="n"/>
      <c r="G686" s="5" t="n"/>
      <c r="H686" s="3" t="n"/>
      <c r="I686" s="4" t="n"/>
      <c r="J686" s="5" t="n"/>
      <c r="K686" s="3" t="n"/>
      <c r="L686" s="4" t="n"/>
      <c r="M686" s="5" t="n"/>
      <c r="N686" s="3" t="n"/>
      <c r="O686" s="4" t="n"/>
      <c r="P686" s="5" t="n"/>
      <c r="Q686" s="3" t="n"/>
      <c r="R686" s="4" t="n"/>
      <c r="S686" s="5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6">
        <f>IF(C686=0,0,IF(E686="",B686*D686/100,E686))</f>
        <v/>
      </c>
      <c r="AE686" s="6">
        <f>IF(F686=0,0,IF(H686="",B686*G686/100,H686))</f>
        <v/>
      </c>
      <c r="AF686" s="6">
        <f>IF(I686=0,0,IF(K686="",B686*J686/100,K686))</f>
        <v/>
      </c>
      <c r="AG686" s="6">
        <f>IF(L686=0,0,IF(N686="",B686*M686/100,N686))</f>
        <v/>
      </c>
      <c r="AH686" s="6">
        <f>IF(O686=0,0,IF(Q686="",B686*P686/100,Q686))</f>
        <v/>
      </c>
      <c r="AI686" s="6">
        <f>IF(R686=0,0,IF(T686="",B686*S686/100,T686))</f>
        <v/>
      </c>
      <c r="AJ686" s="6">
        <f>B686*0.035</f>
        <v/>
      </c>
      <c r="AK686" s="6">
        <f>B686*0.065</f>
        <v/>
      </c>
      <c r="AL686" s="6">
        <f>SUM(B686,AD686,AE686,AF686,AG686,AH686,AI686,U686,V686,AJ686,AK686)</f>
        <v/>
      </c>
      <c r="AM686" s="6">
        <f>B686*0.055</f>
        <v/>
      </c>
      <c r="AN686" s="6">
        <f>B686*0.035</f>
        <v/>
      </c>
      <c r="AO686" s="6">
        <f>B686*0.165</f>
        <v/>
      </c>
      <c r="AP686" s="6">
        <f>MAX(0,AL686-AM686-AO686)</f>
        <v/>
      </c>
      <c r="AQ686" s="6">
        <f>IF(AP686&lt;=490,0,IF(AP686&lt;=600,(AP686-490)*0.05,IF(AP686&lt;=730,5.5+(AP686-600)*0.10,IF(AP686&lt;=3896.67,18.5+(AP686-730)*0.175,IF(AP686&lt;=19896.67,572.67+(AP686-3896.67)*0.25,IF(AP686&lt;=50416.67,4572.67+(AP686-19896.67)*0.30,13728.67+(AP686-50416.67)*0.35))))))</f>
        <v/>
      </c>
      <c r="AR686" s="6">
        <f>SUM(AM686,AQ686,W686,X686,Y686,Z686,AA686,AN686,AO686)</f>
        <v/>
      </c>
      <c r="AS686" s="6">
        <f>AL686-AR686</f>
        <v/>
      </c>
      <c r="AT686" s="6">
        <f>AB686-AC686</f>
        <v/>
      </c>
    </row>
    <row r="687">
      <c r="A687" s="2" t="n"/>
      <c r="B687" s="3" t="n"/>
      <c r="C687" s="4" t="n"/>
      <c r="D687" s="5" t="n"/>
      <c r="E687" s="3" t="n"/>
      <c r="F687" s="4" t="n"/>
      <c r="G687" s="5" t="n"/>
      <c r="H687" s="3" t="n"/>
      <c r="I687" s="4" t="n"/>
      <c r="J687" s="5" t="n"/>
      <c r="K687" s="3" t="n"/>
      <c r="L687" s="4" t="n"/>
      <c r="M687" s="5" t="n"/>
      <c r="N687" s="3" t="n"/>
      <c r="O687" s="4" t="n"/>
      <c r="P687" s="5" t="n"/>
      <c r="Q687" s="3" t="n"/>
      <c r="R687" s="4" t="n"/>
      <c r="S687" s="5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6">
        <f>IF(C687=0,0,IF(E687="",B687*D687/100,E687))</f>
        <v/>
      </c>
      <c r="AE687" s="6">
        <f>IF(F687=0,0,IF(H687="",B687*G687/100,H687))</f>
        <v/>
      </c>
      <c r="AF687" s="6">
        <f>IF(I687=0,0,IF(K687="",B687*J687/100,K687))</f>
        <v/>
      </c>
      <c r="AG687" s="6">
        <f>IF(L687=0,0,IF(N687="",B687*M687/100,N687))</f>
        <v/>
      </c>
      <c r="AH687" s="6">
        <f>IF(O687=0,0,IF(Q687="",B687*P687/100,Q687))</f>
        <v/>
      </c>
      <c r="AI687" s="6">
        <f>IF(R687=0,0,IF(T687="",B687*S687/100,T687))</f>
        <v/>
      </c>
      <c r="AJ687" s="6">
        <f>B687*0.035</f>
        <v/>
      </c>
      <c r="AK687" s="6">
        <f>B687*0.065</f>
        <v/>
      </c>
      <c r="AL687" s="6">
        <f>SUM(B687,AD687,AE687,AF687,AG687,AH687,AI687,U687,V687,AJ687,AK687)</f>
        <v/>
      </c>
      <c r="AM687" s="6">
        <f>B687*0.055</f>
        <v/>
      </c>
      <c r="AN687" s="6">
        <f>B687*0.035</f>
        <v/>
      </c>
      <c r="AO687" s="6">
        <f>B687*0.165</f>
        <v/>
      </c>
      <c r="AP687" s="6">
        <f>MAX(0,AL687-AM687-AO687)</f>
        <v/>
      </c>
      <c r="AQ687" s="6">
        <f>IF(AP687&lt;=490,0,IF(AP687&lt;=600,(AP687-490)*0.05,IF(AP687&lt;=730,5.5+(AP687-600)*0.10,IF(AP687&lt;=3896.67,18.5+(AP687-730)*0.175,IF(AP687&lt;=19896.67,572.67+(AP687-3896.67)*0.25,IF(AP687&lt;=50416.67,4572.67+(AP687-19896.67)*0.30,13728.67+(AP687-50416.67)*0.35))))))</f>
        <v/>
      </c>
      <c r="AR687" s="6">
        <f>SUM(AM687,AQ687,W687,X687,Y687,Z687,AA687,AN687,AO687)</f>
        <v/>
      </c>
      <c r="AS687" s="6">
        <f>AL687-AR687</f>
        <v/>
      </c>
      <c r="AT687" s="6">
        <f>AB687-AC687</f>
        <v/>
      </c>
    </row>
    <row r="688">
      <c r="A688" s="2" t="n"/>
      <c r="B688" s="3" t="n"/>
      <c r="C688" s="4" t="n"/>
      <c r="D688" s="5" t="n"/>
      <c r="E688" s="3" t="n"/>
      <c r="F688" s="4" t="n"/>
      <c r="G688" s="5" t="n"/>
      <c r="H688" s="3" t="n"/>
      <c r="I688" s="4" t="n"/>
      <c r="J688" s="5" t="n"/>
      <c r="K688" s="3" t="n"/>
      <c r="L688" s="4" t="n"/>
      <c r="M688" s="5" t="n"/>
      <c r="N688" s="3" t="n"/>
      <c r="O688" s="4" t="n"/>
      <c r="P688" s="5" t="n"/>
      <c r="Q688" s="3" t="n"/>
      <c r="R688" s="4" t="n"/>
      <c r="S688" s="5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6">
        <f>IF(C688=0,0,IF(E688="",B688*D688/100,E688))</f>
        <v/>
      </c>
      <c r="AE688" s="6">
        <f>IF(F688=0,0,IF(H688="",B688*G688/100,H688))</f>
        <v/>
      </c>
      <c r="AF688" s="6">
        <f>IF(I688=0,0,IF(K688="",B688*J688/100,K688))</f>
        <v/>
      </c>
      <c r="AG688" s="6">
        <f>IF(L688=0,0,IF(N688="",B688*M688/100,N688))</f>
        <v/>
      </c>
      <c r="AH688" s="6">
        <f>IF(O688=0,0,IF(Q688="",B688*P688/100,Q688))</f>
        <v/>
      </c>
      <c r="AI688" s="6">
        <f>IF(R688=0,0,IF(T688="",B688*S688/100,T688))</f>
        <v/>
      </c>
      <c r="AJ688" s="6">
        <f>B688*0.035</f>
        <v/>
      </c>
      <c r="AK688" s="6">
        <f>B688*0.065</f>
        <v/>
      </c>
      <c r="AL688" s="6">
        <f>SUM(B688,AD688,AE688,AF688,AG688,AH688,AI688,U688,V688,AJ688,AK688)</f>
        <v/>
      </c>
      <c r="AM688" s="6">
        <f>B688*0.055</f>
        <v/>
      </c>
      <c r="AN688" s="6">
        <f>B688*0.035</f>
        <v/>
      </c>
      <c r="AO688" s="6">
        <f>B688*0.165</f>
        <v/>
      </c>
      <c r="AP688" s="6">
        <f>MAX(0,AL688-AM688-AO688)</f>
        <v/>
      </c>
      <c r="AQ688" s="6">
        <f>IF(AP688&lt;=490,0,IF(AP688&lt;=600,(AP688-490)*0.05,IF(AP688&lt;=730,5.5+(AP688-600)*0.10,IF(AP688&lt;=3896.67,18.5+(AP688-730)*0.175,IF(AP688&lt;=19896.67,572.67+(AP688-3896.67)*0.25,IF(AP688&lt;=50416.67,4572.67+(AP688-19896.67)*0.30,13728.67+(AP688-50416.67)*0.35))))))</f>
        <v/>
      </c>
      <c r="AR688" s="6">
        <f>SUM(AM688,AQ688,W688,X688,Y688,Z688,AA688,AN688,AO688)</f>
        <v/>
      </c>
      <c r="AS688" s="6">
        <f>AL688-AR688</f>
        <v/>
      </c>
      <c r="AT688" s="6">
        <f>AB688-AC688</f>
        <v/>
      </c>
    </row>
    <row r="689">
      <c r="A689" s="2" t="n"/>
      <c r="B689" s="3" t="n"/>
      <c r="C689" s="4" t="n"/>
      <c r="D689" s="5" t="n"/>
      <c r="E689" s="3" t="n"/>
      <c r="F689" s="4" t="n"/>
      <c r="G689" s="5" t="n"/>
      <c r="H689" s="3" t="n"/>
      <c r="I689" s="4" t="n"/>
      <c r="J689" s="5" t="n"/>
      <c r="K689" s="3" t="n"/>
      <c r="L689" s="4" t="n"/>
      <c r="M689" s="5" t="n"/>
      <c r="N689" s="3" t="n"/>
      <c r="O689" s="4" t="n"/>
      <c r="P689" s="5" t="n"/>
      <c r="Q689" s="3" t="n"/>
      <c r="R689" s="4" t="n"/>
      <c r="S689" s="5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6">
        <f>IF(C689=0,0,IF(E689="",B689*D689/100,E689))</f>
        <v/>
      </c>
      <c r="AE689" s="6">
        <f>IF(F689=0,0,IF(H689="",B689*G689/100,H689))</f>
        <v/>
      </c>
      <c r="AF689" s="6">
        <f>IF(I689=0,0,IF(K689="",B689*J689/100,K689))</f>
        <v/>
      </c>
      <c r="AG689" s="6">
        <f>IF(L689=0,0,IF(N689="",B689*M689/100,N689))</f>
        <v/>
      </c>
      <c r="AH689" s="6">
        <f>IF(O689=0,0,IF(Q689="",B689*P689/100,Q689))</f>
        <v/>
      </c>
      <c r="AI689" s="6">
        <f>IF(R689=0,0,IF(T689="",B689*S689/100,T689))</f>
        <v/>
      </c>
      <c r="AJ689" s="6">
        <f>B689*0.035</f>
        <v/>
      </c>
      <c r="AK689" s="6">
        <f>B689*0.065</f>
        <v/>
      </c>
      <c r="AL689" s="6">
        <f>SUM(B689,AD689,AE689,AF689,AG689,AH689,AI689,U689,V689,AJ689,AK689)</f>
        <v/>
      </c>
      <c r="AM689" s="6">
        <f>B689*0.055</f>
        <v/>
      </c>
      <c r="AN689" s="6">
        <f>B689*0.035</f>
        <v/>
      </c>
      <c r="AO689" s="6">
        <f>B689*0.165</f>
        <v/>
      </c>
      <c r="AP689" s="6">
        <f>MAX(0,AL689-AM689-AO689)</f>
        <v/>
      </c>
      <c r="AQ689" s="6">
        <f>IF(AP689&lt;=490,0,IF(AP689&lt;=600,(AP689-490)*0.05,IF(AP689&lt;=730,5.5+(AP689-600)*0.10,IF(AP689&lt;=3896.67,18.5+(AP689-730)*0.175,IF(AP689&lt;=19896.67,572.67+(AP689-3896.67)*0.25,IF(AP689&lt;=50416.67,4572.67+(AP689-19896.67)*0.30,13728.67+(AP689-50416.67)*0.35))))))</f>
        <v/>
      </c>
      <c r="AR689" s="6">
        <f>SUM(AM689,AQ689,W689,X689,Y689,Z689,AA689,AN689,AO689)</f>
        <v/>
      </c>
      <c r="AS689" s="6">
        <f>AL689-AR689</f>
        <v/>
      </c>
      <c r="AT689" s="6">
        <f>AB689-AC689</f>
        <v/>
      </c>
    </row>
    <row r="690">
      <c r="A690" s="2" t="n"/>
      <c r="B690" s="3" t="n"/>
      <c r="C690" s="4" t="n"/>
      <c r="D690" s="5" t="n"/>
      <c r="E690" s="3" t="n"/>
      <c r="F690" s="4" t="n"/>
      <c r="G690" s="5" t="n"/>
      <c r="H690" s="3" t="n"/>
      <c r="I690" s="4" t="n"/>
      <c r="J690" s="5" t="n"/>
      <c r="K690" s="3" t="n"/>
      <c r="L690" s="4" t="n"/>
      <c r="M690" s="5" t="n"/>
      <c r="N690" s="3" t="n"/>
      <c r="O690" s="4" t="n"/>
      <c r="P690" s="5" t="n"/>
      <c r="Q690" s="3" t="n"/>
      <c r="R690" s="4" t="n"/>
      <c r="S690" s="5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6">
        <f>IF(C690=0,0,IF(E690="",B690*D690/100,E690))</f>
        <v/>
      </c>
      <c r="AE690" s="6">
        <f>IF(F690=0,0,IF(H690="",B690*G690/100,H690))</f>
        <v/>
      </c>
      <c r="AF690" s="6">
        <f>IF(I690=0,0,IF(K690="",B690*J690/100,K690))</f>
        <v/>
      </c>
      <c r="AG690" s="6">
        <f>IF(L690=0,0,IF(N690="",B690*M690/100,N690))</f>
        <v/>
      </c>
      <c r="AH690" s="6">
        <f>IF(O690=0,0,IF(Q690="",B690*P690/100,Q690))</f>
        <v/>
      </c>
      <c r="AI690" s="6">
        <f>IF(R690=0,0,IF(T690="",B690*S690/100,T690))</f>
        <v/>
      </c>
      <c r="AJ690" s="6">
        <f>B690*0.035</f>
        <v/>
      </c>
      <c r="AK690" s="6">
        <f>B690*0.065</f>
        <v/>
      </c>
      <c r="AL690" s="6">
        <f>SUM(B690,AD690,AE690,AF690,AG690,AH690,AI690,U690,V690,AJ690,AK690)</f>
        <v/>
      </c>
      <c r="AM690" s="6">
        <f>B690*0.055</f>
        <v/>
      </c>
      <c r="AN690" s="6">
        <f>B690*0.035</f>
        <v/>
      </c>
      <c r="AO690" s="6">
        <f>B690*0.165</f>
        <v/>
      </c>
      <c r="AP690" s="6">
        <f>MAX(0,AL690-AM690-AO690)</f>
        <v/>
      </c>
      <c r="AQ690" s="6">
        <f>IF(AP690&lt;=490,0,IF(AP690&lt;=600,(AP690-490)*0.05,IF(AP690&lt;=730,5.5+(AP690-600)*0.10,IF(AP690&lt;=3896.67,18.5+(AP690-730)*0.175,IF(AP690&lt;=19896.67,572.67+(AP690-3896.67)*0.25,IF(AP690&lt;=50416.67,4572.67+(AP690-19896.67)*0.30,13728.67+(AP690-50416.67)*0.35))))))</f>
        <v/>
      </c>
      <c r="AR690" s="6">
        <f>SUM(AM690,AQ690,W690,X690,Y690,Z690,AA690,AN690,AO690)</f>
        <v/>
      </c>
      <c r="AS690" s="6">
        <f>AL690-AR690</f>
        <v/>
      </c>
      <c r="AT690" s="6">
        <f>AB690-AC690</f>
        <v/>
      </c>
    </row>
    <row r="691">
      <c r="A691" s="2" t="n"/>
      <c r="B691" s="3" t="n"/>
      <c r="C691" s="4" t="n"/>
      <c r="D691" s="5" t="n"/>
      <c r="E691" s="3" t="n"/>
      <c r="F691" s="4" t="n"/>
      <c r="G691" s="5" t="n"/>
      <c r="H691" s="3" t="n"/>
      <c r="I691" s="4" t="n"/>
      <c r="J691" s="5" t="n"/>
      <c r="K691" s="3" t="n"/>
      <c r="L691" s="4" t="n"/>
      <c r="M691" s="5" t="n"/>
      <c r="N691" s="3" t="n"/>
      <c r="O691" s="4" t="n"/>
      <c r="P691" s="5" t="n"/>
      <c r="Q691" s="3" t="n"/>
      <c r="R691" s="4" t="n"/>
      <c r="S691" s="5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6">
        <f>IF(C691=0,0,IF(E691="",B691*D691/100,E691))</f>
        <v/>
      </c>
      <c r="AE691" s="6">
        <f>IF(F691=0,0,IF(H691="",B691*G691/100,H691))</f>
        <v/>
      </c>
      <c r="AF691" s="6">
        <f>IF(I691=0,0,IF(K691="",B691*J691/100,K691))</f>
        <v/>
      </c>
      <c r="AG691" s="6">
        <f>IF(L691=0,0,IF(N691="",B691*M691/100,N691))</f>
        <v/>
      </c>
      <c r="AH691" s="6">
        <f>IF(O691=0,0,IF(Q691="",B691*P691/100,Q691))</f>
        <v/>
      </c>
      <c r="AI691" s="6">
        <f>IF(R691=0,0,IF(T691="",B691*S691/100,T691))</f>
        <v/>
      </c>
      <c r="AJ691" s="6">
        <f>B691*0.035</f>
        <v/>
      </c>
      <c r="AK691" s="6">
        <f>B691*0.065</f>
        <v/>
      </c>
      <c r="AL691" s="6">
        <f>SUM(B691,AD691,AE691,AF691,AG691,AH691,AI691,U691,V691,AJ691,AK691)</f>
        <v/>
      </c>
      <c r="AM691" s="6">
        <f>B691*0.055</f>
        <v/>
      </c>
      <c r="AN691" s="6">
        <f>B691*0.035</f>
        <v/>
      </c>
      <c r="AO691" s="6">
        <f>B691*0.165</f>
        <v/>
      </c>
      <c r="AP691" s="6">
        <f>MAX(0,AL691-AM691-AO691)</f>
        <v/>
      </c>
      <c r="AQ691" s="6">
        <f>IF(AP691&lt;=490,0,IF(AP691&lt;=600,(AP691-490)*0.05,IF(AP691&lt;=730,5.5+(AP691-600)*0.10,IF(AP691&lt;=3896.67,18.5+(AP691-730)*0.175,IF(AP691&lt;=19896.67,572.67+(AP691-3896.67)*0.25,IF(AP691&lt;=50416.67,4572.67+(AP691-19896.67)*0.30,13728.67+(AP691-50416.67)*0.35))))))</f>
        <v/>
      </c>
      <c r="AR691" s="6">
        <f>SUM(AM691,AQ691,W691,X691,Y691,Z691,AA691,AN691,AO691)</f>
        <v/>
      </c>
      <c r="AS691" s="6">
        <f>AL691-AR691</f>
        <v/>
      </c>
      <c r="AT691" s="6">
        <f>AB691-AC691</f>
        <v/>
      </c>
    </row>
    <row r="692">
      <c r="A692" s="2" t="n"/>
      <c r="B692" s="3" t="n"/>
      <c r="C692" s="4" t="n"/>
      <c r="D692" s="5" t="n"/>
      <c r="E692" s="3" t="n"/>
      <c r="F692" s="4" t="n"/>
      <c r="G692" s="5" t="n"/>
      <c r="H692" s="3" t="n"/>
      <c r="I692" s="4" t="n"/>
      <c r="J692" s="5" t="n"/>
      <c r="K692" s="3" t="n"/>
      <c r="L692" s="4" t="n"/>
      <c r="M692" s="5" t="n"/>
      <c r="N692" s="3" t="n"/>
      <c r="O692" s="4" t="n"/>
      <c r="P692" s="5" t="n"/>
      <c r="Q692" s="3" t="n"/>
      <c r="R692" s="4" t="n"/>
      <c r="S692" s="5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6">
        <f>IF(C692=0,0,IF(E692="",B692*D692/100,E692))</f>
        <v/>
      </c>
      <c r="AE692" s="6">
        <f>IF(F692=0,0,IF(H692="",B692*G692/100,H692))</f>
        <v/>
      </c>
      <c r="AF692" s="6">
        <f>IF(I692=0,0,IF(K692="",B692*J692/100,K692))</f>
        <v/>
      </c>
      <c r="AG692" s="6">
        <f>IF(L692=0,0,IF(N692="",B692*M692/100,N692))</f>
        <v/>
      </c>
      <c r="AH692" s="6">
        <f>IF(O692=0,0,IF(Q692="",B692*P692/100,Q692))</f>
        <v/>
      </c>
      <c r="AI692" s="6">
        <f>IF(R692=0,0,IF(T692="",B692*S692/100,T692))</f>
        <v/>
      </c>
      <c r="AJ692" s="6">
        <f>B692*0.035</f>
        <v/>
      </c>
      <c r="AK692" s="6">
        <f>B692*0.065</f>
        <v/>
      </c>
      <c r="AL692" s="6">
        <f>SUM(B692,AD692,AE692,AF692,AG692,AH692,AI692,U692,V692,AJ692,AK692)</f>
        <v/>
      </c>
      <c r="AM692" s="6">
        <f>B692*0.055</f>
        <v/>
      </c>
      <c r="AN692" s="6">
        <f>B692*0.035</f>
        <v/>
      </c>
      <c r="AO692" s="6">
        <f>B692*0.165</f>
        <v/>
      </c>
      <c r="AP692" s="6">
        <f>MAX(0,AL692-AM692-AO692)</f>
        <v/>
      </c>
      <c r="AQ692" s="6">
        <f>IF(AP692&lt;=490,0,IF(AP692&lt;=600,(AP692-490)*0.05,IF(AP692&lt;=730,5.5+(AP692-600)*0.10,IF(AP692&lt;=3896.67,18.5+(AP692-730)*0.175,IF(AP692&lt;=19896.67,572.67+(AP692-3896.67)*0.25,IF(AP692&lt;=50416.67,4572.67+(AP692-19896.67)*0.30,13728.67+(AP692-50416.67)*0.35))))))</f>
        <v/>
      </c>
      <c r="AR692" s="6">
        <f>SUM(AM692,AQ692,W692,X692,Y692,Z692,AA692,AN692,AO692)</f>
        <v/>
      </c>
      <c r="AS692" s="6">
        <f>AL692-AR692</f>
        <v/>
      </c>
      <c r="AT692" s="6">
        <f>AB692-AC692</f>
        <v/>
      </c>
    </row>
    <row r="693">
      <c r="A693" s="2" t="n"/>
      <c r="B693" s="3" t="n"/>
      <c r="C693" s="4" t="n"/>
      <c r="D693" s="5" t="n"/>
      <c r="E693" s="3" t="n"/>
      <c r="F693" s="4" t="n"/>
      <c r="G693" s="5" t="n"/>
      <c r="H693" s="3" t="n"/>
      <c r="I693" s="4" t="n"/>
      <c r="J693" s="5" t="n"/>
      <c r="K693" s="3" t="n"/>
      <c r="L693" s="4" t="n"/>
      <c r="M693" s="5" t="n"/>
      <c r="N693" s="3" t="n"/>
      <c r="O693" s="4" t="n"/>
      <c r="P693" s="5" t="n"/>
      <c r="Q693" s="3" t="n"/>
      <c r="R693" s="4" t="n"/>
      <c r="S693" s="5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6">
        <f>IF(C693=0,0,IF(E693="",B693*D693/100,E693))</f>
        <v/>
      </c>
      <c r="AE693" s="6">
        <f>IF(F693=0,0,IF(H693="",B693*G693/100,H693))</f>
        <v/>
      </c>
      <c r="AF693" s="6">
        <f>IF(I693=0,0,IF(K693="",B693*J693/100,K693))</f>
        <v/>
      </c>
      <c r="AG693" s="6">
        <f>IF(L693=0,0,IF(N693="",B693*M693/100,N693))</f>
        <v/>
      </c>
      <c r="AH693" s="6">
        <f>IF(O693=0,0,IF(Q693="",B693*P693/100,Q693))</f>
        <v/>
      </c>
      <c r="AI693" s="6">
        <f>IF(R693=0,0,IF(T693="",B693*S693/100,T693))</f>
        <v/>
      </c>
      <c r="AJ693" s="6">
        <f>B693*0.035</f>
        <v/>
      </c>
      <c r="AK693" s="6">
        <f>B693*0.065</f>
        <v/>
      </c>
      <c r="AL693" s="6">
        <f>SUM(B693,AD693,AE693,AF693,AG693,AH693,AI693,U693,V693,AJ693,AK693)</f>
        <v/>
      </c>
      <c r="AM693" s="6">
        <f>B693*0.055</f>
        <v/>
      </c>
      <c r="AN693" s="6">
        <f>B693*0.035</f>
        <v/>
      </c>
      <c r="AO693" s="6">
        <f>B693*0.165</f>
        <v/>
      </c>
      <c r="AP693" s="6">
        <f>MAX(0,AL693-AM693-AO693)</f>
        <v/>
      </c>
      <c r="AQ693" s="6">
        <f>IF(AP693&lt;=490,0,IF(AP693&lt;=600,(AP693-490)*0.05,IF(AP693&lt;=730,5.5+(AP693-600)*0.10,IF(AP693&lt;=3896.67,18.5+(AP693-730)*0.175,IF(AP693&lt;=19896.67,572.67+(AP693-3896.67)*0.25,IF(AP693&lt;=50416.67,4572.67+(AP693-19896.67)*0.30,13728.67+(AP693-50416.67)*0.35))))))</f>
        <v/>
      </c>
      <c r="AR693" s="6">
        <f>SUM(AM693,AQ693,W693,X693,Y693,Z693,AA693,AN693,AO693)</f>
        <v/>
      </c>
      <c r="AS693" s="6">
        <f>AL693-AR693</f>
        <v/>
      </c>
      <c r="AT693" s="6">
        <f>AB693-AC693</f>
        <v/>
      </c>
    </row>
    <row r="694">
      <c r="A694" s="2" t="n"/>
      <c r="B694" s="3" t="n"/>
      <c r="C694" s="4" t="n"/>
      <c r="D694" s="5" t="n"/>
      <c r="E694" s="3" t="n"/>
      <c r="F694" s="4" t="n"/>
      <c r="G694" s="5" t="n"/>
      <c r="H694" s="3" t="n"/>
      <c r="I694" s="4" t="n"/>
      <c r="J694" s="5" t="n"/>
      <c r="K694" s="3" t="n"/>
      <c r="L694" s="4" t="n"/>
      <c r="M694" s="5" t="n"/>
      <c r="N694" s="3" t="n"/>
      <c r="O694" s="4" t="n"/>
      <c r="P694" s="5" t="n"/>
      <c r="Q694" s="3" t="n"/>
      <c r="R694" s="4" t="n"/>
      <c r="S694" s="5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6">
        <f>IF(C694=0,0,IF(E694="",B694*D694/100,E694))</f>
        <v/>
      </c>
      <c r="AE694" s="6">
        <f>IF(F694=0,0,IF(H694="",B694*G694/100,H694))</f>
        <v/>
      </c>
      <c r="AF694" s="6">
        <f>IF(I694=0,0,IF(K694="",B694*J694/100,K694))</f>
        <v/>
      </c>
      <c r="AG694" s="6">
        <f>IF(L694=0,0,IF(N694="",B694*M694/100,N694))</f>
        <v/>
      </c>
      <c r="AH694" s="6">
        <f>IF(O694=0,0,IF(Q694="",B694*P694/100,Q694))</f>
        <v/>
      </c>
      <c r="AI694" s="6">
        <f>IF(R694=0,0,IF(T694="",B694*S694/100,T694))</f>
        <v/>
      </c>
      <c r="AJ694" s="6">
        <f>B694*0.035</f>
        <v/>
      </c>
      <c r="AK694" s="6">
        <f>B694*0.065</f>
        <v/>
      </c>
      <c r="AL694" s="6">
        <f>SUM(B694,AD694,AE694,AF694,AG694,AH694,AI694,U694,V694,AJ694,AK694)</f>
        <v/>
      </c>
      <c r="AM694" s="6">
        <f>B694*0.055</f>
        <v/>
      </c>
      <c r="AN694" s="6">
        <f>B694*0.035</f>
        <v/>
      </c>
      <c r="AO694" s="6">
        <f>B694*0.165</f>
        <v/>
      </c>
      <c r="AP694" s="6">
        <f>MAX(0,AL694-AM694-AO694)</f>
        <v/>
      </c>
      <c r="AQ694" s="6">
        <f>IF(AP694&lt;=490,0,IF(AP694&lt;=600,(AP694-490)*0.05,IF(AP694&lt;=730,5.5+(AP694-600)*0.10,IF(AP694&lt;=3896.67,18.5+(AP694-730)*0.175,IF(AP694&lt;=19896.67,572.67+(AP694-3896.67)*0.25,IF(AP694&lt;=50416.67,4572.67+(AP694-19896.67)*0.30,13728.67+(AP694-50416.67)*0.35))))))</f>
        <v/>
      </c>
      <c r="AR694" s="6">
        <f>SUM(AM694,AQ694,W694,X694,Y694,Z694,AA694,AN694,AO694)</f>
        <v/>
      </c>
      <c r="AS694" s="6">
        <f>AL694-AR694</f>
        <v/>
      </c>
      <c r="AT694" s="6">
        <f>AB694-AC694</f>
        <v/>
      </c>
    </row>
    <row r="695">
      <c r="A695" s="2" t="n"/>
      <c r="B695" s="3" t="n"/>
      <c r="C695" s="4" t="n"/>
      <c r="D695" s="5" t="n"/>
      <c r="E695" s="3" t="n"/>
      <c r="F695" s="4" t="n"/>
      <c r="G695" s="5" t="n"/>
      <c r="H695" s="3" t="n"/>
      <c r="I695" s="4" t="n"/>
      <c r="J695" s="5" t="n"/>
      <c r="K695" s="3" t="n"/>
      <c r="L695" s="4" t="n"/>
      <c r="M695" s="5" t="n"/>
      <c r="N695" s="3" t="n"/>
      <c r="O695" s="4" t="n"/>
      <c r="P695" s="5" t="n"/>
      <c r="Q695" s="3" t="n"/>
      <c r="R695" s="4" t="n"/>
      <c r="S695" s="5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6">
        <f>IF(C695=0,0,IF(E695="",B695*D695/100,E695))</f>
        <v/>
      </c>
      <c r="AE695" s="6">
        <f>IF(F695=0,0,IF(H695="",B695*G695/100,H695))</f>
        <v/>
      </c>
      <c r="AF695" s="6">
        <f>IF(I695=0,0,IF(K695="",B695*J695/100,K695))</f>
        <v/>
      </c>
      <c r="AG695" s="6">
        <f>IF(L695=0,0,IF(N695="",B695*M695/100,N695))</f>
        <v/>
      </c>
      <c r="AH695" s="6">
        <f>IF(O695=0,0,IF(Q695="",B695*P695/100,Q695))</f>
        <v/>
      </c>
      <c r="AI695" s="6">
        <f>IF(R695=0,0,IF(T695="",B695*S695/100,T695))</f>
        <v/>
      </c>
      <c r="AJ695" s="6">
        <f>B695*0.035</f>
        <v/>
      </c>
      <c r="AK695" s="6">
        <f>B695*0.065</f>
        <v/>
      </c>
      <c r="AL695" s="6">
        <f>SUM(B695,AD695,AE695,AF695,AG695,AH695,AI695,U695,V695,AJ695,AK695)</f>
        <v/>
      </c>
      <c r="AM695" s="6">
        <f>B695*0.055</f>
        <v/>
      </c>
      <c r="AN695" s="6">
        <f>B695*0.035</f>
        <v/>
      </c>
      <c r="AO695" s="6">
        <f>B695*0.165</f>
        <v/>
      </c>
      <c r="AP695" s="6">
        <f>MAX(0,AL695-AM695-AO695)</f>
        <v/>
      </c>
      <c r="AQ695" s="6">
        <f>IF(AP695&lt;=490,0,IF(AP695&lt;=600,(AP695-490)*0.05,IF(AP695&lt;=730,5.5+(AP695-600)*0.10,IF(AP695&lt;=3896.67,18.5+(AP695-730)*0.175,IF(AP695&lt;=19896.67,572.67+(AP695-3896.67)*0.25,IF(AP695&lt;=50416.67,4572.67+(AP695-19896.67)*0.30,13728.67+(AP695-50416.67)*0.35))))))</f>
        <v/>
      </c>
      <c r="AR695" s="6">
        <f>SUM(AM695,AQ695,W695,X695,Y695,Z695,AA695,AN695,AO695)</f>
        <v/>
      </c>
      <c r="AS695" s="6">
        <f>AL695-AR695</f>
        <v/>
      </c>
      <c r="AT695" s="6">
        <f>AB695-AC695</f>
        <v/>
      </c>
    </row>
    <row r="696">
      <c r="A696" s="2" t="n"/>
      <c r="B696" s="3" t="n"/>
      <c r="C696" s="4" t="n"/>
      <c r="D696" s="5" t="n"/>
      <c r="E696" s="3" t="n"/>
      <c r="F696" s="4" t="n"/>
      <c r="G696" s="5" t="n"/>
      <c r="H696" s="3" t="n"/>
      <c r="I696" s="4" t="n"/>
      <c r="J696" s="5" t="n"/>
      <c r="K696" s="3" t="n"/>
      <c r="L696" s="4" t="n"/>
      <c r="M696" s="5" t="n"/>
      <c r="N696" s="3" t="n"/>
      <c r="O696" s="4" t="n"/>
      <c r="P696" s="5" t="n"/>
      <c r="Q696" s="3" t="n"/>
      <c r="R696" s="4" t="n"/>
      <c r="S696" s="5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6">
        <f>IF(C696=0,0,IF(E696="",B696*D696/100,E696))</f>
        <v/>
      </c>
      <c r="AE696" s="6">
        <f>IF(F696=0,0,IF(H696="",B696*G696/100,H696))</f>
        <v/>
      </c>
      <c r="AF696" s="6">
        <f>IF(I696=0,0,IF(K696="",B696*J696/100,K696))</f>
        <v/>
      </c>
      <c r="AG696" s="6">
        <f>IF(L696=0,0,IF(N696="",B696*M696/100,N696))</f>
        <v/>
      </c>
      <c r="AH696" s="6">
        <f>IF(O696=0,0,IF(Q696="",B696*P696/100,Q696))</f>
        <v/>
      </c>
      <c r="AI696" s="6">
        <f>IF(R696=0,0,IF(T696="",B696*S696/100,T696))</f>
        <v/>
      </c>
      <c r="AJ696" s="6">
        <f>B696*0.035</f>
        <v/>
      </c>
      <c r="AK696" s="6">
        <f>B696*0.065</f>
        <v/>
      </c>
      <c r="AL696" s="6">
        <f>SUM(B696,AD696,AE696,AF696,AG696,AH696,AI696,U696,V696,AJ696,AK696)</f>
        <v/>
      </c>
      <c r="AM696" s="6">
        <f>B696*0.055</f>
        <v/>
      </c>
      <c r="AN696" s="6">
        <f>B696*0.035</f>
        <v/>
      </c>
      <c r="AO696" s="6">
        <f>B696*0.165</f>
        <v/>
      </c>
      <c r="AP696" s="6">
        <f>MAX(0,AL696-AM696-AO696)</f>
        <v/>
      </c>
      <c r="AQ696" s="6">
        <f>IF(AP696&lt;=490,0,IF(AP696&lt;=600,(AP696-490)*0.05,IF(AP696&lt;=730,5.5+(AP696-600)*0.10,IF(AP696&lt;=3896.67,18.5+(AP696-730)*0.175,IF(AP696&lt;=19896.67,572.67+(AP696-3896.67)*0.25,IF(AP696&lt;=50416.67,4572.67+(AP696-19896.67)*0.30,13728.67+(AP696-50416.67)*0.35))))))</f>
        <v/>
      </c>
      <c r="AR696" s="6">
        <f>SUM(AM696,AQ696,W696,X696,Y696,Z696,AA696,AN696,AO696)</f>
        <v/>
      </c>
      <c r="AS696" s="6">
        <f>AL696-AR696</f>
        <v/>
      </c>
      <c r="AT696" s="6">
        <f>AB696-AC696</f>
        <v/>
      </c>
    </row>
    <row r="697">
      <c r="A697" s="2" t="n"/>
      <c r="B697" s="3" t="n"/>
      <c r="C697" s="4" t="n"/>
      <c r="D697" s="5" t="n"/>
      <c r="E697" s="3" t="n"/>
      <c r="F697" s="4" t="n"/>
      <c r="G697" s="5" t="n"/>
      <c r="H697" s="3" t="n"/>
      <c r="I697" s="4" t="n"/>
      <c r="J697" s="5" t="n"/>
      <c r="K697" s="3" t="n"/>
      <c r="L697" s="4" t="n"/>
      <c r="M697" s="5" t="n"/>
      <c r="N697" s="3" t="n"/>
      <c r="O697" s="4" t="n"/>
      <c r="P697" s="5" t="n"/>
      <c r="Q697" s="3" t="n"/>
      <c r="R697" s="4" t="n"/>
      <c r="S697" s="5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6">
        <f>IF(C697=0,0,IF(E697="",B697*D697/100,E697))</f>
        <v/>
      </c>
      <c r="AE697" s="6">
        <f>IF(F697=0,0,IF(H697="",B697*G697/100,H697))</f>
        <v/>
      </c>
      <c r="AF697" s="6">
        <f>IF(I697=0,0,IF(K697="",B697*J697/100,K697))</f>
        <v/>
      </c>
      <c r="AG697" s="6">
        <f>IF(L697=0,0,IF(N697="",B697*M697/100,N697))</f>
        <v/>
      </c>
      <c r="AH697" s="6">
        <f>IF(O697=0,0,IF(Q697="",B697*P697/100,Q697))</f>
        <v/>
      </c>
      <c r="AI697" s="6">
        <f>IF(R697=0,0,IF(T697="",B697*S697/100,T697))</f>
        <v/>
      </c>
      <c r="AJ697" s="6">
        <f>B697*0.035</f>
        <v/>
      </c>
      <c r="AK697" s="6">
        <f>B697*0.065</f>
        <v/>
      </c>
      <c r="AL697" s="6">
        <f>SUM(B697,AD697,AE697,AF697,AG697,AH697,AI697,U697,V697,AJ697,AK697)</f>
        <v/>
      </c>
      <c r="AM697" s="6">
        <f>B697*0.055</f>
        <v/>
      </c>
      <c r="AN697" s="6">
        <f>B697*0.035</f>
        <v/>
      </c>
      <c r="AO697" s="6">
        <f>B697*0.165</f>
        <v/>
      </c>
      <c r="AP697" s="6">
        <f>MAX(0,AL697-AM697-AO697)</f>
        <v/>
      </c>
      <c r="AQ697" s="6">
        <f>IF(AP697&lt;=490,0,IF(AP697&lt;=600,(AP697-490)*0.05,IF(AP697&lt;=730,5.5+(AP697-600)*0.10,IF(AP697&lt;=3896.67,18.5+(AP697-730)*0.175,IF(AP697&lt;=19896.67,572.67+(AP697-3896.67)*0.25,IF(AP697&lt;=50416.67,4572.67+(AP697-19896.67)*0.30,13728.67+(AP697-50416.67)*0.35))))))</f>
        <v/>
      </c>
      <c r="AR697" s="6">
        <f>SUM(AM697,AQ697,W697,X697,Y697,Z697,AA697,AN697,AO697)</f>
        <v/>
      </c>
      <c r="AS697" s="6">
        <f>AL697-AR697</f>
        <v/>
      </c>
      <c r="AT697" s="6">
        <f>AB697-AC697</f>
        <v/>
      </c>
    </row>
    <row r="698">
      <c r="A698" s="2" t="n"/>
      <c r="B698" s="3" t="n"/>
      <c r="C698" s="4" t="n"/>
      <c r="D698" s="5" t="n"/>
      <c r="E698" s="3" t="n"/>
      <c r="F698" s="4" t="n"/>
      <c r="G698" s="5" t="n"/>
      <c r="H698" s="3" t="n"/>
      <c r="I698" s="4" t="n"/>
      <c r="J698" s="5" t="n"/>
      <c r="K698" s="3" t="n"/>
      <c r="L698" s="4" t="n"/>
      <c r="M698" s="5" t="n"/>
      <c r="N698" s="3" t="n"/>
      <c r="O698" s="4" t="n"/>
      <c r="P698" s="5" t="n"/>
      <c r="Q698" s="3" t="n"/>
      <c r="R698" s="4" t="n"/>
      <c r="S698" s="5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6">
        <f>IF(C698=0,0,IF(E698="",B698*D698/100,E698))</f>
        <v/>
      </c>
      <c r="AE698" s="6">
        <f>IF(F698=0,0,IF(H698="",B698*G698/100,H698))</f>
        <v/>
      </c>
      <c r="AF698" s="6">
        <f>IF(I698=0,0,IF(K698="",B698*J698/100,K698))</f>
        <v/>
      </c>
      <c r="AG698" s="6">
        <f>IF(L698=0,0,IF(N698="",B698*M698/100,N698))</f>
        <v/>
      </c>
      <c r="AH698" s="6">
        <f>IF(O698=0,0,IF(Q698="",B698*P698/100,Q698))</f>
        <v/>
      </c>
      <c r="AI698" s="6">
        <f>IF(R698=0,0,IF(T698="",B698*S698/100,T698))</f>
        <v/>
      </c>
      <c r="AJ698" s="6">
        <f>B698*0.035</f>
        <v/>
      </c>
      <c r="AK698" s="6">
        <f>B698*0.065</f>
        <v/>
      </c>
      <c r="AL698" s="6">
        <f>SUM(B698,AD698,AE698,AF698,AG698,AH698,AI698,U698,V698,AJ698,AK698)</f>
        <v/>
      </c>
      <c r="AM698" s="6">
        <f>B698*0.055</f>
        <v/>
      </c>
      <c r="AN698" s="6">
        <f>B698*0.035</f>
        <v/>
      </c>
      <c r="AO698" s="6">
        <f>B698*0.165</f>
        <v/>
      </c>
      <c r="AP698" s="6">
        <f>MAX(0,AL698-AM698-AO698)</f>
        <v/>
      </c>
      <c r="AQ698" s="6">
        <f>IF(AP698&lt;=490,0,IF(AP698&lt;=600,(AP698-490)*0.05,IF(AP698&lt;=730,5.5+(AP698-600)*0.10,IF(AP698&lt;=3896.67,18.5+(AP698-730)*0.175,IF(AP698&lt;=19896.67,572.67+(AP698-3896.67)*0.25,IF(AP698&lt;=50416.67,4572.67+(AP698-19896.67)*0.30,13728.67+(AP698-50416.67)*0.35))))))</f>
        <v/>
      </c>
      <c r="AR698" s="6">
        <f>SUM(AM698,AQ698,W698,X698,Y698,Z698,AA698,AN698,AO698)</f>
        <v/>
      </c>
      <c r="AS698" s="6">
        <f>AL698-AR698</f>
        <v/>
      </c>
      <c r="AT698" s="6">
        <f>AB698-AC698</f>
        <v/>
      </c>
    </row>
    <row r="699">
      <c r="A699" s="2" t="n"/>
      <c r="B699" s="3" t="n"/>
      <c r="C699" s="4" t="n"/>
      <c r="D699" s="5" t="n"/>
      <c r="E699" s="3" t="n"/>
      <c r="F699" s="4" t="n"/>
      <c r="G699" s="5" t="n"/>
      <c r="H699" s="3" t="n"/>
      <c r="I699" s="4" t="n"/>
      <c r="J699" s="5" t="n"/>
      <c r="K699" s="3" t="n"/>
      <c r="L699" s="4" t="n"/>
      <c r="M699" s="5" t="n"/>
      <c r="N699" s="3" t="n"/>
      <c r="O699" s="4" t="n"/>
      <c r="P699" s="5" t="n"/>
      <c r="Q699" s="3" t="n"/>
      <c r="R699" s="4" t="n"/>
      <c r="S699" s="5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6">
        <f>IF(C699=0,0,IF(E699="",B699*D699/100,E699))</f>
        <v/>
      </c>
      <c r="AE699" s="6">
        <f>IF(F699=0,0,IF(H699="",B699*G699/100,H699))</f>
        <v/>
      </c>
      <c r="AF699" s="6">
        <f>IF(I699=0,0,IF(K699="",B699*J699/100,K699))</f>
        <v/>
      </c>
      <c r="AG699" s="6">
        <f>IF(L699=0,0,IF(N699="",B699*M699/100,N699))</f>
        <v/>
      </c>
      <c r="AH699" s="6">
        <f>IF(O699=0,0,IF(Q699="",B699*P699/100,Q699))</f>
        <v/>
      </c>
      <c r="AI699" s="6">
        <f>IF(R699=0,0,IF(T699="",B699*S699/100,T699))</f>
        <v/>
      </c>
      <c r="AJ699" s="6">
        <f>B699*0.035</f>
        <v/>
      </c>
      <c r="AK699" s="6">
        <f>B699*0.065</f>
        <v/>
      </c>
      <c r="AL699" s="6">
        <f>SUM(B699,AD699,AE699,AF699,AG699,AH699,AI699,U699,V699,AJ699,AK699)</f>
        <v/>
      </c>
      <c r="AM699" s="6">
        <f>B699*0.055</f>
        <v/>
      </c>
      <c r="AN699" s="6">
        <f>B699*0.035</f>
        <v/>
      </c>
      <c r="AO699" s="6">
        <f>B699*0.165</f>
        <v/>
      </c>
      <c r="AP699" s="6">
        <f>MAX(0,AL699-AM699-AO699)</f>
        <v/>
      </c>
      <c r="AQ699" s="6">
        <f>IF(AP699&lt;=490,0,IF(AP699&lt;=600,(AP699-490)*0.05,IF(AP699&lt;=730,5.5+(AP699-600)*0.10,IF(AP699&lt;=3896.67,18.5+(AP699-730)*0.175,IF(AP699&lt;=19896.67,572.67+(AP699-3896.67)*0.25,IF(AP699&lt;=50416.67,4572.67+(AP699-19896.67)*0.30,13728.67+(AP699-50416.67)*0.35))))))</f>
        <v/>
      </c>
      <c r="AR699" s="6">
        <f>SUM(AM699,AQ699,W699,X699,Y699,Z699,AA699,AN699,AO699)</f>
        <v/>
      </c>
      <c r="AS699" s="6">
        <f>AL699-AR699</f>
        <v/>
      </c>
      <c r="AT699" s="6">
        <f>AB699-AC699</f>
        <v/>
      </c>
    </row>
    <row r="700">
      <c r="A700" s="2" t="n"/>
      <c r="B700" s="3" t="n"/>
      <c r="C700" s="4" t="n"/>
      <c r="D700" s="5" t="n"/>
      <c r="E700" s="3" t="n"/>
      <c r="F700" s="4" t="n"/>
      <c r="G700" s="5" t="n"/>
      <c r="H700" s="3" t="n"/>
      <c r="I700" s="4" t="n"/>
      <c r="J700" s="5" t="n"/>
      <c r="K700" s="3" t="n"/>
      <c r="L700" s="4" t="n"/>
      <c r="M700" s="5" t="n"/>
      <c r="N700" s="3" t="n"/>
      <c r="O700" s="4" t="n"/>
      <c r="P700" s="5" t="n"/>
      <c r="Q700" s="3" t="n"/>
      <c r="R700" s="4" t="n"/>
      <c r="S700" s="5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6">
        <f>IF(C700=0,0,IF(E700="",B700*D700/100,E700))</f>
        <v/>
      </c>
      <c r="AE700" s="6">
        <f>IF(F700=0,0,IF(H700="",B700*G700/100,H700))</f>
        <v/>
      </c>
      <c r="AF700" s="6">
        <f>IF(I700=0,0,IF(K700="",B700*J700/100,K700))</f>
        <v/>
      </c>
      <c r="AG700" s="6">
        <f>IF(L700=0,0,IF(N700="",B700*M700/100,N700))</f>
        <v/>
      </c>
      <c r="AH700" s="6">
        <f>IF(O700=0,0,IF(Q700="",B700*P700/100,Q700))</f>
        <v/>
      </c>
      <c r="AI700" s="6">
        <f>IF(R700=0,0,IF(T700="",B700*S700/100,T700))</f>
        <v/>
      </c>
      <c r="AJ700" s="6">
        <f>B700*0.035</f>
        <v/>
      </c>
      <c r="AK700" s="6">
        <f>B700*0.065</f>
        <v/>
      </c>
      <c r="AL700" s="6">
        <f>SUM(B700,AD700,AE700,AF700,AG700,AH700,AI700,U700,V700,AJ700,AK700)</f>
        <v/>
      </c>
      <c r="AM700" s="6">
        <f>B700*0.055</f>
        <v/>
      </c>
      <c r="AN700" s="6">
        <f>B700*0.035</f>
        <v/>
      </c>
      <c r="AO700" s="6">
        <f>B700*0.165</f>
        <v/>
      </c>
      <c r="AP700" s="6">
        <f>MAX(0,AL700-AM700-AO700)</f>
        <v/>
      </c>
      <c r="AQ700" s="6">
        <f>IF(AP700&lt;=490,0,IF(AP700&lt;=600,(AP700-490)*0.05,IF(AP700&lt;=730,5.5+(AP700-600)*0.10,IF(AP700&lt;=3896.67,18.5+(AP700-730)*0.175,IF(AP700&lt;=19896.67,572.67+(AP700-3896.67)*0.25,IF(AP700&lt;=50416.67,4572.67+(AP700-19896.67)*0.30,13728.67+(AP700-50416.67)*0.35))))))</f>
        <v/>
      </c>
      <c r="AR700" s="6">
        <f>SUM(AM700,AQ700,W700,X700,Y700,Z700,AA700,AN700,AO700)</f>
        <v/>
      </c>
      <c r="AS700" s="6">
        <f>AL700-AR700</f>
        <v/>
      </c>
      <c r="AT700" s="6">
        <f>AB700-AC700</f>
        <v/>
      </c>
    </row>
    <row r="701">
      <c r="A701" s="2" t="n"/>
      <c r="B701" s="3" t="n"/>
      <c r="C701" s="4" t="n"/>
      <c r="D701" s="5" t="n"/>
      <c r="E701" s="3" t="n"/>
      <c r="F701" s="4" t="n"/>
      <c r="G701" s="5" t="n"/>
      <c r="H701" s="3" t="n"/>
      <c r="I701" s="4" t="n"/>
      <c r="J701" s="5" t="n"/>
      <c r="K701" s="3" t="n"/>
      <c r="L701" s="4" t="n"/>
      <c r="M701" s="5" t="n"/>
      <c r="N701" s="3" t="n"/>
      <c r="O701" s="4" t="n"/>
      <c r="P701" s="5" t="n"/>
      <c r="Q701" s="3" t="n"/>
      <c r="R701" s="4" t="n"/>
      <c r="S701" s="5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6">
        <f>IF(C701=0,0,IF(E701="",B701*D701/100,E701))</f>
        <v/>
      </c>
      <c r="AE701" s="6">
        <f>IF(F701=0,0,IF(H701="",B701*G701/100,H701))</f>
        <v/>
      </c>
      <c r="AF701" s="6">
        <f>IF(I701=0,0,IF(K701="",B701*J701/100,K701))</f>
        <v/>
      </c>
      <c r="AG701" s="6">
        <f>IF(L701=0,0,IF(N701="",B701*M701/100,N701))</f>
        <v/>
      </c>
      <c r="AH701" s="6">
        <f>IF(O701=0,0,IF(Q701="",B701*P701/100,Q701))</f>
        <v/>
      </c>
      <c r="AI701" s="6">
        <f>IF(R701=0,0,IF(T701="",B701*S701/100,T701))</f>
        <v/>
      </c>
      <c r="AJ701" s="6">
        <f>B701*0.035</f>
        <v/>
      </c>
      <c r="AK701" s="6">
        <f>B701*0.065</f>
        <v/>
      </c>
      <c r="AL701" s="6">
        <f>SUM(B701,AD701,AE701,AF701,AG701,AH701,AI701,U701,V701,AJ701,AK701)</f>
        <v/>
      </c>
      <c r="AM701" s="6">
        <f>B701*0.055</f>
        <v/>
      </c>
      <c r="AN701" s="6">
        <f>B701*0.035</f>
        <v/>
      </c>
      <c r="AO701" s="6">
        <f>B701*0.165</f>
        <v/>
      </c>
      <c r="AP701" s="6">
        <f>MAX(0,AL701-AM701-AO701)</f>
        <v/>
      </c>
      <c r="AQ701" s="6">
        <f>IF(AP701&lt;=490,0,IF(AP701&lt;=600,(AP701-490)*0.05,IF(AP701&lt;=730,5.5+(AP701-600)*0.10,IF(AP701&lt;=3896.67,18.5+(AP701-730)*0.175,IF(AP701&lt;=19896.67,572.67+(AP701-3896.67)*0.25,IF(AP701&lt;=50416.67,4572.67+(AP701-19896.67)*0.30,13728.67+(AP701-50416.67)*0.35))))))</f>
        <v/>
      </c>
      <c r="AR701" s="6">
        <f>SUM(AM701,AQ701,W701,X701,Y701,Z701,AA701,AN701,AO701)</f>
        <v/>
      </c>
      <c r="AS701" s="6">
        <f>AL701-AR701</f>
        <v/>
      </c>
      <c r="AT701" s="6">
        <f>AB701-AC701</f>
        <v/>
      </c>
    </row>
    <row r="702">
      <c r="A702" s="2" t="n"/>
      <c r="B702" s="3" t="n"/>
      <c r="C702" s="4" t="n"/>
      <c r="D702" s="5" t="n"/>
      <c r="E702" s="3" t="n"/>
      <c r="F702" s="4" t="n"/>
      <c r="G702" s="5" t="n"/>
      <c r="H702" s="3" t="n"/>
      <c r="I702" s="4" t="n"/>
      <c r="J702" s="5" t="n"/>
      <c r="K702" s="3" t="n"/>
      <c r="L702" s="4" t="n"/>
      <c r="M702" s="5" t="n"/>
      <c r="N702" s="3" t="n"/>
      <c r="O702" s="4" t="n"/>
      <c r="P702" s="5" t="n"/>
      <c r="Q702" s="3" t="n"/>
      <c r="R702" s="4" t="n"/>
      <c r="S702" s="5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6">
        <f>IF(C702=0,0,IF(E702="",B702*D702/100,E702))</f>
        <v/>
      </c>
      <c r="AE702" s="6">
        <f>IF(F702=0,0,IF(H702="",B702*G702/100,H702))</f>
        <v/>
      </c>
      <c r="AF702" s="6">
        <f>IF(I702=0,0,IF(K702="",B702*J702/100,K702))</f>
        <v/>
      </c>
      <c r="AG702" s="6">
        <f>IF(L702=0,0,IF(N702="",B702*M702/100,N702))</f>
        <v/>
      </c>
      <c r="AH702" s="6">
        <f>IF(O702=0,0,IF(Q702="",B702*P702/100,Q702))</f>
        <v/>
      </c>
      <c r="AI702" s="6">
        <f>IF(R702=0,0,IF(T702="",B702*S702/100,T702))</f>
        <v/>
      </c>
      <c r="AJ702" s="6">
        <f>B702*0.035</f>
        <v/>
      </c>
      <c r="AK702" s="6">
        <f>B702*0.065</f>
        <v/>
      </c>
      <c r="AL702" s="6">
        <f>SUM(B702,AD702,AE702,AF702,AG702,AH702,AI702,U702,V702,AJ702,AK702)</f>
        <v/>
      </c>
      <c r="AM702" s="6">
        <f>B702*0.055</f>
        <v/>
      </c>
      <c r="AN702" s="6">
        <f>B702*0.035</f>
        <v/>
      </c>
      <c r="AO702" s="6">
        <f>B702*0.165</f>
        <v/>
      </c>
      <c r="AP702" s="6">
        <f>MAX(0,AL702-AM702-AO702)</f>
        <v/>
      </c>
      <c r="AQ702" s="6">
        <f>IF(AP702&lt;=490,0,IF(AP702&lt;=600,(AP702-490)*0.05,IF(AP702&lt;=730,5.5+(AP702-600)*0.10,IF(AP702&lt;=3896.67,18.5+(AP702-730)*0.175,IF(AP702&lt;=19896.67,572.67+(AP702-3896.67)*0.25,IF(AP702&lt;=50416.67,4572.67+(AP702-19896.67)*0.30,13728.67+(AP702-50416.67)*0.35))))))</f>
        <v/>
      </c>
      <c r="AR702" s="6">
        <f>SUM(AM702,AQ702,W702,X702,Y702,Z702,AA702,AN702,AO702)</f>
        <v/>
      </c>
      <c r="AS702" s="6">
        <f>AL702-AR702</f>
        <v/>
      </c>
      <c r="AT702" s="6">
        <f>AB702-AC702</f>
        <v/>
      </c>
    </row>
    <row r="703">
      <c r="A703" s="2" t="n"/>
      <c r="B703" s="3" t="n"/>
      <c r="C703" s="4" t="n"/>
      <c r="D703" s="5" t="n"/>
      <c r="E703" s="3" t="n"/>
      <c r="F703" s="4" t="n"/>
      <c r="G703" s="5" t="n"/>
      <c r="H703" s="3" t="n"/>
      <c r="I703" s="4" t="n"/>
      <c r="J703" s="5" t="n"/>
      <c r="K703" s="3" t="n"/>
      <c r="L703" s="4" t="n"/>
      <c r="M703" s="5" t="n"/>
      <c r="N703" s="3" t="n"/>
      <c r="O703" s="4" t="n"/>
      <c r="P703" s="5" t="n"/>
      <c r="Q703" s="3" t="n"/>
      <c r="R703" s="4" t="n"/>
      <c r="S703" s="5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6">
        <f>IF(C703=0,0,IF(E703="",B703*D703/100,E703))</f>
        <v/>
      </c>
      <c r="AE703" s="6">
        <f>IF(F703=0,0,IF(H703="",B703*G703/100,H703))</f>
        <v/>
      </c>
      <c r="AF703" s="6">
        <f>IF(I703=0,0,IF(K703="",B703*J703/100,K703))</f>
        <v/>
      </c>
      <c r="AG703" s="6">
        <f>IF(L703=0,0,IF(N703="",B703*M703/100,N703))</f>
        <v/>
      </c>
      <c r="AH703" s="6">
        <f>IF(O703=0,0,IF(Q703="",B703*P703/100,Q703))</f>
        <v/>
      </c>
      <c r="AI703" s="6">
        <f>IF(R703=0,0,IF(T703="",B703*S703/100,T703))</f>
        <v/>
      </c>
      <c r="AJ703" s="6">
        <f>B703*0.035</f>
        <v/>
      </c>
      <c r="AK703" s="6">
        <f>B703*0.065</f>
        <v/>
      </c>
      <c r="AL703" s="6">
        <f>SUM(B703,AD703,AE703,AF703,AG703,AH703,AI703,U703,V703,AJ703,AK703)</f>
        <v/>
      </c>
      <c r="AM703" s="6">
        <f>B703*0.055</f>
        <v/>
      </c>
      <c r="AN703" s="6">
        <f>B703*0.035</f>
        <v/>
      </c>
      <c r="AO703" s="6">
        <f>B703*0.165</f>
        <v/>
      </c>
      <c r="AP703" s="6">
        <f>MAX(0,AL703-AM703-AO703)</f>
        <v/>
      </c>
      <c r="AQ703" s="6">
        <f>IF(AP703&lt;=490,0,IF(AP703&lt;=600,(AP703-490)*0.05,IF(AP703&lt;=730,5.5+(AP703-600)*0.10,IF(AP703&lt;=3896.67,18.5+(AP703-730)*0.175,IF(AP703&lt;=19896.67,572.67+(AP703-3896.67)*0.25,IF(AP703&lt;=50416.67,4572.67+(AP703-19896.67)*0.30,13728.67+(AP703-50416.67)*0.35))))))</f>
        <v/>
      </c>
      <c r="AR703" s="6">
        <f>SUM(AM703,AQ703,W703,X703,Y703,Z703,AA703,AN703,AO703)</f>
        <v/>
      </c>
      <c r="AS703" s="6">
        <f>AL703-AR703</f>
        <v/>
      </c>
      <c r="AT703" s="6">
        <f>AB703-AC703</f>
        <v/>
      </c>
    </row>
    <row r="704">
      <c r="A704" s="2" t="n"/>
      <c r="B704" s="3" t="n"/>
      <c r="C704" s="4" t="n"/>
      <c r="D704" s="5" t="n"/>
      <c r="E704" s="3" t="n"/>
      <c r="F704" s="4" t="n"/>
      <c r="G704" s="5" t="n"/>
      <c r="H704" s="3" t="n"/>
      <c r="I704" s="4" t="n"/>
      <c r="J704" s="5" t="n"/>
      <c r="K704" s="3" t="n"/>
      <c r="L704" s="4" t="n"/>
      <c r="M704" s="5" t="n"/>
      <c r="N704" s="3" t="n"/>
      <c r="O704" s="4" t="n"/>
      <c r="P704" s="5" t="n"/>
      <c r="Q704" s="3" t="n"/>
      <c r="R704" s="4" t="n"/>
      <c r="S704" s="5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6">
        <f>IF(C704=0,0,IF(E704="",B704*D704/100,E704))</f>
        <v/>
      </c>
      <c r="AE704" s="6">
        <f>IF(F704=0,0,IF(H704="",B704*G704/100,H704))</f>
        <v/>
      </c>
      <c r="AF704" s="6">
        <f>IF(I704=0,0,IF(K704="",B704*J704/100,K704))</f>
        <v/>
      </c>
      <c r="AG704" s="6">
        <f>IF(L704=0,0,IF(N704="",B704*M704/100,N704))</f>
        <v/>
      </c>
      <c r="AH704" s="6">
        <f>IF(O704=0,0,IF(Q704="",B704*P704/100,Q704))</f>
        <v/>
      </c>
      <c r="AI704" s="6">
        <f>IF(R704=0,0,IF(T704="",B704*S704/100,T704))</f>
        <v/>
      </c>
      <c r="AJ704" s="6">
        <f>B704*0.035</f>
        <v/>
      </c>
      <c r="AK704" s="6">
        <f>B704*0.065</f>
        <v/>
      </c>
      <c r="AL704" s="6">
        <f>SUM(B704,AD704,AE704,AF704,AG704,AH704,AI704,U704,V704,AJ704,AK704)</f>
        <v/>
      </c>
      <c r="AM704" s="6">
        <f>B704*0.055</f>
        <v/>
      </c>
      <c r="AN704" s="6">
        <f>B704*0.035</f>
        <v/>
      </c>
      <c r="AO704" s="6">
        <f>B704*0.165</f>
        <v/>
      </c>
      <c r="AP704" s="6">
        <f>MAX(0,AL704-AM704-AO704)</f>
        <v/>
      </c>
      <c r="AQ704" s="6">
        <f>IF(AP704&lt;=490,0,IF(AP704&lt;=600,(AP704-490)*0.05,IF(AP704&lt;=730,5.5+(AP704-600)*0.10,IF(AP704&lt;=3896.67,18.5+(AP704-730)*0.175,IF(AP704&lt;=19896.67,572.67+(AP704-3896.67)*0.25,IF(AP704&lt;=50416.67,4572.67+(AP704-19896.67)*0.30,13728.67+(AP704-50416.67)*0.35))))))</f>
        <v/>
      </c>
      <c r="AR704" s="6">
        <f>SUM(AM704,AQ704,W704,X704,Y704,Z704,AA704,AN704,AO704)</f>
        <v/>
      </c>
      <c r="AS704" s="6">
        <f>AL704-AR704</f>
        <v/>
      </c>
      <c r="AT704" s="6">
        <f>AB704-AC704</f>
        <v/>
      </c>
    </row>
    <row r="705">
      <c r="A705" s="2" t="n"/>
      <c r="B705" s="3" t="n"/>
      <c r="C705" s="4" t="n"/>
      <c r="D705" s="5" t="n"/>
      <c r="E705" s="3" t="n"/>
      <c r="F705" s="4" t="n"/>
      <c r="G705" s="5" t="n"/>
      <c r="H705" s="3" t="n"/>
      <c r="I705" s="4" t="n"/>
      <c r="J705" s="5" t="n"/>
      <c r="K705" s="3" t="n"/>
      <c r="L705" s="4" t="n"/>
      <c r="M705" s="5" t="n"/>
      <c r="N705" s="3" t="n"/>
      <c r="O705" s="4" t="n"/>
      <c r="P705" s="5" t="n"/>
      <c r="Q705" s="3" t="n"/>
      <c r="R705" s="4" t="n"/>
      <c r="S705" s="5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6">
        <f>IF(C705=0,0,IF(E705="",B705*D705/100,E705))</f>
        <v/>
      </c>
      <c r="AE705" s="6">
        <f>IF(F705=0,0,IF(H705="",B705*G705/100,H705))</f>
        <v/>
      </c>
      <c r="AF705" s="6">
        <f>IF(I705=0,0,IF(K705="",B705*J705/100,K705))</f>
        <v/>
      </c>
      <c r="AG705" s="6">
        <f>IF(L705=0,0,IF(N705="",B705*M705/100,N705))</f>
        <v/>
      </c>
      <c r="AH705" s="6">
        <f>IF(O705=0,0,IF(Q705="",B705*P705/100,Q705))</f>
        <v/>
      </c>
      <c r="AI705" s="6">
        <f>IF(R705=0,0,IF(T705="",B705*S705/100,T705))</f>
        <v/>
      </c>
      <c r="AJ705" s="6">
        <f>B705*0.035</f>
        <v/>
      </c>
      <c r="AK705" s="6">
        <f>B705*0.065</f>
        <v/>
      </c>
      <c r="AL705" s="6">
        <f>SUM(B705,AD705,AE705,AF705,AG705,AH705,AI705,U705,V705,AJ705,AK705)</f>
        <v/>
      </c>
      <c r="AM705" s="6">
        <f>B705*0.055</f>
        <v/>
      </c>
      <c r="AN705" s="6">
        <f>B705*0.035</f>
        <v/>
      </c>
      <c r="AO705" s="6">
        <f>B705*0.165</f>
        <v/>
      </c>
      <c r="AP705" s="6">
        <f>MAX(0,AL705-AM705-AO705)</f>
        <v/>
      </c>
      <c r="AQ705" s="6">
        <f>IF(AP705&lt;=490,0,IF(AP705&lt;=600,(AP705-490)*0.05,IF(AP705&lt;=730,5.5+(AP705-600)*0.10,IF(AP705&lt;=3896.67,18.5+(AP705-730)*0.175,IF(AP705&lt;=19896.67,572.67+(AP705-3896.67)*0.25,IF(AP705&lt;=50416.67,4572.67+(AP705-19896.67)*0.30,13728.67+(AP705-50416.67)*0.35))))))</f>
        <v/>
      </c>
      <c r="AR705" s="6">
        <f>SUM(AM705,AQ705,W705,X705,Y705,Z705,AA705,AN705,AO705)</f>
        <v/>
      </c>
      <c r="AS705" s="6">
        <f>AL705-AR705</f>
        <v/>
      </c>
      <c r="AT705" s="6">
        <f>AB705-AC705</f>
        <v/>
      </c>
    </row>
    <row r="706">
      <c r="A706" s="2" t="n"/>
      <c r="B706" s="3" t="n"/>
      <c r="C706" s="4" t="n"/>
      <c r="D706" s="5" t="n"/>
      <c r="E706" s="3" t="n"/>
      <c r="F706" s="4" t="n"/>
      <c r="G706" s="5" t="n"/>
      <c r="H706" s="3" t="n"/>
      <c r="I706" s="4" t="n"/>
      <c r="J706" s="5" t="n"/>
      <c r="K706" s="3" t="n"/>
      <c r="L706" s="4" t="n"/>
      <c r="M706" s="5" t="n"/>
      <c r="N706" s="3" t="n"/>
      <c r="O706" s="4" t="n"/>
      <c r="P706" s="5" t="n"/>
      <c r="Q706" s="3" t="n"/>
      <c r="R706" s="4" t="n"/>
      <c r="S706" s="5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6">
        <f>IF(C706=0,0,IF(E706="",B706*D706/100,E706))</f>
        <v/>
      </c>
      <c r="AE706" s="6">
        <f>IF(F706=0,0,IF(H706="",B706*G706/100,H706))</f>
        <v/>
      </c>
      <c r="AF706" s="6">
        <f>IF(I706=0,0,IF(K706="",B706*J706/100,K706))</f>
        <v/>
      </c>
      <c r="AG706" s="6">
        <f>IF(L706=0,0,IF(N706="",B706*M706/100,N706))</f>
        <v/>
      </c>
      <c r="AH706" s="6">
        <f>IF(O706=0,0,IF(Q706="",B706*P706/100,Q706))</f>
        <v/>
      </c>
      <c r="AI706" s="6">
        <f>IF(R706=0,0,IF(T706="",B706*S706/100,T706))</f>
        <v/>
      </c>
      <c r="AJ706" s="6">
        <f>B706*0.035</f>
        <v/>
      </c>
      <c r="AK706" s="6">
        <f>B706*0.065</f>
        <v/>
      </c>
      <c r="AL706" s="6">
        <f>SUM(B706,AD706,AE706,AF706,AG706,AH706,AI706,U706,V706,AJ706,AK706)</f>
        <v/>
      </c>
      <c r="AM706" s="6">
        <f>B706*0.055</f>
        <v/>
      </c>
      <c r="AN706" s="6">
        <f>B706*0.035</f>
        <v/>
      </c>
      <c r="AO706" s="6">
        <f>B706*0.165</f>
        <v/>
      </c>
      <c r="AP706" s="6">
        <f>MAX(0,AL706-AM706-AO706)</f>
        <v/>
      </c>
      <c r="AQ706" s="6">
        <f>IF(AP706&lt;=490,0,IF(AP706&lt;=600,(AP706-490)*0.05,IF(AP706&lt;=730,5.5+(AP706-600)*0.10,IF(AP706&lt;=3896.67,18.5+(AP706-730)*0.175,IF(AP706&lt;=19896.67,572.67+(AP706-3896.67)*0.25,IF(AP706&lt;=50416.67,4572.67+(AP706-19896.67)*0.30,13728.67+(AP706-50416.67)*0.35))))))</f>
        <v/>
      </c>
      <c r="AR706" s="6">
        <f>SUM(AM706,AQ706,W706,X706,Y706,Z706,AA706,AN706,AO706)</f>
        <v/>
      </c>
      <c r="AS706" s="6">
        <f>AL706-AR706</f>
        <v/>
      </c>
      <c r="AT706" s="6">
        <f>AB706-AC706</f>
        <v/>
      </c>
    </row>
    <row r="707">
      <c r="A707" s="2" t="n"/>
      <c r="B707" s="3" t="n"/>
      <c r="C707" s="4" t="n"/>
      <c r="D707" s="5" t="n"/>
      <c r="E707" s="3" t="n"/>
      <c r="F707" s="4" t="n"/>
      <c r="G707" s="5" t="n"/>
      <c r="H707" s="3" t="n"/>
      <c r="I707" s="4" t="n"/>
      <c r="J707" s="5" t="n"/>
      <c r="K707" s="3" t="n"/>
      <c r="L707" s="4" t="n"/>
      <c r="M707" s="5" t="n"/>
      <c r="N707" s="3" t="n"/>
      <c r="O707" s="4" t="n"/>
      <c r="P707" s="5" t="n"/>
      <c r="Q707" s="3" t="n"/>
      <c r="R707" s="4" t="n"/>
      <c r="S707" s="5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6">
        <f>IF(C707=0,0,IF(E707="",B707*D707/100,E707))</f>
        <v/>
      </c>
      <c r="AE707" s="6">
        <f>IF(F707=0,0,IF(H707="",B707*G707/100,H707))</f>
        <v/>
      </c>
      <c r="AF707" s="6">
        <f>IF(I707=0,0,IF(K707="",B707*J707/100,K707))</f>
        <v/>
      </c>
      <c r="AG707" s="6">
        <f>IF(L707=0,0,IF(N707="",B707*M707/100,N707))</f>
        <v/>
      </c>
      <c r="AH707" s="6">
        <f>IF(O707=0,0,IF(Q707="",B707*P707/100,Q707))</f>
        <v/>
      </c>
      <c r="AI707" s="6">
        <f>IF(R707=0,0,IF(T707="",B707*S707/100,T707))</f>
        <v/>
      </c>
      <c r="AJ707" s="6">
        <f>B707*0.035</f>
        <v/>
      </c>
      <c r="AK707" s="6">
        <f>B707*0.065</f>
        <v/>
      </c>
      <c r="AL707" s="6">
        <f>SUM(B707,AD707,AE707,AF707,AG707,AH707,AI707,U707,V707,AJ707,AK707)</f>
        <v/>
      </c>
      <c r="AM707" s="6">
        <f>B707*0.055</f>
        <v/>
      </c>
      <c r="AN707" s="6">
        <f>B707*0.035</f>
        <v/>
      </c>
      <c r="AO707" s="6">
        <f>B707*0.165</f>
        <v/>
      </c>
      <c r="AP707" s="6">
        <f>MAX(0,AL707-AM707-AO707)</f>
        <v/>
      </c>
      <c r="AQ707" s="6">
        <f>IF(AP707&lt;=490,0,IF(AP707&lt;=600,(AP707-490)*0.05,IF(AP707&lt;=730,5.5+(AP707-600)*0.10,IF(AP707&lt;=3896.67,18.5+(AP707-730)*0.175,IF(AP707&lt;=19896.67,572.67+(AP707-3896.67)*0.25,IF(AP707&lt;=50416.67,4572.67+(AP707-19896.67)*0.30,13728.67+(AP707-50416.67)*0.35))))))</f>
        <v/>
      </c>
      <c r="AR707" s="6">
        <f>SUM(AM707,AQ707,W707,X707,Y707,Z707,AA707,AN707,AO707)</f>
        <v/>
      </c>
      <c r="AS707" s="6">
        <f>AL707-AR707</f>
        <v/>
      </c>
      <c r="AT707" s="6">
        <f>AB707-AC707</f>
        <v/>
      </c>
    </row>
    <row r="708">
      <c r="A708" s="2" t="n"/>
      <c r="B708" s="3" t="n"/>
      <c r="C708" s="4" t="n"/>
      <c r="D708" s="5" t="n"/>
      <c r="E708" s="3" t="n"/>
      <c r="F708" s="4" t="n"/>
      <c r="G708" s="5" t="n"/>
      <c r="H708" s="3" t="n"/>
      <c r="I708" s="4" t="n"/>
      <c r="J708" s="5" t="n"/>
      <c r="K708" s="3" t="n"/>
      <c r="L708" s="4" t="n"/>
      <c r="M708" s="5" t="n"/>
      <c r="N708" s="3" t="n"/>
      <c r="O708" s="4" t="n"/>
      <c r="P708" s="5" t="n"/>
      <c r="Q708" s="3" t="n"/>
      <c r="R708" s="4" t="n"/>
      <c r="S708" s="5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6">
        <f>IF(C708=0,0,IF(E708="",B708*D708/100,E708))</f>
        <v/>
      </c>
      <c r="AE708" s="6">
        <f>IF(F708=0,0,IF(H708="",B708*G708/100,H708))</f>
        <v/>
      </c>
      <c r="AF708" s="6">
        <f>IF(I708=0,0,IF(K708="",B708*J708/100,K708))</f>
        <v/>
      </c>
      <c r="AG708" s="6">
        <f>IF(L708=0,0,IF(N708="",B708*M708/100,N708))</f>
        <v/>
      </c>
      <c r="AH708" s="6">
        <f>IF(O708=0,0,IF(Q708="",B708*P708/100,Q708))</f>
        <v/>
      </c>
      <c r="AI708" s="6">
        <f>IF(R708=0,0,IF(T708="",B708*S708/100,T708))</f>
        <v/>
      </c>
      <c r="AJ708" s="6">
        <f>B708*0.035</f>
        <v/>
      </c>
      <c r="AK708" s="6">
        <f>B708*0.065</f>
        <v/>
      </c>
      <c r="AL708" s="6">
        <f>SUM(B708,AD708,AE708,AF708,AG708,AH708,AI708,U708,V708,AJ708,AK708)</f>
        <v/>
      </c>
      <c r="AM708" s="6">
        <f>B708*0.055</f>
        <v/>
      </c>
      <c r="AN708" s="6">
        <f>B708*0.035</f>
        <v/>
      </c>
      <c r="AO708" s="6">
        <f>B708*0.165</f>
        <v/>
      </c>
      <c r="AP708" s="6">
        <f>MAX(0,AL708-AM708-AO708)</f>
        <v/>
      </c>
      <c r="AQ708" s="6">
        <f>IF(AP708&lt;=490,0,IF(AP708&lt;=600,(AP708-490)*0.05,IF(AP708&lt;=730,5.5+(AP708-600)*0.10,IF(AP708&lt;=3896.67,18.5+(AP708-730)*0.175,IF(AP708&lt;=19896.67,572.67+(AP708-3896.67)*0.25,IF(AP708&lt;=50416.67,4572.67+(AP708-19896.67)*0.30,13728.67+(AP708-50416.67)*0.35))))))</f>
        <v/>
      </c>
      <c r="AR708" s="6">
        <f>SUM(AM708,AQ708,W708,X708,Y708,Z708,AA708,AN708,AO708)</f>
        <v/>
      </c>
      <c r="AS708" s="6">
        <f>AL708-AR708</f>
        <v/>
      </c>
      <c r="AT708" s="6">
        <f>AB708-AC708</f>
        <v/>
      </c>
    </row>
    <row r="709">
      <c r="A709" s="2" t="n"/>
      <c r="B709" s="3" t="n"/>
      <c r="C709" s="4" t="n"/>
      <c r="D709" s="5" t="n"/>
      <c r="E709" s="3" t="n"/>
      <c r="F709" s="4" t="n"/>
      <c r="G709" s="5" t="n"/>
      <c r="H709" s="3" t="n"/>
      <c r="I709" s="4" t="n"/>
      <c r="J709" s="5" t="n"/>
      <c r="K709" s="3" t="n"/>
      <c r="L709" s="4" t="n"/>
      <c r="M709" s="5" t="n"/>
      <c r="N709" s="3" t="n"/>
      <c r="O709" s="4" t="n"/>
      <c r="P709" s="5" t="n"/>
      <c r="Q709" s="3" t="n"/>
      <c r="R709" s="4" t="n"/>
      <c r="S709" s="5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6">
        <f>IF(C709=0,0,IF(E709="",B709*D709/100,E709))</f>
        <v/>
      </c>
      <c r="AE709" s="6">
        <f>IF(F709=0,0,IF(H709="",B709*G709/100,H709))</f>
        <v/>
      </c>
      <c r="AF709" s="6">
        <f>IF(I709=0,0,IF(K709="",B709*J709/100,K709))</f>
        <v/>
      </c>
      <c r="AG709" s="6">
        <f>IF(L709=0,0,IF(N709="",B709*M709/100,N709))</f>
        <v/>
      </c>
      <c r="AH709" s="6">
        <f>IF(O709=0,0,IF(Q709="",B709*P709/100,Q709))</f>
        <v/>
      </c>
      <c r="AI709" s="6">
        <f>IF(R709=0,0,IF(T709="",B709*S709/100,T709))</f>
        <v/>
      </c>
      <c r="AJ709" s="6">
        <f>B709*0.035</f>
        <v/>
      </c>
      <c r="AK709" s="6">
        <f>B709*0.065</f>
        <v/>
      </c>
      <c r="AL709" s="6">
        <f>SUM(B709,AD709,AE709,AF709,AG709,AH709,AI709,U709,V709,AJ709,AK709)</f>
        <v/>
      </c>
      <c r="AM709" s="6">
        <f>B709*0.055</f>
        <v/>
      </c>
      <c r="AN709" s="6">
        <f>B709*0.035</f>
        <v/>
      </c>
      <c r="AO709" s="6">
        <f>B709*0.165</f>
        <v/>
      </c>
      <c r="AP709" s="6">
        <f>MAX(0,AL709-AM709-AO709)</f>
        <v/>
      </c>
      <c r="AQ709" s="6">
        <f>IF(AP709&lt;=490,0,IF(AP709&lt;=600,(AP709-490)*0.05,IF(AP709&lt;=730,5.5+(AP709-600)*0.10,IF(AP709&lt;=3896.67,18.5+(AP709-730)*0.175,IF(AP709&lt;=19896.67,572.67+(AP709-3896.67)*0.25,IF(AP709&lt;=50416.67,4572.67+(AP709-19896.67)*0.30,13728.67+(AP709-50416.67)*0.35))))))</f>
        <v/>
      </c>
      <c r="AR709" s="6">
        <f>SUM(AM709,AQ709,W709,X709,Y709,Z709,AA709,AN709,AO709)</f>
        <v/>
      </c>
      <c r="AS709" s="6">
        <f>AL709-AR709</f>
        <v/>
      </c>
      <c r="AT709" s="6">
        <f>AB709-AC709</f>
        <v/>
      </c>
    </row>
    <row r="710">
      <c r="A710" s="2" t="n"/>
      <c r="B710" s="3" t="n"/>
      <c r="C710" s="4" t="n"/>
      <c r="D710" s="5" t="n"/>
      <c r="E710" s="3" t="n"/>
      <c r="F710" s="4" t="n"/>
      <c r="G710" s="5" t="n"/>
      <c r="H710" s="3" t="n"/>
      <c r="I710" s="4" t="n"/>
      <c r="J710" s="5" t="n"/>
      <c r="K710" s="3" t="n"/>
      <c r="L710" s="4" t="n"/>
      <c r="M710" s="5" t="n"/>
      <c r="N710" s="3" t="n"/>
      <c r="O710" s="4" t="n"/>
      <c r="P710" s="5" t="n"/>
      <c r="Q710" s="3" t="n"/>
      <c r="R710" s="4" t="n"/>
      <c r="S710" s="5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6">
        <f>IF(C710=0,0,IF(E710="",B710*D710/100,E710))</f>
        <v/>
      </c>
      <c r="AE710" s="6">
        <f>IF(F710=0,0,IF(H710="",B710*G710/100,H710))</f>
        <v/>
      </c>
      <c r="AF710" s="6">
        <f>IF(I710=0,0,IF(K710="",B710*J710/100,K710))</f>
        <v/>
      </c>
      <c r="AG710" s="6">
        <f>IF(L710=0,0,IF(N710="",B710*M710/100,N710))</f>
        <v/>
      </c>
      <c r="AH710" s="6">
        <f>IF(O710=0,0,IF(Q710="",B710*P710/100,Q710))</f>
        <v/>
      </c>
      <c r="AI710" s="6">
        <f>IF(R710=0,0,IF(T710="",B710*S710/100,T710))</f>
        <v/>
      </c>
      <c r="AJ710" s="6">
        <f>B710*0.035</f>
        <v/>
      </c>
      <c r="AK710" s="6">
        <f>B710*0.065</f>
        <v/>
      </c>
      <c r="AL710" s="6">
        <f>SUM(B710,AD710,AE710,AF710,AG710,AH710,AI710,U710,V710,AJ710,AK710)</f>
        <v/>
      </c>
      <c r="AM710" s="6">
        <f>B710*0.055</f>
        <v/>
      </c>
      <c r="AN710" s="6">
        <f>B710*0.035</f>
        <v/>
      </c>
      <c r="AO710" s="6">
        <f>B710*0.165</f>
        <v/>
      </c>
      <c r="AP710" s="6">
        <f>MAX(0,AL710-AM710-AO710)</f>
        <v/>
      </c>
      <c r="AQ710" s="6">
        <f>IF(AP710&lt;=490,0,IF(AP710&lt;=600,(AP710-490)*0.05,IF(AP710&lt;=730,5.5+(AP710-600)*0.10,IF(AP710&lt;=3896.67,18.5+(AP710-730)*0.175,IF(AP710&lt;=19896.67,572.67+(AP710-3896.67)*0.25,IF(AP710&lt;=50416.67,4572.67+(AP710-19896.67)*0.30,13728.67+(AP710-50416.67)*0.35))))))</f>
        <v/>
      </c>
      <c r="AR710" s="6">
        <f>SUM(AM710,AQ710,W710,X710,Y710,Z710,AA710,AN710,AO710)</f>
        <v/>
      </c>
      <c r="AS710" s="6">
        <f>AL710-AR710</f>
        <v/>
      </c>
      <c r="AT710" s="6">
        <f>AB710-AC710</f>
        <v/>
      </c>
    </row>
    <row r="711">
      <c r="A711" s="2" t="n"/>
      <c r="B711" s="3" t="n"/>
      <c r="C711" s="4" t="n"/>
      <c r="D711" s="5" t="n"/>
      <c r="E711" s="3" t="n"/>
      <c r="F711" s="4" t="n"/>
      <c r="G711" s="5" t="n"/>
      <c r="H711" s="3" t="n"/>
      <c r="I711" s="4" t="n"/>
      <c r="J711" s="5" t="n"/>
      <c r="K711" s="3" t="n"/>
      <c r="L711" s="4" t="n"/>
      <c r="M711" s="5" t="n"/>
      <c r="N711" s="3" t="n"/>
      <c r="O711" s="4" t="n"/>
      <c r="P711" s="5" t="n"/>
      <c r="Q711" s="3" t="n"/>
      <c r="R711" s="4" t="n"/>
      <c r="S711" s="5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6">
        <f>IF(C711=0,0,IF(E711="",B711*D711/100,E711))</f>
        <v/>
      </c>
      <c r="AE711" s="6">
        <f>IF(F711=0,0,IF(H711="",B711*G711/100,H711))</f>
        <v/>
      </c>
      <c r="AF711" s="6">
        <f>IF(I711=0,0,IF(K711="",B711*J711/100,K711))</f>
        <v/>
      </c>
      <c r="AG711" s="6">
        <f>IF(L711=0,0,IF(N711="",B711*M711/100,N711))</f>
        <v/>
      </c>
      <c r="AH711" s="6">
        <f>IF(O711=0,0,IF(Q711="",B711*P711/100,Q711))</f>
        <v/>
      </c>
      <c r="AI711" s="6">
        <f>IF(R711=0,0,IF(T711="",B711*S711/100,T711))</f>
        <v/>
      </c>
      <c r="AJ711" s="6">
        <f>B711*0.035</f>
        <v/>
      </c>
      <c r="AK711" s="6">
        <f>B711*0.065</f>
        <v/>
      </c>
      <c r="AL711" s="6">
        <f>SUM(B711,AD711,AE711,AF711,AG711,AH711,AI711,U711,V711,AJ711,AK711)</f>
        <v/>
      </c>
      <c r="AM711" s="6">
        <f>B711*0.055</f>
        <v/>
      </c>
      <c r="AN711" s="6">
        <f>B711*0.035</f>
        <v/>
      </c>
      <c r="AO711" s="6">
        <f>B711*0.165</f>
        <v/>
      </c>
      <c r="AP711" s="6">
        <f>MAX(0,AL711-AM711-AO711)</f>
        <v/>
      </c>
      <c r="AQ711" s="6">
        <f>IF(AP711&lt;=490,0,IF(AP711&lt;=600,(AP711-490)*0.05,IF(AP711&lt;=730,5.5+(AP711-600)*0.10,IF(AP711&lt;=3896.67,18.5+(AP711-730)*0.175,IF(AP711&lt;=19896.67,572.67+(AP711-3896.67)*0.25,IF(AP711&lt;=50416.67,4572.67+(AP711-19896.67)*0.30,13728.67+(AP711-50416.67)*0.35))))))</f>
        <v/>
      </c>
      <c r="AR711" s="6">
        <f>SUM(AM711,AQ711,W711,X711,Y711,Z711,AA711,AN711,AO711)</f>
        <v/>
      </c>
      <c r="AS711" s="6">
        <f>AL711-AR711</f>
        <v/>
      </c>
      <c r="AT711" s="6">
        <f>AB711-AC711</f>
        <v/>
      </c>
    </row>
    <row r="712">
      <c r="A712" s="2" t="n"/>
      <c r="B712" s="3" t="n"/>
      <c r="C712" s="4" t="n"/>
      <c r="D712" s="5" t="n"/>
      <c r="E712" s="3" t="n"/>
      <c r="F712" s="4" t="n"/>
      <c r="G712" s="5" t="n"/>
      <c r="H712" s="3" t="n"/>
      <c r="I712" s="4" t="n"/>
      <c r="J712" s="5" t="n"/>
      <c r="K712" s="3" t="n"/>
      <c r="L712" s="4" t="n"/>
      <c r="M712" s="5" t="n"/>
      <c r="N712" s="3" t="n"/>
      <c r="O712" s="4" t="n"/>
      <c r="P712" s="5" t="n"/>
      <c r="Q712" s="3" t="n"/>
      <c r="R712" s="4" t="n"/>
      <c r="S712" s="5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6">
        <f>IF(C712=0,0,IF(E712="",B712*D712/100,E712))</f>
        <v/>
      </c>
      <c r="AE712" s="6">
        <f>IF(F712=0,0,IF(H712="",B712*G712/100,H712))</f>
        <v/>
      </c>
      <c r="AF712" s="6">
        <f>IF(I712=0,0,IF(K712="",B712*J712/100,K712))</f>
        <v/>
      </c>
      <c r="AG712" s="6">
        <f>IF(L712=0,0,IF(N712="",B712*M712/100,N712))</f>
        <v/>
      </c>
      <c r="AH712" s="6">
        <f>IF(O712=0,0,IF(Q712="",B712*P712/100,Q712))</f>
        <v/>
      </c>
      <c r="AI712" s="6">
        <f>IF(R712=0,0,IF(T712="",B712*S712/100,T712))</f>
        <v/>
      </c>
      <c r="AJ712" s="6">
        <f>B712*0.035</f>
        <v/>
      </c>
      <c r="AK712" s="6">
        <f>B712*0.065</f>
        <v/>
      </c>
      <c r="AL712" s="6">
        <f>SUM(B712,AD712,AE712,AF712,AG712,AH712,AI712,U712,V712,AJ712,AK712)</f>
        <v/>
      </c>
      <c r="AM712" s="6">
        <f>B712*0.055</f>
        <v/>
      </c>
      <c r="AN712" s="6">
        <f>B712*0.035</f>
        <v/>
      </c>
      <c r="AO712" s="6">
        <f>B712*0.165</f>
        <v/>
      </c>
      <c r="AP712" s="6">
        <f>MAX(0,AL712-AM712-AO712)</f>
        <v/>
      </c>
      <c r="AQ712" s="6">
        <f>IF(AP712&lt;=490,0,IF(AP712&lt;=600,(AP712-490)*0.05,IF(AP712&lt;=730,5.5+(AP712-600)*0.10,IF(AP712&lt;=3896.67,18.5+(AP712-730)*0.175,IF(AP712&lt;=19896.67,572.67+(AP712-3896.67)*0.25,IF(AP712&lt;=50416.67,4572.67+(AP712-19896.67)*0.30,13728.67+(AP712-50416.67)*0.35))))))</f>
        <v/>
      </c>
      <c r="AR712" s="6">
        <f>SUM(AM712,AQ712,W712,X712,Y712,Z712,AA712,AN712,AO712)</f>
        <v/>
      </c>
      <c r="AS712" s="6">
        <f>AL712-AR712</f>
        <v/>
      </c>
      <c r="AT712" s="6">
        <f>AB712-AC712</f>
        <v/>
      </c>
    </row>
    <row r="713">
      <c r="A713" s="2" t="n"/>
      <c r="B713" s="3" t="n"/>
      <c r="C713" s="4" t="n"/>
      <c r="D713" s="5" t="n"/>
      <c r="E713" s="3" t="n"/>
      <c r="F713" s="4" t="n"/>
      <c r="G713" s="5" t="n"/>
      <c r="H713" s="3" t="n"/>
      <c r="I713" s="4" t="n"/>
      <c r="J713" s="5" t="n"/>
      <c r="K713" s="3" t="n"/>
      <c r="L713" s="4" t="n"/>
      <c r="M713" s="5" t="n"/>
      <c r="N713" s="3" t="n"/>
      <c r="O713" s="4" t="n"/>
      <c r="P713" s="5" t="n"/>
      <c r="Q713" s="3" t="n"/>
      <c r="R713" s="4" t="n"/>
      <c r="S713" s="5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6">
        <f>IF(C713=0,0,IF(E713="",B713*D713/100,E713))</f>
        <v/>
      </c>
      <c r="AE713" s="6">
        <f>IF(F713=0,0,IF(H713="",B713*G713/100,H713))</f>
        <v/>
      </c>
      <c r="AF713" s="6">
        <f>IF(I713=0,0,IF(K713="",B713*J713/100,K713))</f>
        <v/>
      </c>
      <c r="AG713" s="6">
        <f>IF(L713=0,0,IF(N713="",B713*M713/100,N713))</f>
        <v/>
      </c>
      <c r="AH713" s="6">
        <f>IF(O713=0,0,IF(Q713="",B713*P713/100,Q713))</f>
        <v/>
      </c>
      <c r="AI713" s="6">
        <f>IF(R713=0,0,IF(T713="",B713*S713/100,T713))</f>
        <v/>
      </c>
      <c r="AJ713" s="6">
        <f>B713*0.035</f>
        <v/>
      </c>
      <c r="AK713" s="6">
        <f>B713*0.065</f>
        <v/>
      </c>
      <c r="AL713" s="6">
        <f>SUM(B713,AD713,AE713,AF713,AG713,AH713,AI713,U713,V713,AJ713,AK713)</f>
        <v/>
      </c>
      <c r="AM713" s="6">
        <f>B713*0.055</f>
        <v/>
      </c>
      <c r="AN713" s="6">
        <f>B713*0.035</f>
        <v/>
      </c>
      <c r="AO713" s="6">
        <f>B713*0.165</f>
        <v/>
      </c>
      <c r="AP713" s="6">
        <f>MAX(0,AL713-AM713-AO713)</f>
        <v/>
      </c>
      <c r="AQ713" s="6">
        <f>IF(AP713&lt;=490,0,IF(AP713&lt;=600,(AP713-490)*0.05,IF(AP713&lt;=730,5.5+(AP713-600)*0.10,IF(AP713&lt;=3896.67,18.5+(AP713-730)*0.175,IF(AP713&lt;=19896.67,572.67+(AP713-3896.67)*0.25,IF(AP713&lt;=50416.67,4572.67+(AP713-19896.67)*0.30,13728.67+(AP713-50416.67)*0.35))))))</f>
        <v/>
      </c>
      <c r="AR713" s="6">
        <f>SUM(AM713,AQ713,W713,X713,Y713,Z713,AA713,AN713,AO713)</f>
        <v/>
      </c>
      <c r="AS713" s="6">
        <f>AL713-AR713</f>
        <v/>
      </c>
      <c r="AT713" s="6">
        <f>AB713-AC713</f>
        <v/>
      </c>
    </row>
    <row r="714">
      <c r="A714" s="2" t="n"/>
      <c r="B714" s="3" t="n"/>
      <c r="C714" s="4" t="n"/>
      <c r="D714" s="5" t="n"/>
      <c r="E714" s="3" t="n"/>
      <c r="F714" s="4" t="n"/>
      <c r="G714" s="5" t="n"/>
      <c r="H714" s="3" t="n"/>
      <c r="I714" s="4" t="n"/>
      <c r="J714" s="5" t="n"/>
      <c r="K714" s="3" t="n"/>
      <c r="L714" s="4" t="n"/>
      <c r="M714" s="5" t="n"/>
      <c r="N714" s="3" t="n"/>
      <c r="O714" s="4" t="n"/>
      <c r="P714" s="5" t="n"/>
      <c r="Q714" s="3" t="n"/>
      <c r="R714" s="4" t="n"/>
      <c r="S714" s="5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6">
        <f>IF(C714=0,0,IF(E714="",B714*D714/100,E714))</f>
        <v/>
      </c>
      <c r="AE714" s="6">
        <f>IF(F714=0,0,IF(H714="",B714*G714/100,H714))</f>
        <v/>
      </c>
      <c r="AF714" s="6">
        <f>IF(I714=0,0,IF(K714="",B714*J714/100,K714))</f>
        <v/>
      </c>
      <c r="AG714" s="6">
        <f>IF(L714=0,0,IF(N714="",B714*M714/100,N714))</f>
        <v/>
      </c>
      <c r="AH714" s="6">
        <f>IF(O714=0,0,IF(Q714="",B714*P714/100,Q714))</f>
        <v/>
      </c>
      <c r="AI714" s="6">
        <f>IF(R714=0,0,IF(T714="",B714*S714/100,T714))</f>
        <v/>
      </c>
      <c r="AJ714" s="6">
        <f>B714*0.035</f>
        <v/>
      </c>
      <c r="AK714" s="6">
        <f>B714*0.065</f>
        <v/>
      </c>
      <c r="AL714" s="6">
        <f>SUM(B714,AD714,AE714,AF714,AG714,AH714,AI714,U714,V714,AJ714,AK714)</f>
        <v/>
      </c>
      <c r="AM714" s="6">
        <f>B714*0.055</f>
        <v/>
      </c>
      <c r="AN714" s="6">
        <f>B714*0.035</f>
        <v/>
      </c>
      <c r="AO714" s="6">
        <f>B714*0.165</f>
        <v/>
      </c>
      <c r="AP714" s="6">
        <f>MAX(0,AL714-AM714-AO714)</f>
        <v/>
      </c>
      <c r="AQ714" s="6">
        <f>IF(AP714&lt;=490,0,IF(AP714&lt;=600,(AP714-490)*0.05,IF(AP714&lt;=730,5.5+(AP714-600)*0.10,IF(AP714&lt;=3896.67,18.5+(AP714-730)*0.175,IF(AP714&lt;=19896.67,572.67+(AP714-3896.67)*0.25,IF(AP714&lt;=50416.67,4572.67+(AP714-19896.67)*0.30,13728.67+(AP714-50416.67)*0.35))))))</f>
        <v/>
      </c>
      <c r="AR714" s="6">
        <f>SUM(AM714,AQ714,W714,X714,Y714,Z714,AA714,AN714,AO714)</f>
        <v/>
      </c>
      <c r="AS714" s="6">
        <f>AL714-AR714</f>
        <v/>
      </c>
      <c r="AT714" s="6">
        <f>AB714-AC714</f>
        <v/>
      </c>
    </row>
    <row r="715">
      <c r="A715" s="2" t="n"/>
      <c r="B715" s="3" t="n"/>
      <c r="C715" s="4" t="n"/>
      <c r="D715" s="5" t="n"/>
      <c r="E715" s="3" t="n"/>
      <c r="F715" s="4" t="n"/>
      <c r="G715" s="5" t="n"/>
      <c r="H715" s="3" t="n"/>
      <c r="I715" s="4" t="n"/>
      <c r="J715" s="5" t="n"/>
      <c r="K715" s="3" t="n"/>
      <c r="L715" s="4" t="n"/>
      <c r="M715" s="5" t="n"/>
      <c r="N715" s="3" t="n"/>
      <c r="O715" s="4" t="n"/>
      <c r="P715" s="5" t="n"/>
      <c r="Q715" s="3" t="n"/>
      <c r="R715" s="4" t="n"/>
      <c r="S715" s="5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6">
        <f>IF(C715=0,0,IF(E715="",B715*D715/100,E715))</f>
        <v/>
      </c>
      <c r="AE715" s="6">
        <f>IF(F715=0,0,IF(H715="",B715*G715/100,H715))</f>
        <v/>
      </c>
      <c r="AF715" s="6">
        <f>IF(I715=0,0,IF(K715="",B715*J715/100,K715))</f>
        <v/>
      </c>
      <c r="AG715" s="6">
        <f>IF(L715=0,0,IF(N715="",B715*M715/100,N715))</f>
        <v/>
      </c>
      <c r="AH715" s="6">
        <f>IF(O715=0,0,IF(Q715="",B715*P715/100,Q715))</f>
        <v/>
      </c>
      <c r="AI715" s="6">
        <f>IF(R715=0,0,IF(T715="",B715*S715/100,T715))</f>
        <v/>
      </c>
      <c r="AJ715" s="6">
        <f>B715*0.035</f>
        <v/>
      </c>
      <c r="AK715" s="6">
        <f>B715*0.065</f>
        <v/>
      </c>
      <c r="AL715" s="6">
        <f>SUM(B715,AD715,AE715,AF715,AG715,AH715,AI715,U715,V715,AJ715,AK715)</f>
        <v/>
      </c>
      <c r="AM715" s="6">
        <f>B715*0.055</f>
        <v/>
      </c>
      <c r="AN715" s="6">
        <f>B715*0.035</f>
        <v/>
      </c>
      <c r="AO715" s="6">
        <f>B715*0.165</f>
        <v/>
      </c>
      <c r="AP715" s="6">
        <f>MAX(0,AL715-AM715-AO715)</f>
        <v/>
      </c>
      <c r="AQ715" s="6">
        <f>IF(AP715&lt;=490,0,IF(AP715&lt;=600,(AP715-490)*0.05,IF(AP715&lt;=730,5.5+(AP715-600)*0.10,IF(AP715&lt;=3896.67,18.5+(AP715-730)*0.175,IF(AP715&lt;=19896.67,572.67+(AP715-3896.67)*0.25,IF(AP715&lt;=50416.67,4572.67+(AP715-19896.67)*0.30,13728.67+(AP715-50416.67)*0.35))))))</f>
        <v/>
      </c>
      <c r="AR715" s="6">
        <f>SUM(AM715,AQ715,W715,X715,Y715,Z715,AA715,AN715,AO715)</f>
        <v/>
      </c>
      <c r="AS715" s="6">
        <f>AL715-AR715</f>
        <v/>
      </c>
      <c r="AT715" s="6">
        <f>AB715-AC715</f>
        <v/>
      </c>
    </row>
    <row r="716">
      <c r="A716" s="2" t="n"/>
      <c r="B716" s="3" t="n"/>
      <c r="C716" s="4" t="n"/>
      <c r="D716" s="5" t="n"/>
      <c r="E716" s="3" t="n"/>
      <c r="F716" s="4" t="n"/>
      <c r="G716" s="5" t="n"/>
      <c r="H716" s="3" t="n"/>
      <c r="I716" s="4" t="n"/>
      <c r="J716" s="5" t="n"/>
      <c r="K716" s="3" t="n"/>
      <c r="L716" s="4" t="n"/>
      <c r="M716" s="5" t="n"/>
      <c r="N716" s="3" t="n"/>
      <c r="O716" s="4" t="n"/>
      <c r="P716" s="5" t="n"/>
      <c r="Q716" s="3" t="n"/>
      <c r="R716" s="4" t="n"/>
      <c r="S716" s="5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6">
        <f>IF(C716=0,0,IF(E716="",B716*D716/100,E716))</f>
        <v/>
      </c>
      <c r="AE716" s="6">
        <f>IF(F716=0,0,IF(H716="",B716*G716/100,H716))</f>
        <v/>
      </c>
      <c r="AF716" s="6">
        <f>IF(I716=0,0,IF(K716="",B716*J716/100,K716))</f>
        <v/>
      </c>
      <c r="AG716" s="6">
        <f>IF(L716=0,0,IF(N716="",B716*M716/100,N716))</f>
        <v/>
      </c>
      <c r="AH716" s="6">
        <f>IF(O716=0,0,IF(Q716="",B716*P716/100,Q716))</f>
        <v/>
      </c>
      <c r="AI716" s="6">
        <f>IF(R716=0,0,IF(T716="",B716*S716/100,T716))</f>
        <v/>
      </c>
      <c r="AJ716" s="6">
        <f>B716*0.035</f>
        <v/>
      </c>
      <c r="AK716" s="6">
        <f>B716*0.065</f>
        <v/>
      </c>
      <c r="AL716" s="6">
        <f>SUM(B716,AD716,AE716,AF716,AG716,AH716,AI716,U716,V716,AJ716,AK716)</f>
        <v/>
      </c>
      <c r="AM716" s="6">
        <f>B716*0.055</f>
        <v/>
      </c>
      <c r="AN716" s="6">
        <f>B716*0.035</f>
        <v/>
      </c>
      <c r="AO716" s="6">
        <f>B716*0.165</f>
        <v/>
      </c>
      <c r="AP716" s="6">
        <f>MAX(0,AL716-AM716-AO716)</f>
        <v/>
      </c>
      <c r="AQ716" s="6">
        <f>IF(AP716&lt;=490,0,IF(AP716&lt;=600,(AP716-490)*0.05,IF(AP716&lt;=730,5.5+(AP716-600)*0.10,IF(AP716&lt;=3896.67,18.5+(AP716-730)*0.175,IF(AP716&lt;=19896.67,572.67+(AP716-3896.67)*0.25,IF(AP716&lt;=50416.67,4572.67+(AP716-19896.67)*0.30,13728.67+(AP716-50416.67)*0.35))))))</f>
        <v/>
      </c>
      <c r="AR716" s="6">
        <f>SUM(AM716,AQ716,W716,X716,Y716,Z716,AA716,AN716,AO716)</f>
        <v/>
      </c>
      <c r="AS716" s="6">
        <f>AL716-AR716</f>
        <v/>
      </c>
      <c r="AT716" s="6">
        <f>AB716-AC716</f>
        <v/>
      </c>
    </row>
    <row r="717">
      <c r="A717" s="2" t="n"/>
      <c r="B717" s="3" t="n"/>
      <c r="C717" s="4" t="n"/>
      <c r="D717" s="5" t="n"/>
      <c r="E717" s="3" t="n"/>
      <c r="F717" s="4" t="n"/>
      <c r="G717" s="5" t="n"/>
      <c r="H717" s="3" t="n"/>
      <c r="I717" s="4" t="n"/>
      <c r="J717" s="5" t="n"/>
      <c r="K717" s="3" t="n"/>
      <c r="L717" s="4" t="n"/>
      <c r="M717" s="5" t="n"/>
      <c r="N717" s="3" t="n"/>
      <c r="O717" s="4" t="n"/>
      <c r="P717" s="5" t="n"/>
      <c r="Q717" s="3" t="n"/>
      <c r="R717" s="4" t="n"/>
      <c r="S717" s="5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6">
        <f>IF(C717=0,0,IF(E717="",B717*D717/100,E717))</f>
        <v/>
      </c>
      <c r="AE717" s="6">
        <f>IF(F717=0,0,IF(H717="",B717*G717/100,H717))</f>
        <v/>
      </c>
      <c r="AF717" s="6">
        <f>IF(I717=0,0,IF(K717="",B717*J717/100,K717))</f>
        <v/>
      </c>
      <c r="AG717" s="6">
        <f>IF(L717=0,0,IF(N717="",B717*M717/100,N717))</f>
        <v/>
      </c>
      <c r="AH717" s="6">
        <f>IF(O717=0,0,IF(Q717="",B717*P717/100,Q717))</f>
        <v/>
      </c>
      <c r="AI717" s="6">
        <f>IF(R717=0,0,IF(T717="",B717*S717/100,T717))</f>
        <v/>
      </c>
      <c r="AJ717" s="6">
        <f>B717*0.035</f>
        <v/>
      </c>
      <c r="AK717" s="6">
        <f>B717*0.065</f>
        <v/>
      </c>
      <c r="AL717" s="6">
        <f>SUM(B717,AD717,AE717,AF717,AG717,AH717,AI717,U717,V717,AJ717,AK717)</f>
        <v/>
      </c>
      <c r="AM717" s="6">
        <f>B717*0.055</f>
        <v/>
      </c>
      <c r="AN717" s="6">
        <f>B717*0.035</f>
        <v/>
      </c>
      <c r="AO717" s="6">
        <f>B717*0.165</f>
        <v/>
      </c>
      <c r="AP717" s="6">
        <f>MAX(0,AL717-AM717-AO717)</f>
        <v/>
      </c>
      <c r="AQ717" s="6">
        <f>IF(AP717&lt;=490,0,IF(AP717&lt;=600,(AP717-490)*0.05,IF(AP717&lt;=730,5.5+(AP717-600)*0.10,IF(AP717&lt;=3896.67,18.5+(AP717-730)*0.175,IF(AP717&lt;=19896.67,572.67+(AP717-3896.67)*0.25,IF(AP717&lt;=50416.67,4572.67+(AP717-19896.67)*0.30,13728.67+(AP717-50416.67)*0.35))))))</f>
        <v/>
      </c>
      <c r="AR717" s="6">
        <f>SUM(AM717,AQ717,W717,X717,Y717,Z717,AA717,AN717,AO717)</f>
        <v/>
      </c>
      <c r="AS717" s="6">
        <f>AL717-AR717</f>
        <v/>
      </c>
      <c r="AT717" s="6">
        <f>AB717-AC717</f>
        <v/>
      </c>
    </row>
    <row r="718">
      <c r="A718" s="2" t="n"/>
      <c r="B718" s="3" t="n"/>
      <c r="C718" s="4" t="n"/>
      <c r="D718" s="5" t="n"/>
      <c r="E718" s="3" t="n"/>
      <c r="F718" s="4" t="n"/>
      <c r="G718" s="5" t="n"/>
      <c r="H718" s="3" t="n"/>
      <c r="I718" s="4" t="n"/>
      <c r="J718" s="5" t="n"/>
      <c r="K718" s="3" t="n"/>
      <c r="L718" s="4" t="n"/>
      <c r="M718" s="5" t="n"/>
      <c r="N718" s="3" t="n"/>
      <c r="O718" s="4" t="n"/>
      <c r="P718" s="5" t="n"/>
      <c r="Q718" s="3" t="n"/>
      <c r="R718" s="4" t="n"/>
      <c r="S718" s="5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6">
        <f>IF(C718=0,0,IF(E718="",B718*D718/100,E718))</f>
        <v/>
      </c>
      <c r="AE718" s="6">
        <f>IF(F718=0,0,IF(H718="",B718*G718/100,H718))</f>
        <v/>
      </c>
      <c r="AF718" s="6">
        <f>IF(I718=0,0,IF(K718="",B718*J718/100,K718))</f>
        <v/>
      </c>
      <c r="AG718" s="6">
        <f>IF(L718=0,0,IF(N718="",B718*M718/100,N718))</f>
        <v/>
      </c>
      <c r="AH718" s="6">
        <f>IF(O718=0,0,IF(Q718="",B718*P718/100,Q718))</f>
        <v/>
      </c>
      <c r="AI718" s="6">
        <f>IF(R718=0,0,IF(T718="",B718*S718/100,T718))</f>
        <v/>
      </c>
      <c r="AJ718" s="6">
        <f>B718*0.035</f>
        <v/>
      </c>
      <c r="AK718" s="6">
        <f>B718*0.065</f>
        <v/>
      </c>
      <c r="AL718" s="6">
        <f>SUM(B718,AD718,AE718,AF718,AG718,AH718,AI718,U718,V718,AJ718,AK718)</f>
        <v/>
      </c>
      <c r="AM718" s="6">
        <f>B718*0.055</f>
        <v/>
      </c>
      <c r="AN718" s="6">
        <f>B718*0.035</f>
        <v/>
      </c>
      <c r="AO718" s="6">
        <f>B718*0.165</f>
        <v/>
      </c>
      <c r="AP718" s="6">
        <f>MAX(0,AL718-AM718-AO718)</f>
        <v/>
      </c>
      <c r="AQ718" s="6">
        <f>IF(AP718&lt;=490,0,IF(AP718&lt;=600,(AP718-490)*0.05,IF(AP718&lt;=730,5.5+(AP718-600)*0.10,IF(AP718&lt;=3896.67,18.5+(AP718-730)*0.175,IF(AP718&lt;=19896.67,572.67+(AP718-3896.67)*0.25,IF(AP718&lt;=50416.67,4572.67+(AP718-19896.67)*0.30,13728.67+(AP718-50416.67)*0.35))))))</f>
        <v/>
      </c>
      <c r="AR718" s="6">
        <f>SUM(AM718,AQ718,W718,X718,Y718,Z718,AA718,AN718,AO718)</f>
        <v/>
      </c>
      <c r="AS718" s="6">
        <f>AL718-AR718</f>
        <v/>
      </c>
      <c r="AT718" s="6">
        <f>AB718-AC718</f>
        <v/>
      </c>
    </row>
    <row r="719">
      <c r="A719" s="2" t="n"/>
      <c r="B719" s="3" t="n"/>
      <c r="C719" s="4" t="n"/>
      <c r="D719" s="5" t="n"/>
      <c r="E719" s="3" t="n"/>
      <c r="F719" s="4" t="n"/>
      <c r="G719" s="5" t="n"/>
      <c r="H719" s="3" t="n"/>
      <c r="I719" s="4" t="n"/>
      <c r="J719" s="5" t="n"/>
      <c r="K719" s="3" t="n"/>
      <c r="L719" s="4" t="n"/>
      <c r="M719" s="5" t="n"/>
      <c r="N719" s="3" t="n"/>
      <c r="O719" s="4" t="n"/>
      <c r="P719" s="5" t="n"/>
      <c r="Q719" s="3" t="n"/>
      <c r="R719" s="4" t="n"/>
      <c r="S719" s="5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6">
        <f>IF(C719=0,0,IF(E719="",B719*D719/100,E719))</f>
        <v/>
      </c>
      <c r="AE719" s="6">
        <f>IF(F719=0,0,IF(H719="",B719*G719/100,H719))</f>
        <v/>
      </c>
      <c r="AF719" s="6">
        <f>IF(I719=0,0,IF(K719="",B719*J719/100,K719))</f>
        <v/>
      </c>
      <c r="AG719" s="6">
        <f>IF(L719=0,0,IF(N719="",B719*M719/100,N719))</f>
        <v/>
      </c>
      <c r="AH719" s="6">
        <f>IF(O719=0,0,IF(Q719="",B719*P719/100,Q719))</f>
        <v/>
      </c>
      <c r="AI719" s="6">
        <f>IF(R719=0,0,IF(T719="",B719*S719/100,T719))</f>
        <v/>
      </c>
      <c r="AJ719" s="6">
        <f>B719*0.035</f>
        <v/>
      </c>
      <c r="AK719" s="6">
        <f>B719*0.065</f>
        <v/>
      </c>
      <c r="AL719" s="6">
        <f>SUM(B719,AD719,AE719,AF719,AG719,AH719,AI719,U719,V719,AJ719,AK719)</f>
        <v/>
      </c>
      <c r="AM719" s="6">
        <f>B719*0.055</f>
        <v/>
      </c>
      <c r="AN719" s="6">
        <f>B719*0.035</f>
        <v/>
      </c>
      <c r="AO719" s="6">
        <f>B719*0.165</f>
        <v/>
      </c>
      <c r="AP719" s="6">
        <f>MAX(0,AL719-AM719-AO719)</f>
        <v/>
      </c>
      <c r="AQ719" s="6">
        <f>IF(AP719&lt;=490,0,IF(AP719&lt;=600,(AP719-490)*0.05,IF(AP719&lt;=730,5.5+(AP719-600)*0.10,IF(AP719&lt;=3896.67,18.5+(AP719-730)*0.175,IF(AP719&lt;=19896.67,572.67+(AP719-3896.67)*0.25,IF(AP719&lt;=50416.67,4572.67+(AP719-19896.67)*0.30,13728.67+(AP719-50416.67)*0.35))))))</f>
        <v/>
      </c>
      <c r="AR719" s="6">
        <f>SUM(AM719,AQ719,W719,X719,Y719,Z719,AA719,AN719,AO719)</f>
        <v/>
      </c>
      <c r="AS719" s="6">
        <f>AL719-AR719</f>
        <v/>
      </c>
      <c r="AT719" s="6">
        <f>AB719-AC719</f>
        <v/>
      </c>
    </row>
    <row r="720">
      <c r="A720" s="2" t="n"/>
      <c r="B720" s="3" t="n"/>
      <c r="C720" s="4" t="n"/>
      <c r="D720" s="5" t="n"/>
      <c r="E720" s="3" t="n"/>
      <c r="F720" s="4" t="n"/>
      <c r="G720" s="5" t="n"/>
      <c r="H720" s="3" t="n"/>
      <c r="I720" s="4" t="n"/>
      <c r="J720" s="5" t="n"/>
      <c r="K720" s="3" t="n"/>
      <c r="L720" s="4" t="n"/>
      <c r="M720" s="5" t="n"/>
      <c r="N720" s="3" t="n"/>
      <c r="O720" s="4" t="n"/>
      <c r="P720" s="5" t="n"/>
      <c r="Q720" s="3" t="n"/>
      <c r="R720" s="4" t="n"/>
      <c r="S720" s="5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6">
        <f>IF(C720=0,0,IF(E720="",B720*D720/100,E720))</f>
        <v/>
      </c>
      <c r="AE720" s="6">
        <f>IF(F720=0,0,IF(H720="",B720*G720/100,H720))</f>
        <v/>
      </c>
      <c r="AF720" s="6">
        <f>IF(I720=0,0,IF(K720="",B720*J720/100,K720))</f>
        <v/>
      </c>
      <c r="AG720" s="6">
        <f>IF(L720=0,0,IF(N720="",B720*M720/100,N720))</f>
        <v/>
      </c>
      <c r="AH720" s="6">
        <f>IF(O720=0,0,IF(Q720="",B720*P720/100,Q720))</f>
        <v/>
      </c>
      <c r="AI720" s="6">
        <f>IF(R720=0,0,IF(T720="",B720*S720/100,T720))</f>
        <v/>
      </c>
      <c r="AJ720" s="6">
        <f>B720*0.035</f>
        <v/>
      </c>
      <c r="AK720" s="6">
        <f>B720*0.065</f>
        <v/>
      </c>
      <c r="AL720" s="6">
        <f>SUM(B720,AD720,AE720,AF720,AG720,AH720,AI720,U720,V720,AJ720,AK720)</f>
        <v/>
      </c>
      <c r="AM720" s="6">
        <f>B720*0.055</f>
        <v/>
      </c>
      <c r="AN720" s="6">
        <f>B720*0.035</f>
        <v/>
      </c>
      <c r="AO720" s="6">
        <f>B720*0.165</f>
        <v/>
      </c>
      <c r="AP720" s="6">
        <f>MAX(0,AL720-AM720-AO720)</f>
        <v/>
      </c>
      <c r="AQ720" s="6">
        <f>IF(AP720&lt;=490,0,IF(AP720&lt;=600,(AP720-490)*0.05,IF(AP720&lt;=730,5.5+(AP720-600)*0.10,IF(AP720&lt;=3896.67,18.5+(AP720-730)*0.175,IF(AP720&lt;=19896.67,572.67+(AP720-3896.67)*0.25,IF(AP720&lt;=50416.67,4572.67+(AP720-19896.67)*0.30,13728.67+(AP720-50416.67)*0.35))))))</f>
        <v/>
      </c>
      <c r="AR720" s="6">
        <f>SUM(AM720,AQ720,W720,X720,Y720,Z720,AA720,AN720,AO720)</f>
        <v/>
      </c>
      <c r="AS720" s="6">
        <f>AL720-AR720</f>
        <v/>
      </c>
      <c r="AT720" s="6">
        <f>AB720-AC720</f>
        <v/>
      </c>
    </row>
    <row r="721">
      <c r="A721" s="2" t="n"/>
      <c r="B721" s="3" t="n"/>
      <c r="C721" s="4" t="n"/>
      <c r="D721" s="5" t="n"/>
      <c r="E721" s="3" t="n"/>
      <c r="F721" s="4" t="n"/>
      <c r="G721" s="5" t="n"/>
      <c r="H721" s="3" t="n"/>
      <c r="I721" s="4" t="n"/>
      <c r="J721" s="5" t="n"/>
      <c r="K721" s="3" t="n"/>
      <c r="L721" s="4" t="n"/>
      <c r="M721" s="5" t="n"/>
      <c r="N721" s="3" t="n"/>
      <c r="O721" s="4" t="n"/>
      <c r="P721" s="5" t="n"/>
      <c r="Q721" s="3" t="n"/>
      <c r="R721" s="4" t="n"/>
      <c r="S721" s="5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6">
        <f>IF(C721=0,0,IF(E721="",B721*D721/100,E721))</f>
        <v/>
      </c>
      <c r="AE721" s="6">
        <f>IF(F721=0,0,IF(H721="",B721*G721/100,H721))</f>
        <v/>
      </c>
      <c r="AF721" s="6">
        <f>IF(I721=0,0,IF(K721="",B721*J721/100,K721))</f>
        <v/>
      </c>
      <c r="AG721" s="6">
        <f>IF(L721=0,0,IF(N721="",B721*M721/100,N721))</f>
        <v/>
      </c>
      <c r="AH721" s="6">
        <f>IF(O721=0,0,IF(Q721="",B721*P721/100,Q721))</f>
        <v/>
      </c>
      <c r="AI721" s="6">
        <f>IF(R721=0,0,IF(T721="",B721*S721/100,T721))</f>
        <v/>
      </c>
      <c r="AJ721" s="6">
        <f>B721*0.035</f>
        <v/>
      </c>
      <c r="AK721" s="6">
        <f>B721*0.065</f>
        <v/>
      </c>
      <c r="AL721" s="6">
        <f>SUM(B721,AD721,AE721,AF721,AG721,AH721,AI721,U721,V721,AJ721,AK721)</f>
        <v/>
      </c>
      <c r="AM721" s="6">
        <f>B721*0.055</f>
        <v/>
      </c>
      <c r="AN721" s="6">
        <f>B721*0.035</f>
        <v/>
      </c>
      <c r="AO721" s="6">
        <f>B721*0.165</f>
        <v/>
      </c>
      <c r="AP721" s="6">
        <f>MAX(0,AL721-AM721-AO721)</f>
        <v/>
      </c>
      <c r="AQ721" s="6">
        <f>IF(AP721&lt;=490,0,IF(AP721&lt;=600,(AP721-490)*0.05,IF(AP721&lt;=730,5.5+(AP721-600)*0.10,IF(AP721&lt;=3896.67,18.5+(AP721-730)*0.175,IF(AP721&lt;=19896.67,572.67+(AP721-3896.67)*0.25,IF(AP721&lt;=50416.67,4572.67+(AP721-19896.67)*0.30,13728.67+(AP721-50416.67)*0.35))))))</f>
        <v/>
      </c>
      <c r="AR721" s="6">
        <f>SUM(AM721,AQ721,W721,X721,Y721,Z721,AA721,AN721,AO721)</f>
        <v/>
      </c>
      <c r="AS721" s="6">
        <f>AL721-AR721</f>
        <v/>
      </c>
      <c r="AT721" s="6">
        <f>AB721-AC721</f>
        <v/>
      </c>
    </row>
    <row r="722">
      <c r="A722" s="2" t="n"/>
      <c r="B722" s="3" t="n"/>
      <c r="C722" s="4" t="n"/>
      <c r="D722" s="5" t="n"/>
      <c r="E722" s="3" t="n"/>
      <c r="F722" s="4" t="n"/>
      <c r="G722" s="5" t="n"/>
      <c r="H722" s="3" t="n"/>
      <c r="I722" s="4" t="n"/>
      <c r="J722" s="5" t="n"/>
      <c r="K722" s="3" t="n"/>
      <c r="L722" s="4" t="n"/>
      <c r="M722" s="5" t="n"/>
      <c r="N722" s="3" t="n"/>
      <c r="O722" s="4" t="n"/>
      <c r="P722" s="5" t="n"/>
      <c r="Q722" s="3" t="n"/>
      <c r="R722" s="4" t="n"/>
      <c r="S722" s="5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6">
        <f>IF(C722=0,0,IF(E722="",B722*D722/100,E722))</f>
        <v/>
      </c>
      <c r="AE722" s="6">
        <f>IF(F722=0,0,IF(H722="",B722*G722/100,H722))</f>
        <v/>
      </c>
      <c r="AF722" s="6">
        <f>IF(I722=0,0,IF(K722="",B722*J722/100,K722))</f>
        <v/>
      </c>
      <c r="AG722" s="6">
        <f>IF(L722=0,0,IF(N722="",B722*M722/100,N722))</f>
        <v/>
      </c>
      <c r="AH722" s="6">
        <f>IF(O722=0,0,IF(Q722="",B722*P722/100,Q722))</f>
        <v/>
      </c>
      <c r="AI722" s="6">
        <f>IF(R722=0,0,IF(T722="",B722*S722/100,T722))</f>
        <v/>
      </c>
      <c r="AJ722" s="6">
        <f>B722*0.035</f>
        <v/>
      </c>
      <c r="AK722" s="6">
        <f>B722*0.065</f>
        <v/>
      </c>
      <c r="AL722" s="6">
        <f>SUM(B722,AD722,AE722,AF722,AG722,AH722,AI722,U722,V722,AJ722,AK722)</f>
        <v/>
      </c>
      <c r="AM722" s="6">
        <f>B722*0.055</f>
        <v/>
      </c>
      <c r="AN722" s="6">
        <f>B722*0.035</f>
        <v/>
      </c>
      <c r="AO722" s="6">
        <f>B722*0.165</f>
        <v/>
      </c>
      <c r="AP722" s="6">
        <f>MAX(0,AL722-AM722-AO722)</f>
        <v/>
      </c>
      <c r="AQ722" s="6">
        <f>IF(AP722&lt;=490,0,IF(AP722&lt;=600,(AP722-490)*0.05,IF(AP722&lt;=730,5.5+(AP722-600)*0.10,IF(AP722&lt;=3896.67,18.5+(AP722-730)*0.175,IF(AP722&lt;=19896.67,572.67+(AP722-3896.67)*0.25,IF(AP722&lt;=50416.67,4572.67+(AP722-19896.67)*0.30,13728.67+(AP722-50416.67)*0.35))))))</f>
        <v/>
      </c>
      <c r="AR722" s="6">
        <f>SUM(AM722,AQ722,W722,X722,Y722,Z722,AA722,AN722,AO722)</f>
        <v/>
      </c>
      <c r="AS722" s="6">
        <f>AL722-AR722</f>
        <v/>
      </c>
      <c r="AT722" s="6">
        <f>AB722-AC722</f>
        <v/>
      </c>
    </row>
    <row r="723">
      <c r="A723" s="2" t="n"/>
      <c r="B723" s="3" t="n"/>
      <c r="C723" s="4" t="n"/>
      <c r="D723" s="5" t="n"/>
      <c r="E723" s="3" t="n"/>
      <c r="F723" s="4" t="n"/>
      <c r="G723" s="5" t="n"/>
      <c r="H723" s="3" t="n"/>
      <c r="I723" s="4" t="n"/>
      <c r="J723" s="5" t="n"/>
      <c r="K723" s="3" t="n"/>
      <c r="L723" s="4" t="n"/>
      <c r="M723" s="5" t="n"/>
      <c r="N723" s="3" t="n"/>
      <c r="O723" s="4" t="n"/>
      <c r="P723" s="5" t="n"/>
      <c r="Q723" s="3" t="n"/>
      <c r="R723" s="4" t="n"/>
      <c r="S723" s="5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6">
        <f>IF(C723=0,0,IF(E723="",B723*D723/100,E723))</f>
        <v/>
      </c>
      <c r="AE723" s="6">
        <f>IF(F723=0,0,IF(H723="",B723*G723/100,H723))</f>
        <v/>
      </c>
      <c r="AF723" s="6">
        <f>IF(I723=0,0,IF(K723="",B723*J723/100,K723))</f>
        <v/>
      </c>
      <c r="AG723" s="6">
        <f>IF(L723=0,0,IF(N723="",B723*M723/100,N723))</f>
        <v/>
      </c>
      <c r="AH723" s="6">
        <f>IF(O723=0,0,IF(Q723="",B723*P723/100,Q723))</f>
        <v/>
      </c>
      <c r="AI723" s="6">
        <f>IF(R723=0,0,IF(T723="",B723*S723/100,T723))</f>
        <v/>
      </c>
      <c r="AJ723" s="6">
        <f>B723*0.035</f>
        <v/>
      </c>
      <c r="AK723" s="6">
        <f>B723*0.065</f>
        <v/>
      </c>
      <c r="AL723" s="6">
        <f>SUM(B723,AD723,AE723,AF723,AG723,AH723,AI723,U723,V723,AJ723,AK723)</f>
        <v/>
      </c>
      <c r="AM723" s="6">
        <f>B723*0.055</f>
        <v/>
      </c>
      <c r="AN723" s="6">
        <f>B723*0.035</f>
        <v/>
      </c>
      <c r="AO723" s="6">
        <f>B723*0.165</f>
        <v/>
      </c>
      <c r="AP723" s="6">
        <f>MAX(0,AL723-AM723-AO723)</f>
        <v/>
      </c>
      <c r="AQ723" s="6">
        <f>IF(AP723&lt;=490,0,IF(AP723&lt;=600,(AP723-490)*0.05,IF(AP723&lt;=730,5.5+(AP723-600)*0.10,IF(AP723&lt;=3896.67,18.5+(AP723-730)*0.175,IF(AP723&lt;=19896.67,572.67+(AP723-3896.67)*0.25,IF(AP723&lt;=50416.67,4572.67+(AP723-19896.67)*0.30,13728.67+(AP723-50416.67)*0.35))))))</f>
        <v/>
      </c>
      <c r="AR723" s="6">
        <f>SUM(AM723,AQ723,W723,X723,Y723,Z723,AA723,AN723,AO723)</f>
        <v/>
      </c>
      <c r="AS723" s="6">
        <f>AL723-AR723</f>
        <v/>
      </c>
      <c r="AT723" s="6">
        <f>AB723-AC723</f>
        <v/>
      </c>
    </row>
    <row r="724">
      <c r="A724" s="2" t="n"/>
      <c r="B724" s="3" t="n"/>
      <c r="C724" s="4" t="n"/>
      <c r="D724" s="5" t="n"/>
      <c r="E724" s="3" t="n"/>
      <c r="F724" s="4" t="n"/>
      <c r="G724" s="5" t="n"/>
      <c r="H724" s="3" t="n"/>
      <c r="I724" s="4" t="n"/>
      <c r="J724" s="5" t="n"/>
      <c r="K724" s="3" t="n"/>
      <c r="L724" s="4" t="n"/>
      <c r="M724" s="5" t="n"/>
      <c r="N724" s="3" t="n"/>
      <c r="O724" s="4" t="n"/>
      <c r="P724" s="5" t="n"/>
      <c r="Q724" s="3" t="n"/>
      <c r="R724" s="4" t="n"/>
      <c r="S724" s="5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6">
        <f>IF(C724=0,0,IF(E724="",B724*D724/100,E724))</f>
        <v/>
      </c>
      <c r="AE724" s="6">
        <f>IF(F724=0,0,IF(H724="",B724*G724/100,H724))</f>
        <v/>
      </c>
      <c r="AF724" s="6">
        <f>IF(I724=0,0,IF(K724="",B724*J724/100,K724))</f>
        <v/>
      </c>
      <c r="AG724" s="6">
        <f>IF(L724=0,0,IF(N724="",B724*M724/100,N724))</f>
        <v/>
      </c>
      <c r="AH724" s="6">
        <f>IF(O724=0,0,IF(Q724="",B724*P724/100,Q724))</f>
        <v/>
      </c>
      <c r="AI724" s="6">
        <f>IF(R724=0,0,IF(T724="",B724*S724/100,T724))</f>
        <v/>
      </c>
      <c r="AJ724" s="6">
        <f>B724*0.035</f>
        <v/>
      </c>
      <c r="AK724" s="6">
        <f>B724*0.065</f>
        <v/>
      </c>
      <c r="AL724" s="6">
        <f>SUM(B724,AD724,AE724,AF724,AG724,AH724,AI724,U724,V724,AJ724,AK724)</f>
        <v/>
      </c>
      <c r="AM724" s="6">
        <f>B724*0.055</f>
        <v/>
      </c>
      <c r="AN724" s="6">
        <f>B724*0.035</f>
        <v/>
      </c>
      <c r="AO724" s="6">
        <f>B724*0.165</f>
        <v/>
      </c>
      <c r="AP724" s="6">
        <f>MAX(0,AL724-AM724-AO724)</f>
        <v/>
      </c>
      <c r="AQ724" s="6">
        <f>IF(AP724&lt;=490,0,IF(AP724&lt;=600,(AP724-490)*0.05,IF(AP724&lt;=730,5.5+(AP724-600)*0.10,IF(AP724&lt;=3896.67,18.5+(AP724-730)*0.175,IF(AP724&lt;=19896.67,572.67+(AP724-3896.67)*0.25,IF(AP724&lt;=50416.67,4572.67+(AP724-19896.67)*0.30,13728.67+(AP724-50416.67)*0.35))))))</f>
        <v/>
      </c>
      <c r="AR724" s="6">
        <f>SUM(AM724,AQ724,W724,X724,Y724,Z724,AA724,AN724,AO724)</f>
        <v/>
      </c>
      <c r="AS724" s="6">
        <f>AL724-AR724</f>
        <v/>
      </c>
      <c r="AT724" s="6">
        <f>AB724-AC724</f>
        <v/>
      </c>
    </row>
    <row r="725">
      <c r="A725" s="2" t="n"/>
      <c r="B725" s="3" t="n"/>
      <c r="C725" s="4" t="n"/>
      <c r="D725" s="5" t="n"/>
      <c r="E725" s="3" t="n"/>
      <c r="F725" s="4" t="n"/>
      <c r="G725" s="5" t="n"/>
      <c r="H725" s="3" t="n"/>
      <c r="I725" s="4" t="n"/>
      <c r="J725" s="5" t="n"/>
      <c r="K725" s="3" t="n"/>
      <c r="L725" s="4" t="n"/>
      <c r="M725" s="5" t="n"/>
      <c r="N725" s="3" t="n"/>
      <c r="O725" s="4" t="n"/>
      <c r="P725" s="5" t="n"/>
      <c r="Q725" s="3" t="n"/>
      <c r="R725" s="4" t="n"/>
      <c r="S725" s="5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6">
        <f>IF(C725=0,0,IF(E725="",B725*D725/100,E725))</f>
        <v/>
      </c>
      <c r="AE725" s="6">
        <f>IF(F725=0,0,IF(H725="",B725*G725/100,H725))</f>
        <v/>
      </c>
      <c r="AF725" s="6">
        <f>IF(I725=0,0,IF(K725="",B725*J725/100,K725))</f>
        <v/>
      </c>
      <c r="AG725" s="6">
        <f>IF(L725=0,0,IF(N725="",B725*M725/100,N725))</f>
        <v/>
      </c>
      <c r="AH725" s="6">
        <f>IF(O725=0,0,IF(Q725="",B725*P725/100,Q725))</f>
        <v/>
      </c>
      <c r="AI725" s="6">
        <f>IF(R725=0,0,IF(T725="",B725*S725/100,T725))</f>
        <v/>
      </c>
      <c r="AJ725" s="6">
        <f>B725*0.035</f>
        <v/>
      </c>
      <c r="AK725" s="6">
        <f>B725*0.065</f>
        <v/>
      </c>
      <c r="AL725" s="6">
        <f>SUM(B725,AD725,AE725,AF725,AG725,AH725,AI725,U725,V725,AJ725,AK725)</f>
        <v/>
      </c>
      <c r="AM725" s="6">
        <f>B725*0.055</f>
        <v/>
      </c>
      <c r="AN725" s="6">
        <f>B725*0.035</f>
        <v/>
      </c>
      <c r="AO725" s="6">
        <f>B725*0.165</f>
        <v/>
      </c>
      <c r="AP725" s="6">
        <f>MAX(0,AL725-AM725-AO725)</f>
        <v/>
      </c>
      <c r="AQ725" s="6">
        <f>IF(AP725&lt;=490,0,IF(AP725&lt;=600,(AP725-490)*0.05,IF(AP725&lt;=730,5.5+(AP725-600)*0.10,IF(AP725&lt;=3896.67,18.5+(AP725-730)*0.175,IF(AP725&lt;=19896.67,572.67+(AP725-3896.67)*0.25,IF(AP725&lt;=50416.67,4572.67+(AP725-19896.67)*0.30,13728.67+(AP725-50416.67)*0.35))))))</f>
        <v/>
      </c>
      <c r="AR725" s="6">
        <f>SUM(AM725,AQ725,W725,X725,Y725,Z725,AA725,AN725,AO725)</f>
        <v/>
      </c>
      <c r="AS725" s="6">
        <f>AL725-AR725</f>
        <v/>
      </c>
      <c r="AT725" s="6">
        <f>AB725-AC725</f>
        <v/>
      </c>
    </row>
    <row r="726">
      <c r="A726" s="2" t="n"/>
      <c r="B726" s="3" t="n"/>
      <c r="C726" s="4" t="n"/>
      <c r="D726" s="5" t="n"/>
      <c r="E726" s="3" t="n"/>
      <c r="F726" s="4" t="n"/>
      <c r="G726" s="5" t="n"/>
      <c r="H726" s="3" t="n"/>
      <c r="I726" s="4" t="n"/>
      <c r="J726" s="5" t="n"/>
      <c r="K726" s="3" t="n"/>
      <c r="L726" s="4" t="n"/>
      <c r="M726" s="5" t="n"/>
      <c r="N726" s="3" t="n"/>
      <c r="O726" s="4" t="n"/>
      <c r="P726" s="5" t="n"/>
      <c r="Q726" s="3" t="n"/>
      <c r="R726" s="4" t="n"/>
      <c r="S726" s="5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6">
        <f>IF(C726=0,0,IF(E726="",B726*D726/100,E726))</f>
        <v/>
      </c>
      <c r="AE726" s="6">
        <f>IF(F726=0,0,IF(H726="",B726*G726/100,H726))</f>
        <v/>
      </c>
      <c r="AF726" s="6">
        <f>IF(I726=0,0,IF(K726="",B726*J726/100,K726))</f>
        <v/>
      </c>
      <c r="AG726" s="6">
        <f>IF(L726=0,0,IF(N726="",B726*M726/100,N726))</f>
        <v/>
      </c>
      <c r="AH726" s="6">
        <f>IF(O726=0,0,IF(Q726="",B726*P726/100,Q726))</f>
        <v/>
      </c>
      <c r="AI726" s="6">
        <f>IF(R726=0,0,IF(T726="",B726*S726/100,T726))</f>
        <v/>
      </c>
      <c r="AJ726" s="6">
        <f>B726*0.035</f>
        <v/>
      </c>
      <c r="AK726" s="6">
        <f>B726*0.065</f>
        <v/>
      </c>
      <c r="AL726" s="6">
        <f>SUM(B726,AD726,AE726,AF726,AG726,AH726,AI726,U726,V726,AJ726,AK726)</f>
        <v/>
      </c>
      <c r="AM726" s="6">
        <f>B726*0.055</f>
        <v/>
      </c>
      <c r="AN726" s="6">
        <f>B726*0.035</f>
        <v/>
      </c>
      <c r="AO726" s="6">
        <f>B726*0.165</f>
        <v/>
      </c>
      <c r="AP726" s="6">
        <f>MAX(0,AL726-AM726-AO726)</f>
        <v/>
      </c>
      <c r="AQ726" s="6">
        <f>IF(AP726&lt;=490,0,IF(AP726&lt;=600,(AP726-490)*0.05,IF(AP726&lt;=730,5.5+(AP726-600)*0.10,IF(AP726&lt;=3896.67,18.5+(AP726-730)*0.175,IF(AP726&lt;=19896.67,572.67+(AP726-3896.67)*0.25,IF(AP726&lt;=50416.67,4572.67+(AP726-19896.67)*0.30,13728.67+(AP726-50416.67)*0.35))))))</f>
        <v/>
      </c>
      <c r="AR726" s="6">
        <f>SUM(AM726,AQ726,W726,X726,Y726,Z726,AA726,AN726,AO726)</f>
        <v/>
      </c>
      <c r="AS726" s="6">
        <f>AL726-AR726</f>
        <v/>
      </c>
      <c r="AT726" s="6">
        <f>AB726-AC726</f>
        <v/>
      </c>
    </row>
    <row r="727">
      <c r="A727" s="2" t="n"/>
      <c r="B727" s="3" t="n"/>
      <c r="C727" s="4" t="n"/>
      <c r="D727" s="5" t="n"/>
      <c r="E727" s="3" t="n"/>
      <c r="F727" s="4" t="n"/>
      <c r="G727" s="5" t="n"/>
      <c r="H727" s="3" t="n"/>
      <c r="I727" s="4" t="n"/>
      <c r="J727" s="5" t="n"/>
      <c r="K727" s="3" t="n"/>
      <c r="L727" s="4" t="n"/>
      <c r="M727" s="5" t="n"/>
      <c r="N727" s="3" t="n"/>
      <c r="O727" s="4" t="n"/>
      <c r="P727" s="5" t="n"/>
      <c r="Q727" s="3" t="n"/>
      <c r="R727" s="4" t="n"/>
      <c r="S727" s="5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6">
        <f>IF(C727=0,0,IF(E727="",B727*D727/100,E727))</f>
        <v/>
      </c>
      <c r="AE727" s="6">
        <f>IF(F727=0,0,IF(H727="",B727*G727/100,H727))</f>
        <v/>
      </c>
      <c r="AF727" s="6">
        <f>IF(I727=0,0,IF(K727="",B727*J727/100,K727))</f>
        <v/>
      </c>
      <c r="AG727" s="6">
        <f>IF(L727=0,0,IF(N727="",B727*M727/100,N727))</f>
        <v/>
      </c>
      <c r="AH727" s="6">
        <f>IF(O727=0,0,IF(Q727="",B727*P727/100,Q727))</f>
        <v/>
      </c>
      <c r="AI727" s="6">
        <f>IF(R727=0,0,IF(T727="",B727*S727/100,T727))</f>
        <v/>
      </c>
      <c r="AJ727" s="6">
        <f>B727*0.035</f>
        <v/>
      </c>
      <c r="AK727" s="6">
        <f>B727*0.065</f>
        <v/>
      </c>
      <c r="AL727" s="6">
        <f>SUM(B727,AD727,AE727,AF727,AG727,AH727,AI727,U727,V727,AJ727,AK727)</f>
        <v/>
      </c>
      <c r="AM727" s="6">
        <f>B727*0.055</f>
        <v/>
      </c>
      <c r="AN727" s="6">
        <f>B727*0.035</f>
        <v/>
      </c>
      <c r="AO727" s="6">
        <f>B727*0.165</f>
        <v/>
      </c>
      <c r="AP727" s="6">
        <f>MAX(0,AL727-AM727-AO727)</f>
        <v/>
      </c>
      <c r="AQ727" s="6">
        <f>IF(AP727&lt;=490,0,IF(AP727&lt;=600,(AP727-490)*0.05,IF(AP727&lt;=730,5.5+(AP727-600)*0.10,IF(AP727&lt;=3896.67,18.5+(AP727-730)*0.175,IF(AP727&lt;=19896.67,572.67+(AP727-3896.67)*0.25,IF(AP727&lt;=50416.67,4572.67+(AP727-19896.67)*0.30,13728.67+(AP727-50416.67)*0.35))))))</f>
        <v/>
      </c>
      <c r="AR727" s="6">
        <f>SUM(AM727,AQ727,W727,X727,Y727,Z727,AA727,AN727,AO727)</f>
        <v/>
      </c>
      <c r="AS727" s="6">
        <f>AL727-AR727</f>
        <v/>
      </c>
      <c r="AT727" s="6">
        <f>AB727-AC727</f>
        <v/>
      </c>
    </row>
    <row r="728">
      <c r="A728" s="2" t="n"/>
      <c r="B728" s="3" t="n"/>
      <c r="C728" s="4" t="n"/>
      <c r="D728" s="5" t="n"/>
      <c r="E728" s="3" t="n"/>
      <c r="F728" s="4" t="n"/>
      <c r="G728" s="5" t="n"/>
      <c r="H728" s="3" t="n"/>
      <c r="I728" s="4" t="n"/>
      <c r="J728" s="5" t="n"/>
      <c r="K728" s="3" t="n"/>
      <c r="L728" s="4" t="n"/>
      <c r="M728" s="5" t="n"/>
      <c r="N728" s="3" t="n"/>
      <c r="O728" s="4" t="n"/>
      <c r="P728" s="5" t="n"/>
      <c r="Q728" s="3" t="n"/>
      <c r="R728" s="4" t="n"/>
      <c r="S728" s="5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6">
        <f>IF(C728=0,0,IF(E728="",B728*D728/100,E728))</f>
        <v/>
      </c>
      <c r="AE728" s="6">
        <f>IF(F728=0,0,IF(H728="",B728*G728/100,H728))</f>
        <v/>
      </c>
      <c r="AF728" s="6">
        <f>IF(I728=0,0,IF(K728="",B728*J728/100,K728))</f>
        <v/>
      </c>
      <c r="AG728" s="6">
        <f>IF(L728=0,0,IF(N728="",B728*M728/100,N728))</f>
        <v/>
      </c>
      <c r="AH728" s="6">
        <f>IF(O728=0,0,IF(Q728="",B728*P728/100,Q728))</f>
        <v/>
      </c>
      <c r="AI728" s="6">
        <f>IF(R728=0,0,IF(T728="",B728*S728/100,T728))</f>
        <v/>
      </c>
      <c r="AJ728" s="6">
        <f>B728*0.035</f>
        <v/>
      </c>
      <c r="AK728" s="6">
        <f>B728*0.065</f>
        <v/>
      </c>
      <c r="AL728" s="6">
        <f>SUM(B728,AD728,AE728,AF728,AG728,AH728,AI728,U728,V728,AJ728,AK728)</f>
        <v/>
      </c>
      <c r="AM728" s="6">
        <f>B728*0.055</f>
        <v/>
      </c>
      <c r="AN728" s="6">
        <f>B728*0.035</f>
        <v/>
      </c>
      <c r="AO728" s="6">
        <f>B728*0.165</f>
        <v/>
      </c>
      <c r="AP728" s="6">
        <f>MAX(0,AL728-AM728-AO728)</f>
        <v/>
      </c>
      <c r="AQ728" s="6">
        <f>IF(AP728&lt;=490,0,IF(AP728&lt;=600,(AP728-490)*0.05,IF(AP728&lt;=730,5.5+(AP728-600)*0.10,IF(AP728&lt;=3896.67,18.5+(AP728-730)*0.175,IF(AP728&lt;=19896.67,572.67+(AP728-3896.67)*0.25,IF(AP728&lt;=50416.67,4572.67+(AP728-19896.67)*0.30,13728.67+(AP728-50416.67)*0.35))))))</f>
        <v/>
      </c>
      <c r="AR728" s="6">
        <f>SUM(AM728,AQ728,W728,X728,Y728,Z728,AA728,AN728,AO728)</f>
        <v/>
      </c>
      <c r="AS728" s="6">
        <f>AL728-AR728</f>
        <v/>
      </c>
      <c r="AT728" s="6">
        <f>AB728-AC728</f>
        <v/>
      </c>
    </row>
    <row r="729">
      <c r="A729" s="2" t="n"/>
      <c r="B729" s="3" t="n"/>
      <c r="C729" s="4" t="n"/>
      <c r="D729" s="5" t="n"/>
      <c r="E729" s="3" t="n"/>
      <c r="F729" s="4" t="n"/>
      <c r="G729" s="5" t="n"/>
      <c r="H729" s="3" t="n"/>
      <c r="I729" s="4" t="n"/>
      <c r="J729" s="5" t="n"/>
      <c r="K729" s="3" t="n"/>
      <c r="L729" s="4" t="n"/>
      <c r="M729" s="5" t="n"/>
      <c r="N729" s="3" t="n"/>
      <c r="O729" s="4" t="n"/>
      <c r="P729" s="5" t="n"/>
      <c r="Q729" s="3" t="n"/>
      <c r="R729" s="4" t="n"/>
      <c r="S729" s="5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6">
        <f>IF(C729=0,0,IF(E729="",B729*D729/100,E729))</f>
        <v/>
      </c>
      <c r="AE729" s="6">
        <f>IF(F729=0,0,IF(H729="",B729*G729/100,H729))</f>
        <v/>
      </c>
      <c r="AF729" s="6">
        <f>IF(I729=0,0,IF(K729="",B729*J729/100,K729))</f>
        <v/>
      </c>
      <c r="AG729" s="6">
        <f>IF(L729=0,0,IF(N729="",B729*M729/100,N729))</f>
        <v/>
      </c>
      <c r="AH729" s="6">
        <f>IF(O729=0,0,IF(Q729="",B729*P729/100,Q729))</f>
        <v/>
      </c>
      <c r="AI729" s="6">
        <f>IF(R729=0,0,IF(T729="",B729*S729/100,T729))</f>
        <v/>
      </c>
      <c r="AJ729" s="6">
        <f>B729*0.035</f>
        <v/>
      </c>
      <c r="AK729" s="6">
        <f>B729*0.065</f>
        <v/>
      </c>
      <c r="AL729" s="6">
        <f>SUM(B729,AD729,AE729,AF729,AG729,AH729,AI729,U729,V729,AJ729,AK729)</f>
        <v/>
      </c>
      <c r="AM729" s="6">
        <f>B729*0.055</f>
        <v/>
      </c>
      <c r="AN729" s="6">
        <f>B729*0.035</f>
        <v/>
      </c>
      <c r="AO729" s="6">
        <f>B729*0.165</f>
        <v/>
      </c>
      <c r="AP729" s="6">
        <f>MAX(0,AL729-AM729-AO729)</f>
        <v/>
      </c>
      <c r="AQ729" s="6">
        <f>IF(AP729&lt;=490,0,IF(AP729&lt;=600,(AP729-490)*0.05,IF(AP729&lt;=730,5.5+(AP729-600)*0.10,IF(AP729&lt;=3896.67,18.5+(AP729-730)*0.175,IF(AP729&lt;=19896.67,572.67+(AP729-3896.67)*0.25,IF(AP729&lt;=50416.67,4572.67+(AP729-19896.67)*0.30,13728.67+(AP729-50416.67)*0.35))))))</f>
        <v/>
      </c>
      <c r="AR729" s="6">
        <f>SUM(AM729,AQ729,W729,X729,Y729,Z729,AA729,AN729,AO729)</f>
        <v/>
      </c>
      <c r="AS729" s="6">
        <f>AL729-AR729</f>
        <v/>
      </c>
      <c r="AT729" s="6">
        <f>AB729-AC729</f>
        <v/>
      </c>
    </row>
    <row r="730">
      <c r="A730" s="2" t="n"/>
      <c r="B730" s="3" t="n"/>
      <c r="C730" s="4" t="n"/>
      <c r="D730" s="5" t="n"/>
      <c r="E730" s="3" t="n"/>
      <c r="F730" s="4" t="n"/>
      <c r="G730" s="5" t="n"/>
      <c r="H730" s="3" t="n"/>
      <c r="I730" s="4" t="n"/>
      <c r="J730" s="5" t="n"/>
      <c r="K730" s="3" t="n"/>
      <c r="L730" s="4" t="n"/>
      <c r="M730" s="5" t="n"/>
      <c r="N730" s="3" t="n"/>
      <c r="O730" s="4" t="n"/>
      <c r="P730" s="5" t="n"/>
      <c r="Q730" s="3" t="n"/>
      <c r="R730" s="4" t="n"/>
      <c r="S730" s="5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6">
        <f>IF(C730=0,0,IF(E730="",B730*D730/100,E730))</f>
        <v/>
      </c>
      <c r="AE730" s="6">
        <f>IF(F730=0,0,IF(H730="",B730*G730/100,H730))</f>
        <v/>
      </c>
      <c r="AF730" s="6">
        <f>IF(I730=0,0,IF(K730="",B730*J730/100,K730))</f>
        <v/>
      </c>
      <c r="AG730" s="6">
        <f>IF(L730=0,0,IF(N730="",B730*M730/100,N730))</f>
        <v/>
      </c>
      <c r="AH730" s="6">
        <f>IF(O730=0,0,IF(Q730="",B730*P730/100,Q730))</f>
        <v/>
      </c>
      <c r="AI730" s="6">
        <f>IF(R730=0,0,IF(T730="",B730*S730/100,T730))</f>
        <v/>
      </c>
      <c r="AJ730" s="6">
        <f>B730*0.035</f>
        <v/>
      </c>
      <c r="AK730" s="6">
        <f>B730*0.065</f>
        <v/>
      </c>
      <c r="AL730" s="6">
        <f>SUM(B730,AD730,AE730,AF730,AG730,AH730,AI730,U730,V730,AJ730,AK730)</f>
        <v/>
      </c>
      <c r="AM730" s="6">
        <f>B730*0.055</f>
        <v/>
      </c>
      <c r="AN730" s="6">
        <f>B730*0.035</f>
        <v/>
      </c>
      <c r="AO730" s="6">
        <f>B730*0.165</f>
        <v/>
      </c>
      <c r="AP730" s="6">
        <f>MAX(0,AL730-AM730-AO730)</f>
        <v/>
      </c>
      <c r="AQ730" s="6">
        <f>IF(AP730&lt;=490,0,IF(AP730&lt;=600,(AP730-490)*0.05,IF(AP730&lt;=730,5.5+(AP730-600)*0.10,IF(AP730&lt;=3896.67,18.5+(AP730-730)*0.175,IF(AP730&lt;=19896.67,572.67+(AP730-3896.67)*0.25,IF(AP730&lt;=50416.67,4572.67+(AP730-19896.67)*0.30,13728.67+(AP730-50416.67)*0.35))))))</f>
        <v/>
      </c>
      <c r="AR730" s="6">
        <f>SUM(AM730,AQ730,W730,X730,Y730,Z730,AA730,AN730,AO730)</f>
        <v/>
      </c>
      <c r="AS730" s="6">
        <f>AL730-AR730</f>
        <v/>
      </c>
      <c r="AT730" s="6">
        <f>AB730-AC730</f>
        <v/>
      </c>
    </row>
    <row r="731">
      <c r="A731" s="2" t="n"/>
      <c r="B731" s="3" t="n"/>
      <c r="C731" s="4" t="n"/>
      <c r="D731" s="5" t="n"/>
      <c r="E731" s="3" t="n"/>
      <c r="F731" s="4" t="n"/>
      <c r="G731" s="5" t="n"/>
      <c r="H731" s="3" t="n"/>
      <c r="I731" s="4" t="n"/>
      <c r="J731" s="5" t="n"/>
      <c r="K731" s="3" t="n"/>
      <c r="L731" s="4" t="n"/>
      <c r="M731" s="5" t="n"/>
      <c r="N731" s="3" t="n"/>
      <c r="O731" s="4" t="n"/>
      <c r="P731" s="5" t="n"/>
      <c r="Q731" s="3" t="n"/>
      <c r="R731" s="4" t="n"/>
      <c r="S731" s="5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6">
        <f>IF(C731=0,0,IF(E731="",B731*D731/100,E731))</f>
        <v/>
      </c>
      <c r="AE731" s="6">
        <f>IF(F731=0,0,IF(H731="",B731*G731/100,H731))</f>
        <v/>
      </c>
      <c r="AF731" s="6">
        <f>IF(I731=0,0,IF(K731="",B731*J731/100,K731))</f>
        <v/>
      </c>
      <c r="AG731" s="6">
        <f>IF(L731=0,0,IF(N731="",B731*M731/100,N731))</f>
        <v/>
      </c>
      <c r="AH731" s="6">
        <f>IF(O731=0,0,IF(Q731="",B731*P731/100,Q731))</f>
        <v/>
      </c>
      <c r="AI731" s="6">
        <f>IF(R731=0,0,IF(T731="",B731*S731/100,T731))</f>
        <v/>
      </c>
      <c r="AJ731" s="6">
        <f>B731*0.035</f>
        <v/>
      </c>
      <c r="AK731" s="6">
        <f>B731*0.065</f>
        <v/>
      </c>
      <c r="AL731" s="6">
        <f>SUM(B731,AD731,AE731,AF731,AG731,AH731,AI731,U731,V731,AJ731,AK731)</f>
        <v/>
      </c>
      <c r="AM731" s="6">
        <f>B731*0.055</f>
        <v/>
      </c>
      <c r="AN731" s="6">
        <f>B731*0.035</f>
        <v/>
      </c>
      <c r="AO731" s="6">
        <f>B731*0.165</f>
        <v/>
      </c>
      <c r="AP731" s="6">
        <f>MAX(0,AL731-AM731-AO731)</f>
        <v/>
      </c>
      <c r="AQ731" s="6">
        <f>IF(AP731&lt;=490,0,IF(AP731&lt;=600,(AP731-490)*0.05,IF(AP731&lt;=730,5.5+(AP731-600)*0.10,IF(AP731&lt;=3896.67,18.5+(AP731-730)*0.175,IF(AP731&lt;=19896.67,572.67+(AP731-3896.67)*0.25,IF(AP731&lt;=50416.67,4572.67+(AP731-19896.67)*0.30,13728.67+(AP731-50416.67)*0.35))))))</f>
        <v/>
      </c>
      <c r="AR731" s="6">
        <f>SUM(AM731,AQ731,W731,X731,Y731,Z731,AA731,AN731,AO731)</f>
        <v/>
      </c>
      <c r="AS731" s="6">
        <f>AL731-AR731</f>
        <v/>
      </c>
      <c r="AT731" s="6">
        <f>AB731-AC731</f>
        <v/>
      </c>
    </row>
    <row r="732">
      <c r="A732" s="2" t="n"/>
      <c r="B732" s="3" t="n"/>
      <c r="C732" s="4" t="n"/>
      <c r="D732" s="5" t="n"/>
      <c r="E732" s="3" t="n"/>
      <c r="F732" s="4" t="n"/>
      <c r="G732" s="5" t="n"/>
      <c r="H732" s="3" t="n"/>
      <c r="I732" s="4" t="n"/>
      <c r="J732" s="5" t="n"/>
      <c r="K732" s="3" t="n"/>
      <c r="L732" s="4" t="n"/>
      <c r="M732" s="5" t="n"/>
      <c r="N732" s="3" t="n"/>
      <c r="O732" s="4" t="n"/>
      <c r="P732" s="5" t="n"/>
      <c r="Q732" s="3" t="n"/>
      <c r="R732" s="4" t="n"/>
      <c r="S732" s="5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6">
        <f>IF(C732=0,0,IF(E732="",B732*D732/100,E732))</f>
        <v/>
      </c>
      <c r="AE732" s="6">
        <f>IF(F732=0,0,IF(H732="",B732*G732/100,H732))</f>
        <v/>
      </c>
      <c r="AF732" s="6">
        <f>IF(I732=0,0,IF(K732="",B732*J732/100,K732))</f>
        <v/>
      </c>
      <c r="AG732" s="6">
        <f>IF(L732=0,0,IF(N732="",B732*M732/100,N732))</f>
        <v/>
      </c>
      <c r="AH732" s="6">
        <f>IF(O732=0,0,IF(Q732="",B732*P732/100,Q732))</f>
        <v/>
      </c>
      <c r="AI732" s="6">
        <f>IF(R732=0,0,IF(T732="",B732*S732/100,T732))</f>
        <v/>
      </c>
      <c r="AJ732" s="6">
        <f>B732*0.035</f>
        <v/>
      </c>
      <c r="AK732" s="6">
        <f>B732*0.065</f>
        <v/>
      </c>
      <c r="AL732" s="6">
        <f>SUM(B732,AD732,AE732,AF732,AG732,AH732,AI732,U732,V732,AJ732,AK732)</f>
        <v/>
      </c>
      <c r="AM732" s="6">
        <f>B732*0.055</f>
        <v/>
      </c>
      <c r="AN732" s="6">
        <f>B732*0.035</f>
        <v/>
      </c>
      <c r="AO732" s="6">
        <f>B732*0.165</f>
        <v/>
      </c>
      <c r="AP732" s="6">
        <f>MAX(0,AL732-AM732-AO732)</f>
        <v/>
      </c>
      <c r="AQ732" s="6">
        <f>IF(AP732&lt;=490,0,IF(AP732&lt;=600,(AP732-490)*0.05,IF(AP732&lt;=730,5.5+(AP732-600)*0.10,IF(AP732&lt;=3896.67,18.5+(AP732-730)*0.175,IF(AP732&lt;=19896.67,572.67+(AP732-3896.67)*0.25,IF(AP732&lt;=50416.67,4572.67+(AP732-19896.67)*0.30,13728.67+(AP732-50416.67)*0.35))))))</f>
        <v/>
      </c>
      <c r="AR732" s="6">
        <f>SUM(AM732,AQ732,W732,X732,Y732,Z732,AA732,AN732,AO732)</f>
        <v/>
      </c>
      <c r="AS732" s="6">
        <f>AL732-AR732</f>
        <v/>
      </c>
      <c r="AT732" s="6">
        <f>AB732-AC732</f>
        <v/>
      </c>
    </row>
    <row r="733">
      <c r="A733" s="2" t="n"/>
      <c r="B733" s="3" t="n"/>
      <c r="C733" s="4" t="n"/>
      <c r="D733" s="5" t="n"/>
      <c r="E733" s="3" t="n"/>
      <c r="F733" s="4" t="n"/>
      <c r="G733" s="5" t="n"/>
      <c r="H733" s="3" t="n"/>
      <c r="I733" s="4" t="n"/>
      <c r="J733" s="5" t="n"/>
      <c r="K733" s="3" t="n"/>
      <c r="L733" s="4" t="n"/>
      <c r="M733" s="5" t="n"/>
      <c r="N733" s="3" t="n"/>
      <c r="O733" s="4" t="n"/>
      <c r="P733" s="5" t="n"/>
      <c r="Q733" s="3" t="n"/>
      <c r="R733" s="4" t="n"/>
      <c r="S733" s="5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6">
        <f>IF(C733=0,0,IF(E733="",B733*D733/100,E733))</f>
        <v/>
      </c>
      <c r="AE733" s="6">
        <f>IF(F733=0,0,IF(H733="",B733*G733/100,H733))</f>
        <v/>
      </c>
      <c r="AF733" s="6">
        <f>IF(I733=0,0,IF(K733="",B733*J733/100,K733))</f>
        <v/>
      </c>
      <c r="AG733" s="6">
        <f>IF(L733=0,0,IF(N733="",B733*M733/100,N733))</f>
        <v/>
      </c>
      <c r="AH733" s="6">
        <f>IF(O733=0,0,IF(Q733="",B733*P733/100,Q733))</f>
        <v/>
      </c>
      <c r="AI733" s="6">
        <f>IF(R733=0,0,IF(T733="",B733*S733/100,T733))</f>
        <v/>
      </c>
      <c r="AJ733" s="6">
        <f>B733*0.035</f>
        <v/>
      </c>
      <c r="AK733" s="6">
        <f>B733*0.065</f>
        <v/>
      </c>
      <c r="AL733" s="6">
        <f>SUM(B733,AD733,AE733,AF733,AG733,AH733,AI733,U733,V733,AJ733,AK733)</f>
        <v/>
      </c>
      <c r="AM733" s="6">
        <f>B733*0.055</f>
        <v/>
      </c>
      <c r="AN733" s="6">
        <f>B733*0.035</f>
        <v/>
      </c>
      <c r="AO733" s="6">
        <f>B733*0.165</f>
        <v/>
      </c>
      <c r="AP733" s="6">
        <f>MAX(0,AL733-AM733-AO733)</f>
        <v/>
      </c>
      <c r="AQ733" s="6">
        <f>IF(AP733&lt;=490,0,IF(AP733&lt;=600,(AP733-490)*0.05,IF(AP733&lt;=730,5.5+(AP733-600)*0.10,IF(AP733&lt;=3896.67,18.5+(AP733-730)*0.175,IF(AP733&lt;=19896.67,572.67+(AP733-3896.67)*0.25,IF(AP733&lt;=50416.67,4572.67+(AP733-19896.67)*0.30,13728.67+(AP733-50416.67)*0.35))))))</f>
        <v/>
      </c>
      <c r="AR733" s="6">
        <f>SUM(AM733,AQ733,W733,X733,Y733,Z733,AA733,AN733,AO733)</f>
        <v/>
      </c>
      <c r="AS733" s="6">
        <f>AL733-AR733</f>
        <v/>
      </c>
      <c r="AT733" s="6">
        <f>AB733-AC733</f>
        <v/>
      </c>
    </row>
    <row r="734">
      <c r="A734" s="2" t="n"/>
      <c r="B734" s="3" t="n"/>
      <c r="C734" s="4" t="n"/>
      <c r="D734" s="5" t="n"/>
      <c r="E734" s="3" t="n"/>
      <c r="F734" s="4" t="n"/>
      <c r="G734" s="5" t="n"/>
      <c r="H734" s="3" t="n"/>
      <c r="I734" s="4" t="n"/>
      <c r="J734" s="5" t="n"/>
      <c r="K734" s="3" t="n"/>
      <c r="L734" s="4" t="n"/>
      <c r="M734" s="5" t="n"/>
      <c r="N734" s="3" t="n"/>
      <c r="O734" s="4" t="n"/>
      <c r="P734" s="5" t="n"/>
      <c r="Q734" s="3" t="n"/>
      <c r="R734" s="4" t="n"/>
      <c r="S734" s="5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6">
        <f>IF(C734=0,0,IF(E734="",B734*D734/100,E734))</f>
        <v/>
      </c>
      <c r="AE734" s="6">
        <f>IF(F734=0,0,IF(H734="",B734*G734/100,H734))</f>
        <v/>
      </c>
      <c r="AF734" s="6">
        <f>IF(I734=0,0,IF(K734="",B734*J734/100,K734))</f>
        <v/>
      </c>
      <c r="AG734" s="6">
        <f>IF(L734=0,0,IF(N734="",B734*M734/100,N734))</f>
        <v/>
      </c>
      <c r="AH734" s="6">
        <f>IF(O734=0,0,IF(Q734="",B734*P734/100,Q734))</f>
        <v/>
      </c>
      <c r="AI734" s="6">
        <f>IF(R734=0,0,IF(T734="",B734*S734/100,T734))</f>
        <v/>
      </c>
      <c r="AJ734" s="6">
        <f>B734*0.035</f>
        <v/>
      </c>
      <c r="AK734" s="6">
        <f>B734*0.065</f>
        <v/>
      </c>
      <c r="AL734" s="6">
        <f>SUM(B734,AD734,AE734,AF734,AG734,AH734,AI734,U734,V734,AJ734,AK734)</f>
        <v/>
      </c>
      <c r="AM734" s="6">
        <f>B734*0.055</f>
        <v/>
      </c>
      <c r="AN734" s="6">
        <f>B734*0.035</f>
        <v/>
      </c>
      <c r="AO734" s="6">
        <f>B734*0.165</f>
        <v/>
      </c>
      <c r="AP734" s="6">
        <f>MAX(0,AL734-AM734-AO734)</f>
        <v/>
      </c>
      <c r="AQ734" s="6">
        <f>IF(AP734&lt;=490,0,IF(AP734&lt;=600,(AP734-490)*0.05,IF(AP734&lt;=730,5.5+(AP734-600)*0.10,IF(AP734&lt;=3896.67,18.5+(AP734-730)*0.175,IF(AP734&lt;=19896.67,572.67+(AP734-3896.67)*0.25,IF(AP734&lt;=50416.67,4572.67+(AP734-19896.67)*0.30,13728.67+(AP734-50416.67)*0.35))))))</f>
        <v/>
      </c>
      <c r="AR734" s="6">
        <f>SUM(AM734,AQ734,W734,X734,Y734,Z734,AA734,AN734,AO734)</f>
        <v/>
      </c>
      <c r="AS734" s="6">
        <f>AL734-AR734</f>
        <v/>
      </c>
      <c r="AT734" s="6">
        <f>AB734-AC734</f>
        <v/>
      </c>
    </row>
    <row r="735">
      <c r="A735" s="2" t="n"/>
      <c r="B735" s="3" t="n"/>
      <c r="C735" s="4" t="n"/>
      <c r="D735" s="5" t="n"/>
      <c r="E735" s="3" t="n"/>
      <c r="F735" s="4" t="n"/>
      <c r="G735" s="5" t="n"/>
      <c r="H735" s="3" t="n"/>
      <c r="I735" s="4" t="n"/>
      <c r="J735" s="5" t="n"/>
      <c r="K735" s="3" t="n"/>
      <c r="L735" s="4" t="n"/>
      <c r="M735" s="5" t="n"/>
      <c r="N735" s="3" t="n"/>
      <c r="O735" s="4" t="n"/>
      <c r="P735" s="5" t="n"/>
      <c r="Q735" s="3" t="n"/>
      <c r="R735" s="4" t="n"/>
      <c r="S735" s="5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6">
        <f>IF(C735=0,0,IF(E735="",B735*D735/100,E735))</f>
        <v/>
      </c>
      <c r="AE735" s="6">
        <f>IF(F735=0,0,IF(H735="",B735*G735/100,H735))</f>
        <v/>
      </c>
      <c r="AF735" s="6">
        <f>IF(I735=0,0,IF(K735="",B735*J735/100,K735))</f>
        <v/>
      </c>
      <c r="AG735" s="6">
        <f>IF(L735=0,0,IF(N735="",B735*M735/100,N735))</f>
        <v/>
      </c>
      <c r="AH735" s="6">
        <f>IF(O735=0,0,IF(Q735="",B735*P735/100,Q735))</f>
        <v/>
      </c>
      <c r="AI735" s="6">
        <f>IF(R735=0,0,IF(T735="",B735*S735/100,T735))</f>
        <v/>
      </c>
      <c r="AJ735" s="6">
        <f>B735*0.035</f>
        <v/>
      </c>
      <c r="AK735" s="6">
        <f>B735*0.065</f>
        <v/>
      </c>
      <c r="AL735" s="6">
        <f>SUM(B735,AD735,AE735,AF735,AG735,AH735,AI735,U735,V735,AJ735,AK735)</f>
        <v/>
      </c>
      <c r="AM735" s="6">
        <f>B735*0.055</f>
        <v/>
      </c>
      <c r="AN735" s="6">
        <f>B735*0.035</f>
        <v/>
      </c>
      <c r="AO735" s="6">
        <f>B735*0.165</f>
        <v/>
      </c>
      <c r="AP735" s="6">
        <f>MAX(0,AL735-AM735-AO735)</f>
        <v/>
      </c>
      <c r="AQ735" s="6">
        <f>IF(AP735&lt;=490,0,IF(AP735&lt;=600,(AP735-490)*0.05,IF(AP735&lt;=730,5.5+(AP735-600)*0.10,IF(AP735&lt;=3896.67,18.5+(AP735-730)*0.175,IF(AP735&lt;=19896.67,572.67+(AP735-3896.67)*0.25,IF(AP735&lt;=50416.67,4572.67+(AP735-19896.67)*0.30,13728.67+(AP735-50416.67)*0.35))))))</f>
        <v/>
      </c>
      <c r="AR735" s="6">
        <f>SUM(AM735,AQ735,W735,X735,Y735,Z735,AA735,AN735,AO735)</f>
        <v/>
      </c>
      <c r="AS735" s="6">
        <f>AL735-AR735</f>
        <v/>
      </c>
      <c r="AT735" s="6">
        <f>AB735-AC735</f>
        <v/>
      </c>
    </row>
    <row r="736">
      <c r="A736" s="2" t="n"/>
      <c r="B736" s="3" t="n"/>
      <c r="C736" s="4" t="n"/>
      <c r="D736" s="5" t="n"/>
      <c r="E736" s="3" t="n"/>
      <c r="F736" s="4" t="n"/>
      <c r="G736" s="5" t="n"/>
      <c r="H736" s="3" t="n"/>
      <c r="I736" s="4" t="n"/>
      <c r="J736" s="5" t="n"/>
      <c r="K736" s="3" t="n"/>
      <c r="L736" s="4" t="n"/>
      <c r="M736" s="5" t="n"/>
      <c r="N736" s="3" t="n"/>
      <c r="O736" s="4" t="n"/>
      <c r="P736" s="5" t="n"/>
      <c r="Q736" s="3" t="n"/>
      <c r="R736" s="4" t="n"/>
      <c r="S736" s="5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6">
        <f>IF(C736=0,0,IF(E736="",B736*D736/100,E736))</f>
        <v/>
      </c>
      <c r="AE736" s="6">
        <f>IF(F736=0,0,IF(H736="",B736*G736/100,H736))</f>
        <v/>
      </c>
      <c r="AF736" s="6">
        <f>IF(I736=0,0,IF(K736="",B736*J736/100,K736))</f>
        <v/>
      </c>
      <c r="AG736" s="6">
        <f>IF(L736=0,0,IF(N736="",B736*M736/100,N736))</f>
        <v/>
      </c>
      <c r="AH736" s="6">
        <f>IF(O736=0,0,IF(Q736="",B736*P736/100,Q736))</f>
        <v/>
      </c>
      <c r="AI736" s="6">
        <f>IF(R736=0,0,IF(T736="",B736*S736/100,T736))</f>
        <v/>
      </c>
      <c r="AJ736" s="6">
        <f>B736*0.035</f>
        <v/>
      </c>
      <c r="AK736" s="6">
        <f>B736*0.065</f>
        <v/>
      </c>
      <c r="AL736" s="6">
        <f>SUM(B736,AD736,AE736,AF736,AG736,AH736,AI736,U736,V736,AJ736,AK736)</f>
        <v/>
      </c>
      <c r="AM736" s="6">
        <f>B736*0.055</f>
        <v/>
      </c>
      <c r="AN736" s="6">
        <f>B736*0.035</f>
        <v/>
      </c>
      <c r="AO736" s="6">
        <f>B736*0.165</f>
        <v/>
      </c>
      <c r="AP736" s="6">
        <f>MAX(0,AL736-AM736-AO736)</f>
        <v/>
      </c>
      <c r="AQ736" s="6">
        <f>IF(AP736&lt;=490,0,IF(AP736&lt;=600,(AP736-490)*0.05,IF(AP736&lt;=730,5.5+(AP736-600)*0.10,IF(AP736&lt;=3896.67,18.5+(AP736-730)*0.175,IF(AP736&lt;=19896.67,572.67+(AP736-3896.67)*0.25,IF(AP736&lt;=50416.67,4572.67+(AP736-19896.67)*0.30,13728.67+(AP736-50416.67)*0.35))))))</f>
        <v/>
      </c>
      <c r="AR736" s="6">
        <f>SUM(AM736,AQ736,W736,X736,Y736,Z736,AA736,AN736,AO736)</f>
        <v/>
      </c>
      <c r="AS736" s="6">
        <f>AL736-AR736</f>
        <v/>
      </c>
      <c r="AT736" s="6">
        <f>AB736-AC736</f>
        <v/>
      </c>
    </row>
    <row r="737">
      <c r="A737" s="2" t="n"/>
      <c r="B737" s="3" t="n"/>
      <c r="C737" s="4" t="n"/>
      <c r="D737" s="5" t="n"/>
      <c r="E737" s="3" t="n"/>
      <c r="F737" s="4" t="n"/>
      <c r="G737" s="5" t="n"/>
      <c r="H737" s="3" t="n"/>
      <c r="I737" s="4" t="n"/>
      <c r="J737" s="5" t="n"/>
      <c r="K737" s="3" t="n"/>
      <c r="L737" s="4" t="n"/>
      <c r="M737" s="5" t="n"/>
      <c r="N737" s="3" t="n"/>
      <c r="O737" s="4" t="n"/>
      <c r="P737" s="5" t="n"/>
      <c r="Q737" s="3" t="n"/>
      <c r="R737" s="4" t="n"/>
      <c r="S737" s="5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6">
        <f>IF(C737=0,0,IF(E737="",B737*D737/100,E737))</f>
        <v/>
      </c>
      <c r="AE737" s="6">
        <f>IF(F737=0,0,IF(H737="",B737*G737/100,H737))</f>
        <v/>
      </c>
      <c r="AF737" s="6">
        <f>IF(I737=0,0,IF(K737="",B737*J737/100,K737))</f>
        <v/>
      </c>
      <c r="AG737" s="6">
        <f>IF(L737=0,0,IF(N737="",B737*M737/100,N737))</f>
        <v/>
      </c>
      <c r="AH737" s="6">
        <f>IF(O737=0,0,IF(Q737="",B737*P737/100,Q737))</f>
        <v/>
      </c>
      <c r="AI737" s="6">
        <f>IF(R737=0,0,IF(T737="",B737*S737/100,T737))</f>
        <v/>
      </c>
      <c r="AJ737" s="6">
        <f>B737*0.035</f>
        <v/>
      </c>
      <c r="AK737" s="6">
        <f>B737*0.065</f>
        <v/>
      </c>
      <c r="AL737" s="6">
        <f>SUM(B737,AD737,AE737,AF737,AG737,AH737,AI737,U737,V737,AJ737,AK737)</f>
        <v/>
      </c>
      <c r="AM737" s="6">
        <f>B737*0.055</f>
        <v/>
      </c>
      <c r="AN737" s="6">
        <f>B737*0.035</f>
        <v/>
      </c>
      <c r="AO737" s="6">
        <f>B737*0.165</f>
        <v/>
      </c>
      <c r="AP737" s="6">
        <f>MAX(0,AL737-AM737-AO737)</f>
        <v/>
      </c>
      <c r="AQ737" s="6">
        <f>IF(AP737&lt;=490,0,IF(AP737&lt;=600,(AP737-490)*0.05,IF(AP737&lt;=730,5.5+(AP737-600)*0.10,IF(AP737&lt;=3896.67,18.5+(AP737-730)*0.175,IF(AP737&lt;=19896.67,572.67+(AP737-3896.67)*0.25,IF(AP737&lt;=50416.67,4572.67+(AP737-19896.67)*0.30,13728.67+(AP737-50416.67)*0.35))))))</f>
        <v/>
      </c>
      <c r="AR737" s="6">
        <f>SUM(AM737,AQ737,W737,X737,Y737,Z737,AA737,AN737,AO737)</f>
        <v/>
      </c>
      <c r="AS737" s="6">
        <f>AL737-AR737</f>
        <v/>
      </c>
      <c r="AT737" s="6">
        <f>AB737-AC737</f>
        <v/>
      </c>
    </row>
    <row r="738">
      <c r="A738" s="2" t="n"/>
      <c r="B738" s="3" t="n"/>
      <c r="C738" s="4" t="n"/>
      <c r="D738" s="5" t="n"/>
      <c r="E738" s="3" t="n"/>
      <c r="F738" s="4" t="n"/>
      <c r="G738" s="5" t="n"/>
      <c r="H738" s="3" t="n"/>
      <c r="I738" s="4" t="n"/>
      <c r="J738" s="5" t="n"/>
      <c r="K738" s="3" t="n"/>
      <c r="L738" s="4" t="n"/>
      <c r="M738" s="5" t="n"/>
      <c r="N738" s="3" t="n"/>
      <c r="O738" s="4" t="n"/>
      <c r="P738" s="5" t="n"/>
      <c r="Q738" s="3" t="n"/>
      <c r="R738" s="4" t="n"/>
      <c r="S738" s="5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6">
        <f>IF(C738=0,0,IF(E738="",B738*D738/100,E738))</f>
        <v/>
      </c>
      <c r="AE738" s="6">
        <f>IF(F738=0,0,IF(H738="",B738*G738/100,H738))</f>
        <v/>
      </c>
      <c r="AF738" s="6">
        <f>IF(I738=0,0,IF(K738="",B738*J738/100,K738))</f>
        <v/>
      </c>
      <c r="AG738" s="6">
        <f>IF(L738=0,0,IF(N738="",B738*M738/100,N738))</f>
        <v/>
      </c>
      <c r="AH738" s="6">
        <f>IF(O738=0,0,IF(Q738="",B738*P738/100,Q738))</f>
        <v/>
      </c>
      <c r="AI738" s="6">
        <f>IF(R738=0,0,IF(T738="",B738*S738/100,T738))</f>
        <v/>
      </c>
      <c r="AJ738" s="6">
        <f>B738*0.035</f>
        <v/>
      </c>
      <c r="AK738" s="6">
        <f>B738*0.065</f>
        <v/>
      </c>
      <c r="AL738" s="6">
        <f>SUM(B738,AD738,AE738,AF738,AG738,AH738,AI738,U738,V738,AJ738,AK738)</f>
        <v/>
      </c>
      <c r="AM738" s="6">
        <f>B738*0.055</f>
        <v/>
      </c>
      <c r="AN738" s="6">
        <f>B738*0.035</f>
        <v/>
      </c>
      <c r="AO738" s="6">
        <f>B738*0.165</f>
        <v/>
      </c>
      <c r="AP738" s="6">
        <f>MAX(0,AL738-AM738-AO738)</f>
        <v/>
      </c>
      <c r="AQ738" s="6">
        <f>IF(AP738&lt;=490,0,IF(AP738&lt;=600,(AP738-490)*0.05,IF(AP738&lt;=730,5.5+(AP738-600)*0.10,IF(AP738&lt;=3896.67,18.5+(AP738-730)*0.175,IF(AP738&lt;=19896.67,572.67+(AP738-3896.67)*0.25,IF(AP738&lt;=50416.67,4572.67+(AP738-19896.67)*0.30,13728.67+(AP738-50416.67)*0.35))))))</f>
        <v/>
      </c>
      <c r="AR738" s="6">
        <f>SUM(AM738,AQ738,W738,X738,Y738,Z738,AA738,AN738,AO738)</f>
        <v/>
      </c>
      <c r="AS738" s="6">
        <f>AL738-AR738</f>
        <v/>
      </c>
      <c r="AT738" s="6">
        <f>AB738-AC738</f>
        <v/>
      </c>
    </row>
    <row r="739">
      <c r="A739" s="2" t="n"/>
      <c r="B739" s="3" t="n"/>
      <c r="C739" s="4" t="n"/>
      <c r="D739" s="5" t="n"/>
      <c r="E739" s="3" t="n"/>
      <c r="F739" s="4" t="n"/>
      <c r="G739" s="5" t="n"/>
      <c r="H739" s="3" t="n"/>
      <c r="I739" s="4" t="n"/>
      <c r="J739" s="5" t="n"/>
      <c r="K739" s="3" t="n"/>
      <c r="L739" s="4" t="n"/>
      <c r="M739" s="5" t="n"/>
      <c r="N739" s="3" t="n"/>
      <c r="O739" s="4" t="n"/>
      <c r="P739" s="5" t="n"/>
      <c r="Q739" s="3" t="n"/>
      <c r="R739" s="4" t="n"/>
      <c r="S739" s="5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6">
        <f>IF(C739=0,0,IF(E739="",B739*D739/100,E739))</f>
        <v/>
      </c>
      <c r="AE739" s="6">
        <f>IF(F739=0,0,IF(H739="",B739*G739/100,H739))</f>
        <v/>
      </c>
      <c r="AF739" s="6">
        <f>IF(I739=0,0,IF(K739="",B739*J739/100,K739))</f>
        <v/>
      </c>
      <c r="AG739" s="6">
        <f>IF(L739=0,0,IF(N739="",B739*M739/100,N739))</f>
        <v/>
      </c>
      <c r="AH739" s="6">
        <f>IF(O739=0,0,IF(Q739="",B739*P739/100,Q739))</f>
        <v/>
      </c>
      <c r="AI739" s="6">
        <f>IF(R739=0,0,IF(T739="",B739*S739/100,T739))</f>
        <v/>
      </c>
      <c r="AJ739" s="6">
        <f>B739*0.035</f>
        <v/>
      </c>
      <c r="AK739" s="6">
        <f>B739*0.065</f>
        <v/>
      </c>
      <c r="AL739" s="6">
        <f>SUM(B739,AD739,AE739,AF739,AG739,AH739,AI739,U739,V739,AJ739,AK739)</f>
        <v/>
      </c>
      <c r="AM739" s="6">
        <f>B739*0.055</f>
        <v/>
      </c>
      <c r="AN739" s="6">
        <f>B739*0.035</f>
        <v/>
      </c>
      <c r="AO739" s="6">
        <f>B739*0.165</f>
        <v/>
      </c>
      <c r="AP739" s="6">
        <f>MAX(0,AL739-AM739-AO739)</f>
        <v/>
      </c>
      <c r="AQ739" s="6">
        <f>IF(AP739&lt;=490,0,IF(AP739&lt;=600,(AP739-490)*0.05,IF(AP739&lt;=730,5.5+(AP739-600)*0.10,IF(AP739&lt;=3896.67,18.5+(AP739-730)*0.175,IF(AP739&lt;=19896.67,572.67+(AP739-3896.67)*0.25,IF(AP739&lt;=50416.67,4572.67+(AP739-19896.67)*0.30,13728.67+(AP739-50416.67)*0.35))))))</f>
        <v/>
      </c>
      <c r="AR739" s="6">
        <f>SUM(AM739,AQ739,W739,X739,Y739,Z739,AA739,AN739,AO739)</f>
        <v/>
      </c>
      <c r="AS739" s="6">
        <f>AL739-AR739</f>
        <v/>
      </c>
      <c r="AT739" s="6">
        <f>AB739-AC739</f>
        <v/>
      </c>
    </row>
    <row r="740">
      <c r="A740" s="2" t="n"/>
      <c r="B740" s="3" t="n"/>
      <c r="C740" s="4" t="n"/>
      <c r="D740" s="5" t="n"/>
      <c r="E740" s="3" t="n"/>
      <c r="F740" s="4" t="n"/>
      <c r="G740" s="5" t="n"/>
      <c r="H740" s="3" t="n"/>
      <c r="I740" s="4" t="n"/>
      <c r="J740" s="5" t="n"/>
      <c r="K740" s="3" t="n"/>
      <c r="L740" s="4" t="n"/>
      <c r="M740" s="5" t="n"/>
      <c r="N740" s="3" t="n"/>
      <c r="O740" s="4" t="n"/>
      <c r="P740" s="5" t="n"/>
      <c r="Q740" s="3" t="n"/>
      <c r="R740" s="4" t="n"/>
      <c r="S740" s="5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6">
        <f>IF(C740=0,0,IF(E740="",B740*D740/100,E740))</f>
        <v/>
      </c>
      <c r="AE740" s="6">
        <f>IF(F740=0,0,IF(H740="",B740*G740/100,H740))</f>
        <v/>
      </c>
      <c r="AF740" s="6">
        <f>IF(I740=0,0,IF(K740="",B740*J740/100,K740))</f>
        <v/>
      </c>
      <c r="AG740" s="6">
        <f>IF(L740=0,0,IF(N740="",B740*M740/100,N740))</f>
        <v/>
      </c>
      <c r="AH740" s="6">
        <f>IF(O740=0,0,IF(Q740="",B740*P740/100,Q740))</f>
        <v/>
      </c>
      <c r="AI740" s="6">
        <f>IF(R740=0,0,IF(T740="",B740*S740/100,T740))</f>
        <v/>
      </c>
      <c r="AJ740" s="6">
        <f>B740*0.035</f>
        <v/>
      </c>
      <c r="AK740" s="6">
        <f>B740*0.065</f>
        <v/>
      </c>
      <c r="AL740" s="6">
        <f>SUM(B740,AD740,AE740,AF740,AG740,AH740,AI740,U740,V740,AJ740,AK740)</f>
        <v/>
      </c>
      <c r="AM740" s="6">
        <f>B740*0.055</f>
        <v/>
      </c>
      <c r="AN740" s="6">
        <f>B740*0.035</f>
        <v/>
      </c>
      <c r="AO740" s="6">
        <f>B740*0.165</f>
        <v/>
      </c>
      <c r="AP740" s="6">
        <f>MAX(0,AL740-AM740-AO740)</f>
        <v/>
      </c>
      <c r="AQ740" s="6">
        <f>IF(AP740&lt;=490,0,IF(AP740&lt;=600,(AP740-490)*0.05,IF(AP740&lt;=730,5.5+(AP740-600)*0.10,IF(AP740&lt;=3896.67,18.5+(AP740-730)*0.175,IF(AP740&lt;=19896.67,572.67+(AP740-3896.67)*0.25,IF(AP740&lt;=50416.67,4572.67+(AP740-19896.67)*0.30,13728.67+(AP740-50416.67)*0.35))))))</f>
        <v/>
      </c>
      <c r="AR740" s="6">
        <f>SUM(AM740,AQ740,W740,X740,Y740,Z740,AA740,AN740,AO740)</f>
        <v/>
      </c>
      <c r="AS740" s="6">
        <f>AL740-AR740</f>
        <v/>
      </c>
      <c r="AT740" s="6">
        <f>AB740-AC740</f>
        <v/>
      </c>
    </row>
    <row r="741">
      <c r="A741" s="2" t="n"/>
      <c r="B741" s="3" t="n"/>
      <c r="C741" s="4" t="n"/>
      <c r="D741" s="5" t="n"/>
      <c r="E741" s="3" t="n"/>
      <c r="F741" s="4" t="n"/>
      <c r="G741" s="5" t="n"/>
      <c r="H741" s="3" t="n"/>
      <c r="I741" s="4" t="n"/>
      <c r="J741" s="5" t="n"/>
      <c r="K741" s="3" t="n"/>
      <c r="L741" s="4" t="n"/>
      <c r="M741" s="5" t="n"/>
      <c r="N741" s="3" t="n"/>
      <c r="O741" s="4" t="n"/>
      <c r="P741" s="5" t="n"/>
      <c r="Q741" s="3" t="n"/>
      <c r="R741" s="4" t="n"/>
      <c r="S741" s="5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6">
        <f>IF(C741=0,0,IF(E741="",B741*D741/100,E741))</f>
        <v/>
      </c>
      <c r="AE741" s="6">
        <f>IF(F741=0,0,IF(H741="",B741*G741/100,H741))</f>
        <v/>
      </c>
      <c r="AF741" s="6">
        <f>IF(I741=0,0,IF(K741="",B741*J741/100,K741))</f>
        <v/>
      </c>
      <c r="AG741" s="6">
        <f>IF(L741=0,0,IF(N741="",B741*M741/100,N741))</f>
        <v/>
      </c>
      <c r="AH741" s="6">
        <f>IF(O741=0,0,IF(Q741="",B741*P741/100,Q741))</f>
        <v/>
      </c>
      <c r="AI741" s="6">
        <f>IF(R741=0,0,IF(T741="",B741*S741/100,T741))</f>
        <v/>
      </c>
      <c r="AJ741" s="6">
        <f>B741*0.035</f>
        <v/>
      </c>
      <c r="AK741" s="6">
        <f>B741*0.065</f>
        <v/>
      </c>
      <c r="AL741" s="6">
        <f>SUM(B741,AD741,AE741,AF741,AG741,AH741,AI741,U741,V741,AJ741,AK741)</f>
        <v/>
      </c>
      <c r="AM741" s="6">
        <f>B741*0.055</f>
        <v/>
      </c>
      <c r="AN741" s="6">
        <f>B741*0.035</f>
        <v/>
      </c>
      <c r="AO741" s="6">
        <f>B741*0.165</f>
        <v/>
      </c>
      <c r="AP741" s="6">
        <f>MAX(0,AL741-AM741-AO741)</f>
        <v/>
      </c>
      <c r="AQ741" s="6">
        <f>IF(AP741&lt;=490,0,IF(AP741&lt;=600,(AP741-490)*0.05,IF(AP741&lt;=730,5.5+(AP741-600)*0.10,IF(AP741&lt;=3896.67,18.5+(AP741-730)*0.175,IF(AP741&lt;=19896.67,572.67+(AP741-3896.67)*0.25,IF(AP741&lt;=50416.67,4572.67+(AP741-19896.67)*0.30,13728.67+(AP741-50416.67)*0.35))))))</f>
        <v/>
      </c>
      <c r="AR741" s="6">
        <f>SUM(AM741,AQ741,W741,X741,Y741,Z741,AA741,AN741,AO741)</f>
        <v/>
      </c>
      <c r="AS741" s="6">
        <f>AL741-AR741</f>
        <v/>
      </c>
      <c r="AT741" s="6">
        <f>AB741-AC741</f>
        <v/>
      </c>
    </row>
    <row r="742">
      <c r="A742" s="2" t="n"/>
      <c r="B742" s="3" t="n"/>
      <c r="C742" s="4" t="n"/>
      <c r="D742" s="5" t="n"/>
      <c r="E742" s="3" t="n"/>
      <c r="F742" s="4" t="n"/>
      <c r="G742" s="5" t="n"/>
      <c r="H742" s="3" t="n"/>
      <c r="I742" s="4" t="n"/>
      <c r="J742" s="5" t="n"/>
      <c r="K742" s="3" t="n"/>
      <c r="L742" s="4" t="n"/>
      <c r="M742" s="5" t="n"/>
      <c r="N742" s="3" t="n"/>
      <c r="O742" s="4" t="n"/>
      <c r="P742" s="5" t="n"/>
      <c r="Q742" s="3" t="n"/>
      <c r="R742" s="4" t="n"/>
      <c r="S742" s="5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6">
        <f>IF(C742=0,0,IF(E742="",B742*D742/100,E742))</f>
        <v/>
      </c>
      <c r="AE742" s="6">
        <f>IF(F742=0,0,IF(H742="",B742*G742/100,H742))</f>
        <v/>
      </c>
      <c r="AF742" s="6">
        <f>IF(I742=0,0,IF(K742="",B742*J742/100,K742))</f>
        <v/>
      </c>
      <c r="AG742" s="6">
        <f>IF(L742=0,0,IF(N742="",B742*M742/100,N742))</f>
        <v/>
      </c>
      <c r="AH742" s="6">
        <f>IF(O742=0,0,IF(Q742="",B742*P742/100,Q742))</f>
        <v/>
      </c>
      <c r="AI742" s="6">
        <f>IF(R742=0,0,IF(T742="",B742*S742/100,T742))</f>
        <v/>
      </c>
      <c r="AJ742" s="6">
        <f>B742*0.035</f>
        <v/>
      </c>
      <c r="AK742" s="6">
        <f>B742*0.065</f>
        <v/>
      </c>
      <c r="AL742" s="6">
        <f>SUM(B742,AD742,AE742,AF742,AG742,AH742,AI742,U742,V742,AJ742,AK742)</f>
        <v/>
      </c>
      <c r="AM742" s="6">
        <f>B742*0.055</f>
        <v/>
      </c>
      <c r="AN742" s="6">
        <f>B742*0.035</f>
        <v/>
      </c>
      <c r="AO742" s="6">
        <f>B742*0.165</f>
        <v/>
      </c>
      <c r="AP742" s="6">
        <f>MAX(0,AL742-AM742-AO742)</f>
        <v/>
      </c>
      <c r="AQ742" s="6">
        <f>IF(AP742&lt;=490,0,IF(AP742&lt;=600,(AP742-490)*0.05,IF(AP742&lt;=730,5.5+(AP742-600)*0.10,IF(AP742&lt;=3896.67,18.5+(AP742-730)*0.175,IF(AP742&lt;=19896.67,572.67+(AP742-3896.67)*0.25,IF(AP742&lt;=50416.67,4572.67+(AP742-19896.67)*0.30,13728.67+(AP742-50416.67)*0.35))))))</f>
        <v/>
      </c>
      <c r="AR742" s="6">
        <f>SUM(AM742,AQ742,W742,X742,Y742,Z742,AA742,AN742,AO742)</f>
        <v/>
      </c>
      <c r="AS742" s="6">
        <f>AL742-AR742</f>
        <v/>
      </c>
      <c r="AT742" s="6">
        <f>AB742-AC742</f>
        <v/>
      </c>
    </row>
    <row r="743">
      <c r="A743" s="2" t="n"/>
      <c r="B743" s="3" t="n"/>
      <c r="C743" s="4" t="n"/>
      <c r="D743" s="5" t="n"/>
      <c r="E743" s="3" t="n"/>
      <c r="F743" s="4" t="n"/>
      <c r="G743" s="5" t="n"/>
      <c r="H743" s="3" t="n"/>
      <c r="I743" s="4" t="n"/>
      <c r="J743" s="5" t="n"/>
      <c r="K743" s="3" t="n"/>
      <c r="L743" s="4" t="n"/>
      <c r="M743" s="5" t="n"/>
      <c r="N743" s="3" t="n"/>
      <c r="O743" s="4" t="n"/>
      <c r="P743" s="5" t="n"/>
      <c r="Q743" s="3" t="n"/>
      <c r="R743" s="4" t="n"/>
      <c r="S743" s="5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6">
        <f>IF(C743=0,0,IF(E743="",B743*D743/100,E743))</f>
        <v/>
      </c>
      <c r="AE743" s="6">
        <f>IF(F743=0,0,IF(H743="",B743*G743/100,H743))</f>
        <v/>
      </c>
      <c r="AF743" s="6">
        <f>IF(I743=0,0,IF(K743="",B743*J743/100,K743))</f>
        <v/>
      </c>
      <c r="AG743" s="6">
        <f>IF(L743=0,0,IF(N743="",B743*M743/100,N743))</f>
        <v/>
      </c>
      <c r="AH743" s="6">
        <f>IF(O743=0,0,IF(Q743="",B743*P743/100,Q743))</f>
        <v/>
      </c>
      <c r="AI743" s="6">
        <f>IF(R743=0,0,IF(T743="",B743*S743/100,T743))</f>
        <v/>
      </c>
      <c r="AJ743" s="6">
        <f>B743*0.035</f>
        <v/>
      </c>
      <c r="AK743" s="6">
        <f>B743*0.065</f>
        <v/>
      </c>
      <c r="AL743" s="6">
        <f>SUM(B743,AD743,AE743,AF743,AG743,AH743,AI743,U743,V743,AJ743,AK743)</f>
        <v/>
      </c>
      <c r="AM743" s="6">
        <f>B743*0.055</f>
        <v/>
      </c>
      <c r="AN743" s="6">
        <f>B743*0.035</f>
        <v/>
      </c>
      <c r="AO743" s="6">
        <f>B743*0.165</f>
        <v/>
      </c>
      <c r="AP743" s="6">
        <f>MAX(0,AL743-AM743-AO743)</f>
        <v/>
      </c>
      <c r="AQ743" s="6">
        <f>IF(AP743&lt;=490,0,IF(AP743&lt;=600,(AP743-490)*0.05,IF(AP743&lt;=730,5.5+(AP743-600)*0.10,IF(AP743&lt;=3896.67,18.5+(AP743-730)*0.175,IF(AP743&lt;=19896.67,572.67+(AP743-3896.67)*0.25,IF(AP743&lt;=50416.67,4572.67+(AP743-19896.67)*0.30,13728.67+(AP743-50416.67)*0.35))))))</f>
        <v/>
      </c>
      <c r="AR743" s="6">
        <f>SUM(AM743,AQ743,W743,X743,Y743,Z743,AA743,AN743,AO743)</f>
        <v/>
      </c>
      <c r="AS743" s="6">
        <f>AL743-AR743</f>
        <v/>
      </c>
      <c r="AT743" s="6">
        <f>AB743-AC743</f>
        <v/>
      </c>
    </row>
    <row r="744">
      <c r="A744" s="2" t="n"/>
      <c r="B744" s="3" t="n"/>
      <c r="C744" s="4" t="n"/>
      <c r="D744" s="5" t="n"/>
      <c r="E744" s="3" t="n"/>
      <c r="F744" s="4" t="n"/>
      <c r="G744" s="5" t="n"/>
      <c r="H744" s="3" t="n"/>
      <c r="I744" s="4" t="n"/>
      <c r="J744" s="5" t="n"/>
      <c r="K744" s="3" t="n"/>
      <c r="L744" s="4" t="n"/>
      <c r="M744" s="5" t="n"/>
      <c r="N744" s="3" t="n"/>
      <c r="O744" s="4" t="n"/>
      <c r="P744" s="5" t="n"/>
      <c r="Q744" s="3" t="n"/>
      <c r="R744" s="4" t="n"/>
      <c r="S744" s="5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6">
        <f>IF(C744=0,0,IF(E744="",B744*D744/100,E744))</f>
        <v/>
      </c>
      <c r="AE744" s="6">
        <f>IF(F744=0,0,IF(H744="",B744*G744/100,H744))</f>
        <v/>
      </c>
      <c r="AF744" s="6">
        <f>IF(I744=0,0,IF(K744="",B744*J744/100,K744))</f>
        <v/>
      </c>
      <c r="AG744" s="6">
        <f>IF(L744=0,0,IF(N744="",B744*M744/100,N744))</f>
        <v/>
      </c>
      <c r="AH744" s="6">
        <f>IF(O744=0,0,IF(Q744="",B744*P744/100,Q744))</f>
        <v/>
      </c>
      <c r="AI744" s="6">
        <f>IF(R744=0,0,IF(T744="",B744*S744/100,T744))</f>
        <v/>
      </c>
      <c r="AJ744" s="6">
        <f>B744*0.035</f>
        <v/>
      </c>
      <c r="AK744" s="6">
        <f>B744*0.065</f>
        <v/>
      </c>
      <c r="AL744" s="6">
        <f>SUM(B744,AD744,AE744,AF744,AG744,AH744,AI744,U744,V744,AJ744,AK744)</f>
        <v/>
      </c>
      <c r="AM744" s="6">
        <f>B744*0.055</f>
        <v/>
      </c>
      <c r="AN744" s="6">
        <f>B744*0.035</f>
        <v/>
      </c>
      <c r="AO744" s="6">
        <f>B744*0.165</f>
        <v/>
      </c>
      <c r="AP744" s="6">
        <f>MAX(0,AL744-AM744-AO744)</f>
        <v/>
      </c>
      <c r="AQ744" s="6">
        <f>IF(AP744&lt;=490,0,IF(AP744&lt;=600,(AP744-490)*0.05,IF(AP744&lt;=730,5.5+(AP744-600)*0.10,IF(AP744&lt;=3896.67,18.5+(AP744-730)*0.175,IF(AP744&lt;=19896.67,572.67+(AP744-3896.67)*0.25,IF(AP744&lt;=50416.67,4572.67+(AP744-19896.67)*0.30,13728.67+(AP744-50416.67)*0.35))))))</f>
        <v/>
      </c>
      <c r="AR744" s="6">
        <f>SUM(AM744,AQ744,W744,X744,Y744,Z744,AA744,AN744,AO744)</f>
        <v/>
      </c>
      <c r="AS744" s="6">
        <f>AL744-AR744</f>
        <v/>
      </c>
      <c r="AT744" s="6">
        <f>AB744-AC744</f>
        <v/>
      </c>
    </row>
    <row r="745">
      <c r="A745" s="2" t="n"/>
      <c r="B745" s="3" t="n"/>
      <c r="C745" s="4" t="n"/>
      <c r="D745" s="5" t="n"/>
      <c r="E745" s="3" t="n"/>
      <c r="F745" s="4" t="n"/>
      <c r="G745" s="5" t="n"/>
      <c r="H745" s="3" t="n"/>
      <c r="I745" s="4" t="n"/>
      <c r="J745" s="5" t="n"/>
      <c r="K745" s="3" t="n"/>
      <c r="L745" s="4" t="n"/>
      <c r="M745" s="5" t="n"/>
      <c r="N745" s="3" t="n"/>
      <c r="O745" s="4" t="n"/>
      <c r="P745" s="5" t="n"/>
      <c r="Q745" s="3" t="n"/>
      <c r="R745" s="4" t="n"/>
      <c r="S745" s="5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6">
        <f>IF(C745=0,0,IF(E745="",B745*D745/100,E745))</f>
        <v/>
      </c>
      <c r="AE745" s="6">
        <f>IF(F745=0,0,IF(H745="",B745*G745/100,H745))</f>
        <v/>
      </c>
      <c r="AF745" s="6">
        <f>IF(I745=0,0,IF(K745="",B745*J745/100,K745))</f>
        <v/>
      </c>
      <c r="AG745" s="6">
        <f>IF(L745=0,0,IF(N745="",B745*M745/100,N745))</f>
        <v/>
      </c>
      <c r="AH745" s="6">
        <f>IF(O745=0,0,IF(Q745="",B745*P745/100,Q745))</f>
        <v/>
      </c>
      <c r="AI745" s="6">
        <f>IF(R745=0,0,IF(T745="",B745*S745/100,T745))</f>
        <v/>
      </c>
      <c r="AJ745" s="6">
        <f>B745*0.035</f>
        <v/>
      </c>
      <c r="AK745" s="6">
        <f>B745*0.065</f>
        <v/>
      </c>
      <c r="AL745" s="6">
        <f>SUM(B745,AD745,AE745,AF745,AG745,AH745,AI745,U745,V745,AJ745,AK745)</f>
        <v/>
      </c>
      <c r="AM745" s="6">
        <f>B745*0.055</f>
        <v/>
      </c>
      <c r="AN745" s="6">
        <f>B745*0.035</f>
        <v/>
      </c>
      <c r="AO745" s="6">
        <f>B745*0.165</f>
        <v/>
      </c>
      <c r="AP745" s="6">
        <f>MAX(0,AL745-AM745-AO745)</f>
        <v/>
      </c>
      <c r="AQ745" s="6">
        <f>IF(AP745&lt;=490,0,IF(AP745&lt;=600,(AP745-490)*0.05,IF(AP745&lt;=730,5.5+(AP745-600)*0.10,IF(AP745&lt;=3896.67,18.5+(AP745-730)*0.175,IF(AP745&lt;=19896.67,572.67+(AP745-3896.67)*0.25,IF(AP745&lt;=50416.67,4572.67+(AP745-19896.67)*0.30,13728.67+(AP745-50416.67)*0.35))))))</f>
        <v/>
      </c>
      <c r="AR745" s="6">
        <f>SUM(AM745,AQ745,W745,X745,Y745,Z745,AA745,AN745,AO745)</f>
        <v/>
      </c>
      <c r="AS745" s="6">
        <f>AL745-AR745</f>
        <v/>
      </c>
      <c r="AT745" s="6">
        <f>AB745-AC745</f>
        <v/>
      </c>
    </row>
    <row r="746">
      <c r="A746" s="2" t="n"/>
      <c r="B746" s="3" t="n"/>
      <c r="C746" s="4" t="n"/>
      <c r="D746" s="5" t="n"/>
      <c r="E746" s="3" t="n"/>
      <c r="F746" s="4" t="n"/>
      <c r="G746" s="5" t="n"/>
      <c r="H746" s="3" t="n"/>
      <c r="I746" s="4" t="n"/>
      <c r="J746" s="5" t="n"/>
      <c r="K746" s="3" t="n"/>
      <c r="L746" s="4" t="n"/>
      <c r="M746" s="5" t="n"/>
      <c r="N746" s="3" t="n"/>
      <c r="O746" s="4" t="n"/>
      <c r="P746" s="5" t="n"/>
      <c r="Q746" s="3" t="n"/>
      <c r="R746" s="4" t="n"/>
      <c r="S746" s="5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6">
        <f>IF(C746=0,0,IF(E746="",B746*D746/100,E746))</f>
        <v/>
      </c>
      <c r="AE746" s="6">
        <f>IF(F746=0,0,IF(H746="",B746*G746/100,H746))</f>
        <v/>
      </c>
      <c r="AF746" s="6">
        <f>IF(I746=0,0,IF(K746="",B746*J746/100,K746))</f>
        <v/>
      </c>
      <c r="AG746" s="6">
        <f>IF(L746=0,0,IF(N746="",B746*M746/100,N746))</f>
        <v/>
      </c>
      <c r="AH746" s="6">
        <f>IF(O746=0,0,IF(Q746="",B746*P746/100,Q746))</f>
        <v/>
      </c>
      <c r="AI746" s="6">
        <f>IF(R746=0,0,IF(T746="",B746*S746/100,T746))</f>
        <v/>
      </c>
      <c r="AJ746" s="6">
        <f>B746*0.035</f>
        <v/>
      </c>
      <c r="AK746" s="6">
        <f>B746*0.065</f>
        <v/>
      </c>
      <c r="AL746" s="6">
        <f>SUM(B746,AD746,AE746,AF746,AG746,AH746,AI746,U746,V746,AJ746,AK746)</f>
        <v/>
      </c>
      <c r="AM746" s="6">
        <f>B746*0.055</f>
        <v/>
      </c>
      <c r="AN746" s="6">
        <f>B746*0.035</f>
        <v/>
      </c>
      <c r="AO746" s="6">
        <f>B746*0.165</f>
        <v/>
      </c>
      <c r="AP746" s="6">
        <f>MAX(0,AL746-AM746-AO746)</f>
        <v/>
      </c>
      <c r="AQ746" s="6">
        <f>IF(AP746&lt;=490,0,IF(AP746&lt;=600,(AP746-490)*0.05,IF(AP746&lt;=730,5.5+(AP746-600)*0.10,IF(AP746&lt;=3896.67,18.5+(AP746-730)*0.175,IF(AP746&lt;=19896.67,572.67+(AP746-3896.67)*0.25,IF(AP746&lt;=50416.67,4572.67+(AP746-19896.67)*0.30,13728.67+(AP746-50416.67)*0.35))))))</f>
        <v/>
      </c>
      <c r="AR746" s="6">
        <f>SUM(AM746,AQ746,W746,X746,Y746,Z746,AA746,AN746,AO746)</f>
        <v/>
      </c>
      <c r="AS746" s="6">
        <f>AL746-AR746</f>
        <v/>
      </c>
      <c r="AT746" s="6">
        <f>AB746-AC746</f>
        <v/>
      </c>
    </row>
    <row r="747">
      <c r="A747" s="2" t="n"/>
      <c r="B747" s="3" t="n"/>
      <c r="C747" s="4" t="n"/>
      <c r="D747" s="5" t="n"/>
      <c r="E747" s="3" t="n"/>
      <c r="F747" s="4" t="n"/>
      <c r="G747" s="5" t="n"/>
      <c r="H747" s="3" t="n"/>
      <c r="I747" s="4" t="n"/>
      <c r="J747" s="5" t="n"/>
      <c r="K747" s="3" t="n"/>
      <c r="L747" s="4" t="n"/>
      <c r="M747" s="5" t="n"/>
      <c r="N747" s="3" t="n"/>
      <c r="O747" s="4" t="n"/>
      <c r="P747" s="5" t="n"/>
      <c r="Q747" s="3" t="n"/>
      <c r="R747" s="4" t="n"/>
      <c r="S747" s="5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6">
        <f>IF(C747=0,0,IF(E747="",B747*D747/100,E747))</f>
        <v/>
      </c>
      <c r="AE747" s="6">
        <f>IF(F747=0,0,IF(H747="",B747*G747/100,H747))</f>
        <v/>
      </c>
      <c r="AF747" s="6">
        <f>IF(I747=0,0,IF(K747="",B747*J747/100,K747))</f>
        <v/>
      </c>
      <c r="AG747" s="6">
        <f>IF(L747=0,0,IF(N747="",B747*M747/100,N747))</f>
        <v/>
      </c>
      <c r="AH747" s="6">
        <f>IF(O747=0,0,IF(Q747="",B747*P747/100,Q747))</f>
        <v/>
      </c>
      <c r="AI747" s="6">
        <f>IF(R747=0,0,IF(T747="",B747*S747/100,T747))</f>
        <v/>
      </c>
      <c r="AJ747" s="6">
        <f>B747*0.035</f>
        <v/>
      </c>
      <c r="AK747" s="6">
        <f>B747*0.065</f>
        <v/>
      </c>
      <c r="AL747" s="6">
        <f>SUM(B747,AD747,AE747,AF747,AG747,AH747,AI747,U747,V747,AJ747,AK747)</f>
        <v/>
      </c>
      <c r="AM747" s="6">
        <f>B747*0.055</f>
        <v/>
      </c>
      <c r="AN747" s="6">
        <f>B747*0.035</f>
        <v/>
      </c>
      <c r="AO747" s="6">
        <f>B747*0.165</f>
        <v/>
      </c>
      <c r="AP747" s="6">
        <f>MAX(0,AL747-AM747-AO747)</f>
        <v/>
      </c>
      <c r="AQ747" s="6">
        <f>IF(AP747&lt;=490,0,IF(AP747&lt;=600,(AP747-490)*0.05,IF(AP747&lt;=730,5.5+(AP747-600)*0.10,IF(AP747&lt;=3896.67,18.5+(AP747-730)*0.175,IF(AP747&lt;=19896.67,572.67+(AP747-3896.67)*0.25,IF(AP747&lt;=50416.67,4572.67+(AP747-19896.67)*0.30,13728.67+(AP747-50416.67)*0.35))))))</f>
        <v/>
      </c>
      <c r="AR747" s="6">
        <f>SUM(AM747,AQ747,W747,X747,Y747,Z747,AA747,AN747,AO747)</f>
        <v/>
      </c>
      <c r="AS747" s="6">
        <f>AL747-AR747</f>
        <v/>
      </c>
      <c r="AT747" s="6">
        <f>AB747-AC747</f>
        <v/>
      </c>
    </row>
    <row r="748">
      <c r="A748" s="2" t="n"/>
      <c r="B748" s="3" t="n"/>
      <c r="C748" s="4" t="n"/>
      <c r="D748" s="5" t="n"/>
      <c r="E748" s="3" t="n"/>
      <c r="F748" s="4" t="n"/>
      <c r="G748" s="5" t="n"/>
      <c r="H748" s="3" t="n"/>
      <c r="I748" s="4" t="n"/>
      <c r="J748" s="5" t="n"/>
      <c r="K748" s="3" t="n"/>
      <c r="L748" s="4" t="n"/>
      <c r="M748" s="5" t="n"/>
      <c r="N748" s="3" t="n"/>
      <c r="O748" s="4" t="n"/>
      <c r="P748" s="5" t="n"/>
      <c r="Q748" s="3" t="n"/>
      <c r="R748" s="4" t="n"/>
      <c r="S748" s="5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6">
        <f>IF(C748=0,0,IF(E748="",B748*D748/100,E748))</f>
        <v/>
      </c>
      <c r="AE748" s="6">
        <f>IF(F748=0,0,IF(H748="",B748*G748/100,H748))</f>
        <v/>
      </c>
      <c r="AF748" s="6">
        <f>IF(I748=0,0,IF(K748="",B748*J748/100,K748))</f>
        <v/>
      </c>
      <c r="AG748" s="6">
        <f>IF(L748=0,0,IF(N748="",B748*M748/100,N748))</f>
        <v/>
      </c>
      <c r="AH748" s="6">
        <f>IF(O748=0,0,IF(Q748="",B748*P748/100,Q748))</f>
        <v/>
      </c>
      <c r="AI748" s="6">
        <f>IF(R748=0,0,IF(T748="",B748*S748/100,T748))</f>
        <v/>
      </c>
      <c r="AJ748" s="6">
        <f>B748*0.035</f>
        <v/>
      </c>
      <c r="AK748" s="6">
        <f>B748*0.065</f>
        <v/>
      </c>
      <c r="AL748" s="6">
        <f>SUM(B748,AD748,AE748,AF748,AG748,AH748,AI748,U748,V748,AJ748,AK748)</f>
        <v/>
      </c>
      <c r="AM748" s="6">
        <f>B748*0.055</f>
        <v/>
      </c>
      <c r="AN748" s="6">
        <f>B748*0.035</f>
        <v/>
      </c>
      <c r="AO748" s="6">
        <f>B748*0.165</f>
        <v/>
      </c>
      <c r="AP748" s="6">
        <f>MAX(0,AL748-AM748-AO748)</f>
        <v/>
      </c>
      <c r="AQ748" s="6">
        <f>IF(AP748&lt;=490,0,IF(AP748&lt;=600,(AP748-490)*0.05,IF(AP748&lt;=730,5.5+(AP748-600)*0.10,IF(AP748&lt;=3896.67,18.5+(AP748-730)*0.175,IF(AP748&lt;=19896.67,572.67+(AP748-3896.67)*0.25,IF(AP748&lt;=50416.67,4572.67+(AP748-19896.67)*0.30,13728.67+(AP748-50416.67)*0.35))))))</f>
        <v/>
      </c>
      <c r="AR748" s="6">
        <f>SUM(AM748,AQ748,W748,X748,Y748,Z748,AA748,AN748,AO748)</f>
        <v/>
      </c>
      <c r="AS748" s="6">
        <f>AL748-AR748</f>
        <v/>
      </c>
      <c r="AT748" s="6">
        <f>AB748-AC748</f>
        <v/>
      </c>
    </row>
    <row r="749">
      <c r="A749" s="2" t="n"/>
      <c r="B749" s="3" t="n"/>
      <c r="C749" s="4" t="n"/>
      <c r="D749" s="5" t="n"/>
      <c r="E749" s="3" t="n"/>
      <c r="F749" s="4" t="n"/>
      <c r="G749" s="5" t="n"/>
      <c r="H749" s="3" t="n"/>
      <c r="I749" s="4" t="n"/>
      <c r="J749" s="5" t="n"/>
      <c r="K749" s="3" t="n"/>
      <c r="L749" s="4" t="n"/>
      <c r="M749" s="5" t="n"/>
      <c r="N749" s="3" t="n"/>
      <c r="O749" s="4" t="n"/>
      <c r="P749" s="5" t="n"/>
      <c r="Q749" s="3" t="n"/>
      <c r="R749" s="4" t="n"/>
      <c r="S749" s="5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6">
        <f>IF(C749=0,0,IF(E749="",B749*D749/100,E749))</f>
        <v/>
      </c>
      <c r="AE749" s="6">
        <f>IF(F749=0,0,IF(H749="",B749*G749/100,H749))</f>
        <v/>
      </c>
      <c r="AF749" s="6">
        <f>IF(I749=0,0,IF(K749="",B749*J749/100,K749))</f>
        <v/>
      </c>
      <c r="AG749" s="6">
        <f>IF(L749=0,0,IF(N749="",B749*M749/100,N749))</f>
        <v/>
      </c>
      <c r="AH749" s="6">
        <f>IF(O749=0,0,IF(Q749="",B749*P749/100,Q749))</f>
        <v/>
      </c>
      <c r="AI749" s="6">
        <f>IF(R749=0,0,IF(T749="",B749*S749/100,T749))</f>
        <v/>
      </c>
      <c r="AJ749" s="6">
        <f>B749*0.035</f>
        <v/>
      </c>
      <c r="AK749" s="6">
        <f>B749*0.065</f>
        <v/>
      </c>
      <c r="AL749" s="6">
        <f>SUM(B749,AD749,AE749,AF749,AG749,AH749,AI749,U749,V749,AJ749,AK749)</f>
        <v/>
      </c>
      <c r="AM749" s="6">
        <f>B749*0.055</f>
        <v/>
      </c>
      <c r="AN749" s="6">
        <f>B749*0.035</f>
        <v/>
      </c>
      <c r="AO749" s="6">
        <f>B749*0.165</f>
        <v/>
      </c>
      <c r="AP749" s="6">
        <f>MAX(0,AL749-AM749-AO749)</f>
        <v/>
      </c>
      <c r="AQ749" s="6">
        <f>IF(AP749&lt;=490,0,IF(AP749&lt;=600,(AP749-490)*0.05,IF(AP749&lt;=730,5.5+(AP749-600)*0.10,IF(AP749&lt;=3896.67,18.5+(AP749-730)*0.175,IF(AP749&lt;=19896.67,572.67+(AP749-3896.67)*0.25,IF(AP749&lt;=50416.67,4572.67+(AP749-19896.67)*0.30,13728.67+(AP749-50416.67)*0.35))))))</f>
        <v/>
      </c>
      <c r="AR749" s="6">
        <f>SUM(AM749,AQ749,W749,X749,Y749,Z749,AA749,AN749,AO749)</f>
        <v/>
      </c>
      <c r="AS749" s="6">
        <f>AL749-AR749</f>
        <v/>
      </c>
      <c r="AT749" s="6">
        <f>AB749-AC749</f>
        <v/>
      </c>
    </row>
    <row r="750">
      <c r="A750" s="2" t="n"/>
      <c r="B750" s="3" t="n"/>
      <c r="C750" s="4" t="n"/>
      <c r="D750" s="5" t="n"/>
      <c r="E750" s="3" t="n"/>
      <c r="F750" s="4" t="n"/>
      <c r="G750" s="5" t="n"/>
      <c r="H750" s="3" t="n"/>
      <c r="I750" s="4" t="n"/>
      <c r="J750" s="5" t="n"/>
      <c r="K750" s="3" t="n"/>
      <c r="L750" s="4" t="n"/>
      <c r="M750" s="5" t="n"/>
      <c r="N750" s="3" t="n"/>
      <c r="O750" s="4" t="n"/>
      <c r="P750" s="5" t="n"/>
      <c r="Q750" s="3" t="n"/>
      <c r="R750" s="4" t="n"/>
      <c r="S750" s="5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6">
        <f>IF(C750=0,0,IF(E750="",B750*D750/100,E750))</f>
        <v/>
      </c>
      <c r="AE750" s="6">
        <f>IF(F750=0,0,IF(H750="",B750*G750/100,H750))</f>
        <v/>
      </c>
      <c r="AF750" s="6">
        <f>IF(I750=0,0,IF(K750="",B750*J750/100,K750))</f>
        <v/>
      </c>
      <c r="AG750" s="6">
        <f>IF(L750=0,0,IF(N750="",B750*M750/100,N750))</f>
        <v/>
      </c>
      <c r="AH750" s="6">
        <f>IF(O750=0,0,IF(Q750="",B750*P750/100,Q750))</f>
        <v/>
      </c>
      <c r="AI750" s="6">
        <f>IF(R750=0,0,IF(T750="",B750*S750/100,T750))</f>
        <v/>
      </c>
      <c r="AJ750" s="6">
        <f>B750*0.035</f>
        <v/>
      </c>
      <c r="AK750" s="6">
        <f>B750*0.065</f>
        <v/>
      </c>
      <c r="AL750" s="6">
        <f>SUM(B750,AD750,AE750,AF750,AG750,AH750,AI750,U750,V750,AJ750,AK750)</f>
        <v/>
      </c>
      <c r="AM750" s="6">
        <f>B750*0.055</f>
        <v/>
      </c>
      <c r="AN750" s="6">
        <f>B750*0.035</f>
        <v/>
      </c>
      <c r="AO750" s="6">
        <f>B750*0.165</f>
        <v/>
      </c>
      <c r="AP750" s="6">
        <f>MAX(0,AL750-AM750-AO750)</f>
        <v/>
      </c>
      <c r="AQ750" s="6">
        <f>IF(AP750&lt;=490,0,IF(AP750&lt;=600,(AP750-490)*0.05,IF(AP750&lt;=730,5.5+(AP750-600)*0.10,IF(AP750&lt;=3896.67,18.5+(AP750-730)*0.175,IF(AP750&lt;=19896.67,572.67+(AP750-3896.67)*0.25,IF(AP750&lt;=50416.67,4572.67+(AP750-19896.67)*0.30,13728.67+(AP750-50416.67)*0.35))))))</f>
        <v/>
      </c>
      <c r="AR750" s="6">
        <f>SUM(AM750,AQ750,W750,X750,Y750,Z750,AA750,AN750,AO750)</f>
        <v/>
      </c>
      <c r="AS750" s="6">
        <f>AL750-AR750</f>
        <v/>
      </c>
      <c r="AT750" s="6">
        <f>AB750-AC750</f>
        <v/>
      </c>
    </row>
    <row r="751">
      <c r="A751" s="2" t="n"/>
      <c r="B751" s="3" t="n"/>
      <c r="C751" s="4" t="n"/>
      <c r="D751" s="5" t="n"/>
      <c r="E751" s="3" t="n"/>
      <c r="F751" s="4" t="n"/>
      <c r="G751" s="5" t="n"/>
      <c r="H751" s="3" t="n"/>
      <c r="I751" s="4" t="n"/>
      <c r="J751" s="5" t="n"/>
      <c r="K751" s="3" t="n"/>
      <c r="L751" s="4" t="n"/>
      <c r="M751" s="5" t="n"/>
      <c r="N751" s="3" t="n"/>
      <c r="O751" s="4" t="n"/>
      <c r="P751" s="5" t="n"/>
      <c r="Q751" s="3" t="n"/>
      <c r="R751" s="4" t="n"/>
      <c r="S751" s="5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6">
        <f>IF(C751=0,0,IF(E751="",B751*D751/100,E751))</f>
        <v/>
      </c>
      <c r="AE751" s="6">
        <f>IF(F751=0,0,IF(H751="",B751*G751/100,H751))</f>
        <v/>
      </c>
      <c r="AF751" s="6">
        <f>IF(I751=0,0,IF(K751="",B751*J751/100,K751))</f>
        <v/>
      </c>
      <c r="AG751" s="6">
        <f>IF(L751=0,0,IF(N751="",B751*M751/100,N751))</f>
        <v/>
      </c>
      <c r="AH751" s="6">
        <f>IF(O751=0,0,IF(Q751="",B751*P751/100,Q751))</f>
        <v/>
      </c>
      <c r="AI751" s="6">
        <f>IF(R751=0,0,IF(T751="",B751*S751/100,T751))</f>
        <v/>
      </c>
      <c r="AJ751" s="6">
        <f>B751*0.035</f>
        <v/>
      </c>
      <c r="AK751" s="6">
        <f>B751*0.065</f>
        <v/>
      </c>
      <c r="AL751" s="6">
        <f>SUM(B751,AD751,AE751,AF751,AG751,AH751,AI751,U751,V751,AJ751,AK751)</f>
        <v/>
      </c>
      <c r="AM751" s="6">
        <f>B751*0.055</f>
        <v/>
      </c>
      <c r="AN751" s="6">
        <f>B751*0.035</f>
        <v/>
      </c>
      <c r="AO751" s="6">
        <f>B751*0.165</f>
        <v/>
      </c>
      <c r="AP751" s="6">
        <f>MAX(0,AL751-AM751-AO751)</f>
        <v/>
      </c>
      <c r="AQ751" s="6">
        <f>IF(AP751&lt;=490,0,IF(AP751&lt;=600,(AP751-490)*0.05,IF(AP751&lt;=730,5.5+(AP751-600)*0.10,IF(AP751&lt;=3896.67,18.5+(AP751-730)*0.175,IF(AP751&lt;=19896.67,572.67+(AP751-3896.67)*0.25,IF(AP751&lt;=50416.67,4572.67+(AP751-19896.67)*0.30,13728.67+(AP751-50416.67)*0.35))))))</f>
        <v/>
      </c>
      <c r="AR751" s="6">
        <f>SUM(AM751,AQ751,W751,X751,Y751,Z751,AA751,AN751,AO751)</f>
        <v/>
      </c>
      <c r="AS751" s="6">
        <f>AL751-AR751</f>
        <v/>
      </c>
      <c r="AT751" s="6">
        <f>AB751-AC751</f>
        <v/>
      </c>
    </row>
    <row r="752">
      <c r="A752" s="2" t="n"/>
      <c r="B752" s="3" t="n"/>
      <c r="C752" s="4" t="n"/>
      <c r="D752" s="5" t="n"/>
      <c r="E752" s="3" t="n"/>
      <c r="F752" s="4" t="n"/>
      <c r="G752" s="5" t="n"/>
      <c r="H752" s="3" t="n"/>
      <c r="I752" s="4" t="n"/>
      <c r="J752" s="5" t="n"/>
      <c r="K752" s="3" t="n"/>
      <c r="L752" s="4" t="n"/>
      <c r="M752" s="5" t="n"/>
      <c r="N752" s="3" t="n"/>
      <c r="O752" s="4" t="n"/>
      <c r="P752" s="5" t="n"/>
      <c r="Q752" s="3" t="n"/>
      <c r="R752" s="4" t="n"/>
      <c r="S752" s="5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6">
        <f>IF(C752=0,0,IF(E752="",B752*D752/100,E752))</f>
        <v/>
      </c>
      <c r="AE752" s="6">
        <f>IF(F752=0,0,IF(H752="",B752*G752/100,H752))</f>
        <v/>
      </c>
      <c r="AF752" s="6">
        <f>IF(I752=0,0,IF(K752="",B752*J752/100,K752))</f>
        <v/>
      </c>
      <c r="AG752" s="6">
        <f>IF(L752=0,0,IF(N752="",B752*M752/100,N752))</f>
        <v/>
      </c>
      <c r="AH752" s="6">
        <f>IF(O752=0,0,IF(Q752="",B752*P752/100,Q752))</f>
        <v/>
      </c>
      <c r="AI752" s="6">
        <f>IF(R752=0,0,IF(T752="",B752*S752/100,T752))</f>
        <v/>
      </c>
      <c r="AJ752" s="6">
        <f>B752*0.035</f>
        <v/>
      </c>
      <c r="AK752" s="6">
        <f>B752*0.065</f>
        <v/>
      </c>
      <c r="AL752" s="6">
        <f>SUM(B752,AD752,AE752,AF752,AG752,AH752,AI752,U752,V752,AJ752,AK752)</f>
        <v/>
      </c>
      <c r="AM752" s="6">
        <f>B752*0.055</f>
        <v/>
      </c>
      <c r="AN752" s="6">
        <f>B752*0.035</f>
        <v/>
      </c>
      <c r="AO752" s="6">
        <f>B752*0.165</f>
        <v/>
      </c>
      <c r="AP752" s="6">
        <f>MAX(0,AL752-AM752-AO752)</f>
        <v/>
      </c>
      <c r="AQ752" s="6">
        <f>IF(AP752&lt;=490,0,IF(AP752&lt;=600,(AP752-490)*0.05,IF(AP752&lt;=730,5.5+(AP752-600)*0.10,IF(AP752&lt;=3896.67,18.5+(AP752-730)*0.175,IF(AP752&lt;=19896.67,572.67+(AP752-3896.67)*0.25,IF(AP752&lt;=50416.67,4572.67+(AP752-19896.67)*0.30,13728.67+(AP752-50416.67)*0.35))))))</f>
        <v/>
      </c>
      <c r="AR752" s="6">
        <f>SUM(AM752,AQ752,W752,X752,Y752,Z752,AA752,AN752,AO752)</f>
        <v/>
      </c>
      <c r="AS752" s="6">
        <f>AL752-AR752</f>
        <v/>
      </c>
      <c r="AT752" s="6">
        <f>AB752-AC752</f>
        <v/>
      </c>
    </row>
    <row r="753">
      <c r="A753" s="2" t="n"/>
      <c r="B753" s="3" t="n"/>
      <c r="C753" s="4" t="n"/>
      <c r="D753" s="5" t="n"/>
      <c r="E753" s="3" t="n"/>
      <c r="F753" s="4" t="n"/>
      <c r="G753" s="5" t="n"/>
      <c r="H753" s="3" t="n"/>
      <c r="I753" s="4" t="n"/>
      <c r="J753" s="5" t="n"/>
      <c r="K753" s="3" t="n"/>
      <c r="L753" s="4" t="n"/>
      <c r="M753" s="5" t="n"/>
      <c r="N753" s="3" t="n"/>
      <c r="O753" s="4" t="n"/>
      <c r="P753" s="5" t="n"/>
      <c r="Q753" s="3" t="n"/>
      <c r="R753" s="4" t="n"/>
      <c r="S753" s="5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6">
        <f>IF(C753=0,0,IF(E753="",B753*D753/100,E753))</f>
        <v/>
      </c>
      <c r="AE753" s="6">
        <f>IF(F753=0,0,IF(H753="",B753*G753/100,H753))</f>
        <v/>
      </c>
      <c r="AF753" s="6">
        <f>IF(I753=0,0,IF(K753="",B753*J753/100,K753))</f>
        <v/>
      </c>
      <c r="AG753" s="6">
        <f>IF(L753=0,0,IF(N753="",B753*M753/100,N753))</f>
        <v/>
      </c>
      <c r="AH753" s="6">
        <f>IF(O753=0,0,IF(Q753="",B753*P753/100,Q753))</f>
        <v/>
      </c>
      <c r="AI753" s="6">
        <f>IF(R753=0,0,IF(T753="",B753*S753/100,T753))</f>
        <v/>
      </c>
      <c r="AJ753" s="6">
        <f>B753*0.035</f>
        <v/>
      </c>
      <c r="AK753" s="6">
        <f>B753*0.065</f>
        <v/>
      </c>
      <c r="AL753" s="6">
        <f>SUM(B753,AD753,AE753,AF753,AG753,AH753,AI753,U753,V753,AJ753,AK753)</f>
        <v/>
      </c>
      <c r="AM753" s="6">
        <f>B753*0.055</f>
        <v/>
      </c>
      <c r="AN753" s="6">
        <f>B753*0.035</f>
        <v/>
      </c>
      <c r="AO753" s="6">
        <f>B753*0.165</f>
        <v/>
      </c>
      <c r="AP753" s="6">
        <f>MAX(0,AL753-AM753-AO753)</f>
        <v/>
      </c>
      <c r="AQ753" s="6">
        <f>IF(AP753&lt;=490,0,IF(AP753&lt;=600,(AP753-490)*0.05,IF(AP753&lt;=730,5.5+(AP753-600)*0.10,IF(AP753&lt;=3896.67,18.5+(AP753-730)*0.175,IF(AP753&lt;=19896.67,572.67+(AP753-3896.67)*0.25,IF(AP753&lt;=50416.67,4572.67+(AP753-19896.67)*0.30,13728.67+(AP753-50416.67)*0.35))))))</f>
        <v/>
      </c>
      <c r="AR753" s="6">
        <f>SUM(AM753,AQ753,W753,X753,Y753,Z753,AA753,AN753,AO753)</f>
        <v/>
      </c>
      <c r="AS753" s="6">
        <f>AL753-AR753</f>
        <v/>
      </c>
      <c r="AT753" s="6">
        <f>AB753-AC753</f>
        <v/>
      </c>
    </row>
    <row r="754">
      <c r="A754" s="2" t="n"/>
      <c r="B754" s="3" t="n"/>
      <c r="C754" s="4" t="n"/>
      <c r="D754" s="5" t="n"/>
      <c r="E754" s="3" t="n"/>
      <c r="F754" s="4" t="n"/>
      <c r="G754" s="5" t="n"/>
      <c r="H754" s="3" t="n"/>
      <c r="I754" s="4" t="n"/>
      <c r="J754" s="5" t="n"/>
      <c r="K754" s="3" t="n"/>
      <c r="L754" s="4" t="n"/>
      <c r="M754" s="5" t="n"/>
      <c r="N754" s="3" t="n"/>
      <c r="O754" s="4" t="n"/>
      <c r="P754" s="5" t="n"/>
      <c r="Q754" s="3" t="n"/>
      <c r="R754" s="4" t="n"/>
      <c r="S754" s="5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6">
        <f>IF(C754=0,0,IF(E754="",B754*D754/100,E754))</f>
        <v/>
      </c>
      <c r="AE754" s="6">
        <f>IF(F754=0,0,IF(H754="",B754*G754/100,H754))</f>
        <v/>
      </c>
      <c r="AF754" s="6">
        <f>IF(I754=0,0,IF(K754="",B754*J754/100,K754))</f>
        <v/>
      </c>
      <c r="AG754" s="6">
        <f>IF(L754=0,0,IF(N754="",B754*M754/100,N754))</f>
        <v/>
      </c>
      <c r="AH754" s="6">
        <f>IF(O754=0,0,IF(Q754="",B754*P754/100,Q754))</f>
        <v/>
      </c>
      <c r="AI754" s="6">
        <f>IF(R754=0,0,IF(T754="",B754*S754/100,T754))</f>
        <v/>
      </c>
      <c r="AJ754" s="6">
        <f>B754*0.035</f>
        <v/>
      </c>
      <c r="AK754" s="6">
        <f>B754*0.065</f>
        <v/>
      </c>
      <c r="AL754" s="6">
        <f>SUM(B754,AD754,AE754,AF754,AG754,AH754,AI754,U754,V754,AJ754,AK754)</f>
        <v/>
      </c>
      <c r="AM754" s="6">
        <f>B754*0.055</f>
        <v/>
      </c>
      <c r="AN754" s="6">
        <f>B754*0.035</f>
        <v/>
      </c>
      <c r="AO754" s="6">
        <f>B754*0.165</f>
        <v/>
      </c>
      <c r="AP754" s="6">
        <f>MAX(0,AL754-AM754-AO754)</f>
        <v/>
      </c>
      <c r="AQ754" s="6">
        <f>IF(AP754&lt;=490,0,IF(AP754&lt;=600,(AP754-490)*0.05,IF(AP754&lt;=730,5.5+(AP754-600)*0.10,IF(AP754&lt;=3896.67,18.5+(AP754-730)*0.175,IF(AP754&lt;=19896.67,572.67+(AP754-3896.67)*0.25,IF(AP754&lt;=50416.67,4572.67+(AP754-19896.67)*0.30,13728.67+(AP754-50416.67)*0.35))))))</f>
        <v/>
      </c>
      <c r="AR754" s="6">
        <f>SUM(AM754,AQ754,W754,X754,Y754,Z754,AA754,AN754,AO754)</f>
        <v/>
      </c>
      <c r="AS754" s="6">
        <f>AL754-AR754</f>
        <v/>
      </c>
      <c r="AT754" s="6">
        <f>AB754-AC754</f>
        <v/>
      </c>
    </row>
    <row r="755">
      <c r="A755" s="2" t="n"/>
      <c r="B755" s="3" t="n"/>
      <c r="C755" s="4" t="n"/>
      <c r="D755" s="5" t="n"/>
      <c r="E755" s="3" t="n"/>
      <c r="F755" s="4" t="n"/>
      <c r="G755" s="5" t="n"/>
      <c r="H755" s="3" t="n"/>
      <c r="I755" s="4" t="n"/>
      <c r="J755" s="5" t="n"/>
      <c r="K755" s="3" t="n"/>
      <c r="L755" s="4" t="n"/>
      <c r="M755" s="5" t="n"/>
      <c r="N755" s="3" t="n"/>
      <c r="O755" s="4" t="n"/>
      <c r="P755" s="5" t="n"/>
      <c r="Q755" s="3" t="n"/>
      <c r="R755" s="4" t="n"/>
      <c r="S755" s="5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6">
        <f>IF(C755=0,0,IF(E755="",B755*D755/100,E755))</f>
        <v/>
      </c>
      <c r="AE755" s="6">
        <f>IF(F755=0,0,IF(H755="",B755*G755/100,H755))</f>
        <v/>
      </c>
      <c r="AF755" s="6">
        <f>IF(I755=0,0,IF(K755="",B755*J755/100,K755))</f>
        <v/>
      </c>
      <c r="AG755" s="6">
        <f>IF(L755=0,0,IF(N755="",B755*M755/100,N755))</f>
        <v/>
      </c>
      <c r="AH755" s="6">
        <f>IF(O755=0,0,IF(Q755="",B755*P755/100,Q755))</f>
        <v/>
      </c>
      <c r="AI755" s="6">
        <f>IF(R755=0,0,IF(T755="",B755*S755/100,T755))</f>
        <v/>
      </c>
      <c r="AJ755" s="6">
        <f>B755*0.035</f>
        <v/>
      </c>
      <c r="AK755" s="6">
        <f>B755*0.065</f>
        <v/>
      </c>
      <c r="AL755" s="6">
        <f>SUM(B755,AD755,AE755,AF755,AG755,AH755,AI755,U755,V755,AJ755,AK755)</f>
        <v/>
      </c>
      <c r="AM755" s="6">
        <f>B755*0.055</f>
        <v/>
      </c>
      <c r="AN755" s="6">
        <f>B755*0.035</f>
        <v/>
      </c>
      <c r="AO755" s="6">
        <f>B755*0.165</f>
        <v/>
      </c>
      <c r="AP755" s="6">
        <f>MAX(0,AL755-AM755-AO755)</f>
        <v/>
      </c>
      <c r="AQ755" s="6">
        <f>IF(AP755&lt;=490,0,IF(AP755&lt;=600,(AP755-490)*0.05,IF(AP755&lt;=730,5.5+(AP755-600)*0.10,IF(AP755&lt;=3896.67,18.5+(AP755-730)*0.175,IF(AP755&lt;=19896.67,572.67+(AP755-3896.67)*0.25,IF(AP755&lt;=50416.67,4572.67+(AP755-19896.67)*0.30,13728.67+(AP755-50416.67)*0.35))))))</f>
        <v/>
      </c>
      <c r="AR755" s="6">
        <f>SUM(AM755,AQ755,W755,X755,Y755,Z755,AA755,AN755,AO755)</f>
        <v/>
      </c>
      <c r="AS755" s="6">
        <f>AL755-AR755</f>
        <v/>
      </c>
      <c r="AT755" s="6">
        <f>AB755-AC755</f>
        <v/>
      </c>
    </row>
    <row r="756">
      <c r="A756" s="2" t="n"/>
      <c r="B756" s="3" t="n"/>
      <c r="C756" s="4" t="n"/>
      <c r="D756" s="5" t="n"/>
      <c r="E756" s="3" t="n"/>
      <c r="F756" s="4" t="n"/>
      <c r="G756" s="5" t="n"/>
      <c r="H756" s="3" t="n"/>
      <c r="I756" s="4" t="n"/>
      <c r="J756" s="5" t="n"/>
      <c r="K756" s="3" t="n"/>
      <c r="L756" s="4" t="n"/>
      <c r="M756" s="5" t="n"/>
      <c r="N756" s="3" t="n"/>
      <c r="O756" s="4" t="n"/>
      <c r="P756" s="5" t="n"/>
      <c r="Q756" s="3" t="n"/>
      <c r="R756" s="4" t="n"/>
      <c r="S756" s="5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6">
        <f>IF(C756=0,0,IF(E756="",B756*D756/100,E756))</f>
        <v/>
      </c>
      <c r="AE756" s="6">
        <f>IF(F756=0,0,IF(H756="",B756*G756/100,H756))</f>
        <v/>
      </c>
      <c r="AF756" s="6">
        <f>IF(I756=0,0,IF(K756="",B756*J756/100,K756))</f>
        <v/>
      </c>
      <c r="AG756" s="6">
        <f>IF(L756=0,0,IF(N756="",B756*M756/100,N756))</f>
        <v/>
      </c>
      <c r="AH756" s="6">
        <f>IF(O756=0,0,IF(Q756="",B756*P756/100,Q756))</f>
        <v/>
      </c>
      <c r="AI756" s="6">
        <f>IF(R756=0,0,IF(T756="",B756*S756/100,T756))</f>
        <v/>
      </c>
      <c r="AJ756" s="6">
        <f>B756*0.035</f>
        <v/>
      </c>
      <c r="AK756" s="6">
        <f>B756*0.065</f>
        <v/>
      </c>
      <c r="AL756" s="6">
        <f>SUM(B756,AD756,AE756,AF756,AG756,AH756,AI756,U756,V756,AJ756,AK756)</f>
        <v/>
      </c>
      <c r="AM756" s="6">
        <f>B756*0.055</f>
        <v/>
      </c>
      <c r="AN756" s="6">
        <f>B756*0.035</f>
        <v/>
      </c>
      <c r="AO756" s="6">
        <f>B756*0.165</f>
        <v/>
      </c>
      <c r="AP756" s="6">
        <f>MAX(0,AL756-AM756-AO756)</f>
        <v/>
      </c>
      <c r="AQ756" s="6">
        <f>IF(AP756&lt;=490,0,IF(AP756&lt;=600,(AP756-490)*0.05,IF(AP756&lt;=730,5.5+(AP756-600)*0.10,IF(AP756&lt;=3896.67,18.5+(AP756-730)*0.175,IF(AP756&lt;=19896.67,572.67+(AP756-3896.67)*0.25,IF(AP756&lt;=50416.67,4572.67+(AP756-19896.67)*0.30,13728.67+(AP756-50416.67)*0.35))))))</f>
        <v/>
      </c>
      <c r="AR756" s="6">
        <f>SUM(AM756,AQ756,W756,X756,Y756,Z756,AA756,AN756,AO756)</f>
        <v/>
      </c>
      <c r="AS756" s="6">
        <f>AL756-AR756</f>
        <v/>
      </c>
      <c r="AT756" s="6">
        <f>AB756-AC756</f>
        <v/>
      </c>
    </row>
    <row r="757">
      <c r="A757" s="2" t="n"/>
      <c r="B757" s="3" t="n"/>
      <c r="C757" s="4" t="n"/>
      <c r="D757" s="5" t="n"/>
      <c r="E757" s="3" t="n"/>
      <c r="F757" s="4" t="n"/>
      <c r="G757" s="5" t="n"/>
      <c r="H757" s="3" t="n"/>
      <c r="I757" s="4" t="n"/>
      <c r="J757" s="5" t="n"/>
      <c r="K757" s="3" t="n"/>
      <c r="L757" s="4" t="n"/>
      <c r="M757" s="5" t="n"/>
      <c r="N757" s="3" t="n"/>
      <c r="O757" s="4" t="n"/>
      <c r="P757" s="5" t="n"/>
      <c r="Q757" s="3" t="n"/>
      <c r="R757" s="4" t="n"/>
      <c r="S757" s="5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6">
        <f>IF(C757=0,0,IF(E757="",B757*D757/100,E757))</f>
        <v/>
      </c>
      <c r="AE757" s="6">
        <f>IF(F757=0,0,IF(H757="",B757*G757/100,H757))</f>
        <v/>
      </c>
      <c r="AF757" s="6">
        <f>IF(I757=0,0,IF(K757="",B757*J757/100,K757))</f>
        <v/>
      </c>
      <c r="AG757" s="6">
        <f>IF(L757=0,0,IF(N757="",B757*M757/100,N757))</f>
        <v/>
      </c>
      <c r="AH757" s="6">
        <f>IF(O757=0,0,IF(Q757="",B757*P757/100,Q757))</f>
        <v/>
      </c>
      <c r="AI757" s="6">
        <f>IF(R757=0,0,IF(T757="",B757*S757/100,T757))</f>
        <v/>
      </c>
      <c r="AJ757" s="6">
        <f>B757*0.035</f>
        <v/>
      </c>
      <c r="AK757" s="6">
        <f>B757*0.065</f>
        <v/>
      </c>
      <c r="AL757" s="6">
        <f>SUM(B757,AD757,AE757,AF757,AG757,AH757,AI757,U757,V757,AJ757,AK757)</f>
        <v/>
      </c>
      <c r="AM757" s="6">
        <f>B757*0.055</f>
        <v/>
      </c>
      <c r="AN757" s="6">
        <f>B757*0.035</f>
        <v/>
      </c>
      <c r="AO757" s="6">
        <f>B757*0.165</f>
        <v/>
      </c>
      <c r="AP757" s="6">
        <f>MAX(0,AL757-AM757-AO757)</f>
        <v/>
      </c>
      <c r="AQ757" s="6">
        <f>IF(AP757&lt;=490,0,IF(AP757&lt;=600,(AP757-490)*0.05,IF(AP757&lt;=730,5.5+(AP757-600)*0.10,IF(AP757&lt;=3896.67,18.5+(AP757-730)*0.175,IF(AP757&lt;=19896.67,572.67+(AP757-3896.67)*0.25,IF(AP757&lt;=50416.67,4572.67+(AP757-19896.67)*0.30,13728.67+(AP757-50416.67)*0.35))))))</f>
        <v/>
      </c>
      <c r="AR757" s="6">
        <f>SUM(AM757,AQ757,W757,X757,Y757,Z757,AA757,AN757,AO757)</f>
        <v/>
      </c>
      <c r="AS757" s="6">
        <f>AL757-AR757</f>
        <v/>
      </c>
      <c r="AT757" s="6">
        <f>AB757-AC757</f>
        <v/>
      </c>
    </row>
    <row r="758">
      <c r="A758" s="2" t="n"/>
      <c r="B758" s="3" t="n"/>
      <c r="C758" s="4" t="n"/>
      <c r="D758" s="5" t="n"/>
      <c r="E758" s="3" t="n"/>
      <c r="F758" s="4" t="n"/>
      <c r="G758" s="5" t="n"/>
      <c r="H758" s="3" t="n"/>
      <c r="I758" s="4" t="n"/>
      <c r="J758" s="5" t="n"/>
      <c r="K758" s="3" t="n"/>
      <c r="L758" s="4" t="n"/>
      <c r="M758" s="5" t="n"/>
      <c r="N758" s="3" t="n"/>
      <c r="O758" s="4" t="n"/>
      <c r="P758" s="5" t="n"/>
      <c r="Q758" s="3" t="n"/>
      <c r="R758" s="4" t="n"/>
      <c r="S758" s="5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6">
        <f>IF(C758=0,0,IF(E758="",B758*D758/100,E758))</f>
        <v/>
      </c>
      <c r="AE758" s="6">
        <f>IF(F758=0,0,IF(H758="",B758*G758/100,H758))</f>
        <v/>
      </c>
      <c r="AF758" s="6">
        <f>IF(I758=0,0,IF(K758="",B758*J758/100,K758))</f>
        <v/>
      </c>
      <c r="AG758" s="6">
        <f>IF(L758=0,0,IF(N758="",B758*M758/100,N758))</f>
        <v/>
      </c>
      <c r="AH758" s="6">
        <f>IF(O758=0,0,IF(Q758="",B758*P758/100,Q758))</f>
        <v/>
      </c>
      <c r="AI758" s="6">
        <f>IF(R758=0,0,IF(T758="",B758*S758/100,T758))</f>
        <v/>
      </c>
      <c r="AJ758" s="6">
        <f>B758*0.035</f>
        <v/>
      </c>
      <c r="AK758" s="6">
        <f>B758*0.065</f>
        <v/>
      </c>
      <c r="AL758" s="6">
        <f>SUM(B758,AD758,AE758,AF758,AG758,AH758,AI758,U758,V758,AJ758,AK758)</f>
        <v/>
      </c>
      <c r="AM758" s="6">
        <f>B758*0.055</f>
        <v/>
      </c>
      <c r="AN758" s="6">
        <f>B758*0.035</f>
        <v/>
      </c>
      <c r="AO758" s="6">
        <f>B758*0.165</f>
        <v/>
      </c>
      <c r="AP758" s="6">
        <f>MAX(0,AL758-AM758-AO758)</f>
        <v/>
      </c>
      <c r="AQ758" s="6">
        <f>IF(AP758&lt;=490,0,IF(AP758&lt;=600,(AP758-490)*0.05,IF(AP758&lt;=730,5.5+(AP758-600)*0.10,IF(AP758&lt;=3896.67,18.5+(AP758-730)*0.175,IF(AP758&lt;=19896.67,572.67+(AP758-3896.67)*0.25,IF(AP758&lt;=50416.67,4572.67+(AP758-19896.67)*0.30,13728.67+(AP758-50416.67)*0.35))))))</f>
        <v/>
      </c>
      <c r="AR758" s="6">
        <f>SUM(AM758,AQ758,W758,X758,Y758,Z758,AA758,AN758,AO758)</f>
        <v/>
      </c>
      <c r="AS758" s="6">
        <f>AL758-AR758</f>
        <v/>
      </c>
      <c r="AT758" s="6">
        <f>AB758-AC758</f>
        <v/>
      </c>
    </row>
    <row r="759">
      <c r="A759" s="2" t="n"/>
      <c r="B759" s="3" t="n"/>
      <c r="C759" s="4" t="n"/>
      <c r="D759" s="5" t="n"/>
      <c r="E759" s="3" t="n"/>
      <c r="F759" s="4" t="n"/>
      <c r="G759" s="5" t="n"/>
      <c r="H759" s="3" t="n"/>
      <c r="I759" s="4" t="n"/>
      <c r="J759" s="5" t="n"/>
      <c r="K759" s="3" t="n"/>
      <c r="L759" s="4" t="n"/>
      <c r="M759" s="5" t="n"/>
      <c r="N759" s="3" t="n"/>
      <c r="O759" s="4" t="n"/>
      <c r="P759" s="5" t="n"/>
      <c r="Q759" s="3" t="n"/>
      <c r="R759" s="4" t="n"/>
      <c r="S759" s="5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6">
        <f>IF(C759=0,0,IF(E759="",B759*D759/100,E759))</f>
        <v/>
      </c>
      <c r="AE759" s="6">
        <f>IF(F759=0,0,IF(H759="",B759*G759/100,H759))</f>
        <v/>
      </c>
      <c r="AF759" s="6">
        <f>IF(I759=0,0,IF(K759="",B759*J759/100,K759))</f>
        <v/>
      </c>
      <c r="AG759" s="6">
        <f>IF(L759=0,0,IF(N759="",B759*M759/100,N759))</f>
        <v/>
      </c>
      <c r="AH759" s="6">
        <f>IF(O759=0,0,IF(Q759="",B759*P759/100,Q759))</f>
        <v/>
      </c>
      <c r="AI759" s="6">
        <f>IF(R759=0,0,IF(T759="",B759*S759/100,T759))</f>
        <v/>
      </c>
      <c r="AJ759" s="6">
        <f>B759*0.035</f>
        <v/>
      </c>
      <c r="AK759" s="6">
        <f>B759*0.065</f>
        <v/>
      </c>
      <c r="AL759" s="6">
        <f>SUM(B759,AD759,AE759,AF759,AG759,AH759,AI759,U759,V759,AJ759,AK759)</f>
        <v/>
      </c>
      <c r="AM759" s="6">
        <f>B759*0.055</f>
        <v/>
      </c>
      <c r="AN759" s="6">
        <f>B759*0.035</f>
        <v/>
      </c>
      <c r="AO759" s="6">
        <f>B759*0.165</f>
        <v/>
      </c>
      <c r="AP759" s="6">
        <f>MAX(0,AL759-AM759-AO759)</f>
        <v/>
      </c>
      <c r="AQ759" s="6">
        <f>IF(AP759&lt;=490,0,IF(AP759&lt;=600,(AP759-490)*0.05,IF(AP759&lt;=730,5.5+(AP759-600)*0.10,IF(AP759&lt;=3896.67,18.5+(AP759-730)*0.175,IF(AP759&lt;=19896.67,572.67+(AP759-3896.67)*0.25,IF(AP759&lt;=50416.67,4572.67+(AP759-19896.67)*0.30,13728.67+(AP759-50416.67)*0.35))))))</f>
        <v/>
      </c>
      <c r="AR759" s="6">
        <f>SUM(AM759,AQ759,W759,X759,Y759,Z759,AA759,AN759,AO759)</f>
        <v/>
      </c>
      <c r="AS759" s="6">
        <f>AL759-AR759</f>
        <v/>
      </c>
      <c r="AT759" s="6">
        <f>AB759-AC759</f>
        <v/>
      </c>
    </row>
    <row r="760">
      <c r="A760" s="2" t="n"/>
      <c r="B760" s="3" t="n"/>
      <c r="C760" s="4" t="n"/>
      <c r="D760" s="5" t="n"/>
      <c r="E760" s="3" t="n"/>
      <c r="F760" s="4" t="n"/>
      <c r="G760" s="5" t="n"/>
      <c r="H760" s="3" t="n"/>
      <c r="I760" s="4" t="n"/>
      <c r="J760" s="5" t="n"/>
      <c r="K760" s="3" t="n"/>
      <c r="L760" s="4" t="n"/>
      <c r="M760" s="5" t="n"/>
      <c r="N760" s="3" t="n"/>
      <c r="O760" s="4" t="n"/>
      <c r="P760" s="5" t="n"/>
      <c r="Q760" s="3" t="n"/>
      <c r="R760" s="4" t="n"/>
      <c r="S760" s="5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6">
        <f>IF(C760=0,0,IF(E760="",B760*D760/100,E760))</f>
        <v/>
      </c>
      <c r="AE760" s="6">
        <f>IF(F760=0,0,IF(H760="",B760*G760/100,H760))</f>
        <v/>
      </c>
      <c r="AF760" s="6">
        <f>IF(I760=0,0,IF(K760="",B760*J760/100,K760))</f>
        <v/>
      </c>
      <c r="AG760" s="6">
        <f>IF(L760=0,0,IF(N760="",B760*M760/100,N760))</f>
        <v/>
      </c>
      <c r="AH760" s="6">
        <f>IF(O760=0,0,IF(Q760="",B760*P760/100,Q760))</f>
        <v/>
      </c>
      <c r="AI760" s="6">
        <f>IF(R760=0,0,IF(T760="",B760*S760/100,T760))</f>
        <v/>
      </c>
      <c r="AJ760" s="6">
        <f>B760*0.035</f>
        <v/>
      </c>
      <c r="AK760" s="6">
        <f>B760*0.065</f>
        <v/>
      </c>
      <c r="AL760" s="6">
        <f>SUM(B760,AD760,AE760,AF760,AG760,AH760,AI760,U760,V760,AJ760,AK760)</f>
        <v/>
      </c>
      <c r="AM760" s="6">
        <f>B760*0.055</f>
        <v/>
      </c>
      <c r="AN760" s="6">
        <f>B760*0.035</f>
        <v/>
      </c>
      <c r="AO760" s="6">
        <f>B760*0.165</f>
        <v/>
      </c>
      <c r="AP760" s="6">
        <f>MAX(0,AL760-AM760-AO760)</f>
        <v/>
      </c>
      <c r="AQ760" s="6">
        <f>IF(AP760&lt;=490,0,IF(AP760&lt;=600,(AP760-490)*0.05,IF(AP760&lt;=730,5.5+(AP760-600)*0.10,IF(AP760&lt;=3896.67,18.5+(AP760-730)*0.175,IF(AP760&lt;=19896.67,572.67+(AP760-3896.67)*0.25,IF(AP760&lt;=50416.67,4572.67+(AP760-19896.67)*0.30,13728.67+(AP760-50416.67)*0.35))))))</f>
        <v/>
      </c>
      <c r="AR760" s="6">
        <f>SUM(AM760,AQ760,W760,X760,Y760,Z760,AA760,AN760,AO760)</f>
        <v/>
      </c>
      <c r="AS760" s="6">
        <f>AL760-AR760</f>
        <v/>
      </c>
      <c r="AT760" s="6">
        <f>AB760-AC760</f>
        <v/>
      </c>
    </row>
    <row r="761">
      <c r="A761" s="2" t="n"/>
      <c r="B761" s="3" t="n"/>
      <c r="C761" s="4" t="n"/>
      <c r="D761" s="5" t="n"/>
      <c r="E761" s="3" t="n"/>
      <c r="F761" s="4" t="n"/>
      <c r="G761" s="5" t="n"/>
      <c r="H761" s="3" t="n"/>
      <c r="I761" s="4" t="n"/>
      <c r="J761" s="5" t="n"/>
      <c r="K761" s="3" t="n"/>
      <c r="L761" s="4" t="n"/>
      <c r="M761" s="5" t="n"/>
      <c r="N761" s="3" t="n"/>
      <c r="O761" s="4" t="n"/>
      <c r="P761" s="5" t="n"/>
      <c r="Q761" s="3" t="n"/>
      <c r="R761" s="4" t="n"/>
      <c r="S761" s="5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6">
        <f>IF(C761=0,0,IF(E761="",B761*D761/100,E761))</f>
        <v/>
      </c>
      <c r="AE761" s="6">
        <f>IF(F761=0,0,IF(H761="",B761*G761/100,H761))</f>
        <v/>
      </c>
      <c r="AF761" s="6">
        <f>IF(I761=0,0,IF(K761="",B761*J761/100,K761))</f>
        <v/>
      </c>
      <c r="AG761" s="6">
        <f>IF(L761=0,0,IF(N761="",B761*M761/100,N761))</f>
        <v/>
      </c>
      <c r="AH761" s="6">
        <f>IF(O761=0,0,IF(Q761="",B761*P761/100,Q761))</f>
        <v/>
      </c>
      <c r="AI761" s="6">
        <f>IF(R761=0,0,IF(T761="",B761*S761/100,T761))</f>
        <v/>
      </c>
      <c r="AJ761" s="6">
        <f>B761*0.035</f>
        <v/>
      </c>
      <c r="AK761" s="6">
        <f>B761*0.065</f>
        <v/>
      </c>
      <c r="AL761" s="6">
        <f>SUM(B761,AD761,AE761,AF761,AG761,AH761,AI761,U761,V761,AJ761,AK761)</f>
        <v/>
      </c>
      <c r="AM761" s="6">
        <f>B761*0.055</f>
        <v/>
      </c>
      <c r="AN761" s="6">
        <f>B761*0.035</f>
        <v/>
      </c>
      <c r="AO761" s="6">
        <f>B761*0.165</f>
        <v/>
      </c>
      <c r="AP761" s="6">
        <f>MAX(0,AL761-AM761-AO761)</f>
        <v/>
      </c>
      <c r="AQ761" s="6">
        <f>IF(AP761&lt;=490,0,IF(AP761&lt;=600,(AP761-490)*0.05,IF(AP761&lt;=730,5.5+(AP761-600)*0.10,IF(AP761&lt;=3896.67,18.5+(AP761-730)*0.175,IF(AP761&lt;=19896.67,572.67+(AP761-3896.67)*0.25,IF(AP761&lt;=50416.67,4572.67+(AP761-19896.67)*0.30,13728.67+(AP761-50416.67)*0.35))))))</f>
        <v/>
      </c>
      <c r="AR761" s="6">
        <f>SUM(AM761,AQ761,W761,X761,Y761,Z761,AA761,AN761,AO761)</f>
        <v/>
      </c>
      <c r="AS761" s="6">
        <f>AL761-AR761</f>
        <v/>
      </c>
      <c r="AT761" s="6">
        <f>AB761-AC761</f>
        <v/>
      </c>
    </row>
    <row r="762">
      <c r="A762" s="2" t="n"/>
      <c r="B762" s="3" t="n"/>
      <c r="C762" s="4" t="n"/>
      <c r="D762" s="5" t="n"/>
      <c r="E762" s="3" t="n"/>
      <c r="F762" s="4" t="n"/>
      <c r="G762" s="5" t="n"/>
      <c r="H762" s="3" t="n"/>
      <c r="I762" s="4" t="n"/>
      <c r="J762" s="5" t="n"/>
      <c r="K762" s="3" t="n"/>
      <c r="L762" s="4" t="n"/>
      <c r="M762" s="5" t="n"/>
      <c r="N762" s="3" t="n"/>
      <c r="O762" s="4" t="n"/>
      <c r="P762" s="5" t="n"/>
      <c r="Q762" s="3" t="n"/>
      <c r="R762" s="4" t="n"/>
      <c r="S762" s="5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6">
        <f>IF(C762=0,0,IF(E762="",B762*D762/100,E762))</f>
        <v/>
      </c>
      <c r="AE762" s="6">
        <f>IF(F762=0,0,IF(H762="",B762*G762/100,H762))</f>
        <v/>
      </c>
      <c r="AF762" s="6">
        <f>IF(I762=0,0,IF(K762="",B762*J762/100,K762))</f>
        <v/>
      </c>
      <c r="AG762" s="6">
        <f>IF(L762=0,0,IF(N762="",B762*M762/100,N762))</f>
        <v/>
      </c>
      <c r="AH762" s="6">
        <f>IF(O762=0,0,IF(Q762="",B762*P762/100,Q762))</f>
        <v/>
      </c>
      <c r="AI762" s="6">
        <f>IF(R762=0,0,IF(T762="",B762*S762/100,T762))</f>
        <v/>
      </c>
      <c r="AJ762" s="6">
        <f>B762*0.035</f>
        <v/>
      </c>
      <c r="AK762" s="6">
        <f>B762*0.065</f>
        <v/>
      </c>
      <c r="AL762" s="6">
        <f>SUM(B762,AD762,AE762,AF762,AG762,AH762,AI762,U762,V762,AJ762,AK762)</f>
        <v/>
      </c>
      <c r="AM762" s="6">
        <f>B762*0.055</f>
        <v/>
      </c>
      <c r="AN762" s="6">
        <f>B762*0.035</f>
        <v/>
      </c>
      <c r="AO762" s="6">
        <f>B762*0.165</f>
        <v/>
      </c>
      <c r="AP762" s="6">
        <f>MAX(0,AL762-AM762-AO762)</f>
        <v/>
      </c>
      <c r="AQ762" s="6">
        <f>IF(AP762&lt;=490,0,IF(AP762&lt;=600,(AP762-490)*0.05,IF(AP762&lt;=730,5.5+(AP762-600)*0.10,IF(AP762&lt;=3896.67,18.5+(AP762-730)*0.175,IF(AP762&lt;=19896.67,572.67+(AP762-3896.67)*0.25,IF(AP762&lt;=50416.67,4572.67+(AP762-19896.67)*0.30,13728.67+(AP762-50416.67)*0.35))))))</f>
        <v/>
      </c>
      <c r="AR762" s="6">
        <f>SUM(AM762,AQ762,W762,X762,Y762,Z762,AA762,AN762,AO762)</f>
        <v/>
      </c>
      <c r="AS762" s="6">
        <f>AL762-AR762</f>
        <v/>
      </c>
      <c r="AT762" s="6">
        <f>AB762-AC762</f>
        <v/>
      </c>
    </row>
    <row r="763">
      <c r="A763" s="2" t="n"/>
      <c r="B763" s="3" t="n"/>
      <c r="C763" s="4" t="n"/>
      <c r="D763" s="5" t="n"/>
      <c r="E763" s="3" t="n"/>
      <c r="F763" s="4" t="n"/>
      <c r="G763" s="5" t="n"/>
      <c r="H763" s="3" t="n"/>
      <c r="I763" s="4" t="n"/>
      <c r="J763" s="5" t="n"/>
      <c r="K763" s="3" t="n"/>
      <c r="L763" s="4" t="n"/>
      <c r="M763" s="5" t="n"/>
      <c r="N763" s="3" t="n"/>
      <c r="O763" s="4" t="n"/>
      <c r="P763" s="5" t="n"/>
      <c r="Q763" s="3" t="n"/>
      <c r="R763" s="4" t="n"/>
      <c r="S763" s="5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6">
        <f>IF(C763=0,0,IF(E763="",B763*D763/100,E763))</f>
        <v/>
      </c>
      <c r="AE763" s="6">
        <f>IF(F763=0,0,IF(H763="",B763*G763/100,H763))</f>
        <v/>
      </c>
      <c r="AF763" s="6">
        <f>IF(I763=0,0,IF(K763="",B763*J763/100,K763))</f>
        <v/>
      </c>
      <c r="AG763" s="6">
        <f>IF(L763=0,0,IF(N763="",B763*M763/100,N763))</f>
        <v/>
      </c>
      <c r="AH763" s="6">
        <f>IF(O763=0,0,IF(Q763="",B763*P763/100,Q763))</f>
        <v/>
      </c>
      <c r="AI763" s="6">
        <f>IF(R763=0,0,IF(T763="",B763*S763/100,T763))</f>
        <v/>
      </c>
      <c r="AJ763" s="6">
        <f>B763*0.035</f>
        <v/>
      </c>
      <c r="AK763" s="6">
        <f>B763*0.065</f>
        <v/>
      </c>
      <c r="AL763" s="6">
        <f>SUM(B763,AD763,AE763,AF763,AG763,AH763,AI763,U763,V763,AJ763,AK763)</f>
        <v/>
      </c>
      <c r="AM763" s="6">
        <f>B763*0.055</f>
        <v/>
      </c>
      <c r="AN763" s="6">
        <f>B763*0.035</f>
        <v/>
      </c>
      <c r="AO763" s="6">
        <f>B763*0.165</f>
        <v/>
      </c>
      <c r="AP763" s="6">
        <f>MAX(0,AL763-AM763-AO763)</f>
        <v/>
      </c>
      <c r="AQ763" s="6">
        <f>IF(AP763&lt;=490,0,IF(AP763&lt;=600,(AP763-490)*0.05,IF(AP763&lt;=730,5.5+(AP763-600)*0.10,IF(AP763&lt;=3896.67,18.5+(AP763-730)*0.175,IF(AP763&lt;=19896.67,572.67+(AP763-3896.67)*0.25,IF(AP763&lt;=50416.67,4572.67+(AP763-19896.67)*0.30,13728.67+(AP763-50416.67)*0.35))))))</f>
        <v/>
      </c>
      <c r="AR763" s="6">
        <f>SUM(AM763,AQ763,W763,X763,Y763,Z763,AA763,AN763,AO763)</f>
        <v/>
      </c>
      <c r="AS763" s="6">
        <f>AL763-AR763</f>
        <v/>
      </c>
      <c r="AT763" s="6">
        <f>AB763-AC763</f>
        <v/>
      </c>
    </row>
    <row r="764">
      <c r="A764" s="2" t="n"/>
      <c r="B764" s="3" t="n"/>
      <c r="C764" s="4" t="n"/>
      <c r="D764" s="5" t="n"/>
      <c r="E764" s="3" t="n"/>
      <c r="F764" s="4" t="n"/>
      <c r="G764" s="5" t="n"/>
      <c r="H764" s="3" t="n"/>
      <c r="I764" s="4" t="n"/>
      <c r="J764" s="5" t="n"/>
      <c r="K764" s="3" t="n"/>
      <c r="L764" s="4" t="n"/>
      <c r="M764" s="5" t="n"/>
      <c r="N764" s="3" t="n"/>
      <c r="O764" s="4" t="n"/>
      <c r="P764" s="5" t="n"/>
      <c r="Q764" s="3" t="n"/>
      <c r="R764" s="4" t="n"/>
      <c r="S764" s="5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6">
        <f>IF(C764=0,0,IF(E764="",B764*D764/100,E764))</f>
        <v/>
      </c>
      <c r="AE764" s="6">
        <f>IF(F764=0,0,IF(H764="",B764*G764/100,H764))</f>
        <v/>
      </c>
      <c r="AF764" s="6">
        <f>IF(I764=0,0,IF(K764="",B764*J764/100,K764))</f>
        <v/>
      </c>
      <c r="AG764" s="6">
        <f>IF(L764=0,0,IF(N764="",B764*M764/100,N764))</f>
        <v/>
      </c>
      <c r="AH764" s="6">
        <f>IF(O764=0,0,IF(Q764="",B764*P764/100,Q764))</f>
        <v/>
      </c>
      <c r="AI764" s="6">
        <f>IF(R764=0,0,IF(T764="",B764*S764/100,T764))</f>
        <v/>
      </c>
      <c r="AJ764" s="6">
        <f>B764*0.035</f>
        <v/>
      </c>
      <c r="AK764" s="6">
        <f>B764*0.065</f>
        <v/>
      </c>
      <c r="AL764" s="6">
        <f>SUM(B764,AD764,AE764,AF764,AG764,AH764,AI764,U764,V764,AJ764,AK764)</f>
        <v/>
      </c>
      <c r="AM764" s="6">
        <f>B764*0.055</f>
        <v/>
      </c>
      <c r="AN764" s="6">
        <f>B764*0.035</f>
        <v/>
      </c>
      <c r="AO764" s="6">
        <f>B764*0.165</f>
        <v/>
      </c>
      <c r="AP764" s="6">
        <f>MAX(0,AL764-AM764-AO764)</f>
        <v/>
      </c>
      <c r="AQ764" s="6">
        <f>IF(AP764&lt;=490,0,IF(AP764&lt;=600,(AP764-490)*0.05,IF(AP764&lt;=730,5.5+(AP764-600)*0.10,IF(AP764&lt;=3896.67,18.5+(AP764-730)*0.175,IF(AP764&lt;=19896.67,572.67+(AP764-3896.67)*0.25,IF(AP764&lt;=50416.67,4572.67+(AP764-19896.67)*0.30,13728.67+(AP764-50416.67)*0.35))))))</f>
        <v/>
      </c>
      <c r="AR764" s="6">
        <f>SUM(AM764,AQ764,W764,X764,Y764,Z764,AA764,AN764,AO764)</f>
        <v/>
      </c>
      <c r="AS764" s="6">
        <f>AL764-AR764</f>
        <v/>
      </c>
      <c r="AT764" s="6">
        <f>AB764-AC764</f>
        <v/>
      </c>
    </row>
    <row r="765">
      <c r="A765" s="2" t="n"/>
      <c r="B765" s="3" t="n"/>
      <c r="C765" s="4" t="n"/>
      <c r="D765" s="5" t="n"/>
      <c r="E765" s="3" t="n"/>
      <c r="F765" s="4" t="n"/>
      <c r="G765" s="5" t="n"/>
      <c r="H765" s="3" t="n"/>
      <c r="I765" s="4" t="n"/>
      <c r="J765" s="5" t="n"/>
      <c r="K765" s="3" t="n"/>
      <c r="L765" s="4" t="n"/>
      <c r="M765" s="5" t="n"/>
      <c r="N765" s="3" t="n"/>
      <c r="O765" s="4" t="n"/>
      <c r="P765" s="5" t="n"/>
      <c r="Q765" s="3" t="n"/>
      <c r="R765" s="4" t="n"/>
      <c r="S765" s="5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6">
        <f>IF(C765=0,0,IF(E765="",B765*D765/100,E765))</f>
        <v/>
      </c>
      <c r="AE765" s="6">
        <f>IF(F765=0,0,IF(H765="",B765*G765/100,H765))</f>
        <v/>
      </c>
      <c r="AF765" s="6">
        <f>IF(I765=0,0,IF(K765="",B765*J765/100,K765))</f>
        <v/>
      </c>
      <c r="AG765" s="6">
        <f>IF(L765=0,0,IF(N765="",B765*M765/100,N765))</f>
        <v/>
      </c>
      <c r="AH765" s="6">
        <f>IF(O765=0,0,IF(Q765="",B765*P765/100,Q765))</f>
        <v/>
      </c>
      <c r="AI765" s="6">
        <f>IF(R765=0,0,IF(T765="",B765*S765/100,T765))</f>
        <v/>
      </c>
      <c r="AJ765" s="6">
        <f>B765*0.035</f>
        <v/>
      </c>
      <c r="AK765" s="6">
        <f>B765*0.065</f>
        <v/>
      </c>
      <c r="AL765" s="6">
        <f>SUM(B765,AD765,AE765,AF765,AG765,AH765,AI765,U765,V765,AJ765,AK765)</f>
        <v/>
      </c>
      <c r="AM765" s="6">
        <f>B765*0.055</f>
        <v/>
      </c>
      <c r="AN765" s="6">
        <f>B765*0.035</f>
        <v/>
      </c>
      <c r="AO765" s="6">
        <f>B765*0.165</f>
        <v/>
      </c>
      <c r="AP765" s="6">
        <f>MAX(0,AL765-AM765-AO765)</f>
        <v/>
      </c>
      <c r="AQ765" s="6">
        <f>IF(AP765&lt;=490,0,IF(AP765&lt;=600,(AP765-490)*0.05,IF(AP765&lt;=730,5.5+(AP765-600)*0.10,IF(AP765&lt;=3896.67,18.5+(AP765-730)*0.175,IF(AP765&lt;=19896.67,572.67+(AP765-3896.67)*0.25,IF(AP765&lt;=50416.67,4572.67+(AP765-19896.67)*0.30,13728.67+(AP765-50416.67)*0.35))))))</f>
        <v/>
      </c>
      <c r="AR765" s="6">
        <f>SUM(AM765,AQ765,W765,X765,Y765,Z765,AA765,AN765,AO765)</f>
        <v/>
      </c>
      <c r="AS765" s="6">
        <f>AL765-AR765</f>
        <v/>
      </c>
      <c r="AT765" s="6">
        <f>AB765-AC765</f>
        <v/>
      </c>
    </row>
    <row r="766">
      <c r="A766" s="2" t="n"/>
      <c r="B766" s="3" t="n"/>
      <c r="C766" s="4" t="n"/>
      <c r="D766" s="5" t="n"/>
      <c r="E766" s="3" t="n"/>
      <c r="F766" s="4" t="n"/>
      <c r="G766" s="5" t="n"/>
      <c r="H766" s="3" t="n"/>
      <c r="I766" s="4" t="n"/>
      <c r="J766" s="5" t="n"/>
      <c r="K766" s="3" t="n"/>
      <c r="L766" s="4" t="n"/>
      <c r="M766" s="5" t="n"/>
      <c r="N766" s="3" t="n"/>
      <c r="O766" s="4" t="n"/>
      <c r="P766" s="5" t="n"/>
      <c r="Q766" s="3" t="n"/>
      <c r="R766" s="4" t="n"/>
      <c r="S766" s="5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6">
        <f>IF(C766=0,0,IF(E766="",B766*D766/100,E766))</f>
        <v/>
      </c>
      <c r="AE766" s="6">
        <f>IF(F766=0,0,IF(H766="",B766*G766/100,H766))</f>
        <v/>
      </c>
      <c r="AF766" s="6">
        <f>IF(I766=0,0,IF(K766="",B766*J766/100,K766))</f>
        <v/>
      </c>
      <c r="AG766" s="6">
        <f>IF(L766=0,0,IF(N766="",B766*M766/100,N766))</f>
        <v/>
      </c>
      <c r="AH766" s="6">
        <f>IF(O766=0,0,IF(Q766="",B766*P766/100,Q766))</f>
        <v/>
      </c>
      <c r="AI766" s="6">
        <f>IF(R766=0,0,IF(T766="",B766*S766/100,T766))</f>
        <v/>
      </c>
      <c r="AJ766" s="6">
        <f>B766*0.035</f>
        <v/>
      </c>
      <c r="AK766" s="6">
        <f>B766*0.065</f>
        <v/>
      </c>
      <c r="AL766" s="6">
        <f>SUM(B766,AD766,AE766,AF766,AG766,AH766,AI766,U766,V766,AJ766,AK766)</f>
        <v/>
      </c>
      <c r="AM766" s="6">
        <f>B766*0.055</f>
        <v/>
      </c>
      <c r="AN766" s="6">
        <f>B766*0.035</f>
        <v/>
      </c>
      <c r="AO766" s="6">
        <f>B766*0.165</f>
        <v/>
      </c>
      <c r="AP766" s="6">
        <f>MAX(0,AL766-AM766-AO766)</f>
        <v/>
      </c>
      <c r="AQ766" s="6">
        <f>IF(AP766&lt;=490,0,IF(AP766&lt;=600,(AP766-490)*0.05,IF(AP766&lt;=730,5.5+(AP766-600)*0.10,IF(AP766&lt;=3896.67,18.5+(AP766-730)*0.175,IF(AP766&lt;=19896.67,572.67+(AP766-3896.67)*0.25,IF(AP766&lt;=50416.67,4572.67+(AP766-19896.67)*0.30,13728.67+(AP766-50416.67)*0.35))))))</f>
        <v/>
      </c>
      <c r="AR766" s="6">
        <f>SUM(AM766,AQ766,W766,X766,Y766,Z766,AA766,AN766,AO766)</f>
        <v/>
      </c>
      <c r="AS766" s="6">
        <f>AL766-AR766</f>
        <v/>
      </c>
      <c r="AT766" s="6">
        <f>AB766-AC766</f>
        <v/>
      </c>
    </row>
    <row r="767">
      <c r="A767" s="2" t="n"/>
      <c r="B767" s="3" t="n"/>
      <c r="C767" s="4" t="n"/>
      <c r="D767" s="5" t="n"/>
      <c r="E767" s="3" t="n"/>
      <c r="F767" s="4" t="n"/>
      <c r="G767" s="5" t="n"/>
      <c r="H767" s="3" t="n"/>
      <c r="I767" s="4" t="n"/>
      <c r="J767" s="5" t="n"/>
      <c r="K767" s="3" t="n"/>
      <c r="L767" s="4" t="n"/>
      <c r="M767" s="5" t="n"/>
      <c r="N767" s="3" t="n"/>
      <c r="O767" s="4" t="n"/>
      <c r="P767" s="5" t="n"/>
      <c r="Q767" s="3" t="n"/>
      <c r="R767" s="4" t="n"/>
      <c r="S767" s="5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6">
        <f>IF(C767=0,0,IF(E767="",B767*D767/100,E767))</f>
        <v/>
      </c>
      <c r="AE767" s="6">
        <f>IF(F767=0,0,IF(H767="",B767*G767/100,H767))</f>
        <v/>
      </c>
      <c r="AF767" s="6">
        <f>IF(I767=0,0,IF(K767="",B767*J767/100,K767))</f>
        <v/>
      </c>
      <c r="AG767" s="6">
        <f>IF(L767=0,0,IF(N767="",B767*M767/100,N767))</f>
        <v/>
      </c>
      <c r="AH767" s="6">
        <f>IF(O767=0,0,IF(Q767="",B767*P767/100,Q767))</f>
        <v/>
      </c>
      <c r="AI767" s="6">
        <f>IF(R767=0,0,IF(T767="",B767*S767/100,T767))</f>
        <v/>
      </c>
      <c r="AJ767" s="6">
        <f>B767*0.035</f>
        <v/>
      </c>
      <c r="AK767" s="6">
        <f>B767*0.065</f>
        <v/>
      </c>
      <c r="AL767" s="6">
        <f>SUM(B767,AD767,AE767,AF767,AG767,AH767,AI767,U767,V767,AJ767,AK767)</f>
        <v/>
      </c>
      <c r="AM767" s="6">
        <f>B767*0.055</f>
        <v/>
      </c>
      <c r="AN767" s="6">
        <f>B767*0.035</f>
        <v/>
      </c>
      <c r="AO767" s="6">
        <f>B767*0.165</f>
        <v/>
      </c>
      <c r="AP767" s="6">
        <f>MAX(0,AL767-AM767-AO767)</f>
        <v/>
      </c>
      <c r="AQ767" s="6">
        <f>IF(AP767&lt;=490,0,IF(AP767&lt;=600,(AP767-490)*0.05,IF(AP767&lt;=730,5.5+(AP767-600)*0.10,IF(AP767&lt;=3896.67,18.5+(AP767-730)*0.175,IF(AP767&lt;=19896.67,572.67+(AP767-3896.67)*0.25,IF(AP767&lt;=50416.67,4572.67+(AP767-19896.67)*0.30,13728.67+(AP767-50416.67)*0.35))))))</f>
        <v/>
      </c>
      <c r="AR767" s="6">
        <f>SUM(AM767,AQ767,W767,X767,Y767,Z767,AA767,AN767,AO767)</f>
        <v/>
      </c>
      <c r="AS767" s="6">
        <f>AL767-AR767</f>
        <v/>
      </c>
      <c r="AT767" s="6">
        <f>AB767-AC767</f>
        <v/>
      </c>
    </row>
    <row r="768">
      <c r="A768" s="2" t="n"/>
      <c r="B768" s="3" t="n"/>
      <c r="C768" s="4" t="n"/>
      <c r="D768" s="5" t="n"/>
      <c r="E768" s="3" t="n"/>
      <c r="F768" s="4" t="n"/>
      <c r="G768" s="5" t="n"/>
      <c r="H768" s="3" t="n"/>
      <c r="I768" s="4" t="n"/>
      <c r="J768" s="5" t="n"/>
      <c r="K768" s="3" t="n"/>
      <c r="L768" s="4" t="n"/>
      <c r="M768" s="5" t="n"/>
      <c r="N768" s="3" t="n"/>
      <c r="O768" s="4" t="n"/>
      <c r="P768" s="5" t="n"/>
      <c r="Q768" s="3" t="n"/>
      <c r="R768" s="4" t="n"/>
      <c r="S768" s="5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6">
        <f>IF(C768=0,0,IF(E768="",B768*D768/100,E768))</f>
        <v/>
      </c>
      <c r="AE768" s="6">
        <f>IF(F768=0,0,IF(H768="",B768*G768/100,H768))</f>
        <v/>
      </c>
      <c r="AF768" s="6">
        <f>IF(I768=0,0,IF(K768="",B768*J768/100,K768))</f>
        <v/>
      </c>
      <c r="AG768" s="6">
        <f>IF(L768=0,0,IF(N768="",B768*M768/100,N768))</f>
        <v/>
      </c>
      <c r="AH768" s="6">
        <f>IF(O768=0,0,IF(Q768="",B768*P768/100,Q768))</f>
        <v/>
      </c>
      <c r="AI768" s="6">
        <f>IF(R768=0,0,IF(T768="",B768*S768/100,T768))</f>
        <v/>
      </c>
      <c r="AJ768" s="6">
        <f>B768*0.035</f>
        <v/>
      </c>
      <c r="AK768" s="6">
        <f>B768*0.065</f>
        <v/>
      </c>
      <c r="AL768" s="6">
        <f>SUM(B768,AD768,AE768,AF768,AG768,AH768,AI768,U768,V768,AJ768,AK768)</f>
        <v/>
      </c>
      <c r="AM768" s="6">
        <f>B768*0.055</f>
        <v/>
      </c>
      <c r="AN768" s="6">
        <f>B768*0.035</f>
        <v/>
      </c>
      <c r="AO768" s="6">
        <f>B768*0.165</f>
        <v/>
      </c>
      <c r="AP768" s="6">
        <f>MAX(0,AL768-AM768-AO768)</f>
        <v/>
      </c>
      <c r="AQ768" s="6">
        <f>IF(AP768&lt;=490,0,IF(AP768&lt;=600,(AP768-490)*0.05,IF(AP768&lt;=730,5.5+(AP768-600)*0.10,IF(AP768&lt;=3896.67,18.5+(AP768-730)*0.175,IF(AP768&lt;=19896.67,572.67+(AP768-3896.67)*0.25,IF(AP768&lt;=50416.67,4572.67+(AP768-19896.67)*0.30,13728.67+(AP768-50416.67)*0.35))))))</f>
        <v/>
      </c>
      <c r="AR768" s="6">
        <f>SUM(AM768,AQ768,W768,X768,Y768,Z768,AA768,AN768,AO768)</f>
        <v/>
      </c>
      <c r="AS768" s="6">
        <f>AL768-AR768</f>
        <v/>
      </c>
      <c r="AT768" s="6">
        <f>AB768-AC768</f>
        <v/>
      </c>
    </row>
    <row r="769">
      <c r="A769" s="2" t="n"/>
      <c r="B769" s="3" t="n"/>
      <c r="C769" s="4" t="n"/>
      <c r="D769" s="5" t="n"/>
      <c r="E769" s="3" t="n"/>
      <c r="F769" s="4" t="n"/>
      <c r="G769" s="5" t="n"/>
      <c r="H769" s="3" t="n"/>
      <c r="I769" s="4" t="n"/>
      <c r="J769" s="5" t="n"/>
      <c r="K769" s="3" t="n"/>
      <c r="L769" s="4" t="n"/>
      <c r="M769" s="5" t="n"/>
      <c r="N769" s="3" t="n"/>
      <c r="O769" s="4" t="n"/>
      <c r="P769" s="5" t="n"/>
      <c r="Q769" s="3" t="n"/>
      <c r="R769" s="4" t="n"/>
      <c r="S769" s="5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6">
        <f>IF(C769=0,0,IF(E769="",B769*D769/100,E769))</f>
        <v/>
      </c>
      <c r="AE769" s="6">
        <f>IF(F769=0,0,IF(H769="",B769*G769/100,H769))</f>
        <v/>
      </c>
      <c r="AF769" s="6">
        <f>IF(I769=0,0,IF(K769="",B769*J769/100,K769))</f>
        <v/>
      </c>
      <c r="AG769" s="6">
        <f>IF(L769=0,0,IF(N769="",B769*M769/100,N769))</f>
        <v/>
      </c>
      <c r="AH769" s="6">
        <f>IF(O769=0,0,IF(Q769="",B769*P769/100,Q769))</f>
        <v/>
      </c>
      <c r="AI769" s="6">
        <f>IF(R769=0,0,IF(T769="",B769*S769/100,T769))</f>
        <v/>
      </c>
      <c r="AJ769" s="6">
        <f>B769*0.035</f>
        <v/>
      </c>
      <c r="AK769" s="6">
        <f>B769*0.065</f>
        <v/>
      </c>
      <c r="AL769" s="6">
        <f>SUM(B769,AD769,AE769,AF769,AG769,AH769,AI769,U769,V769,AJ769,AK769)</f>
        <v/>
      </c>
      <c r="AM769" s="6">
        <f>B769*0.055</f>
        <v/>
      </c>
      <c r="AN769" s="6">
        <f>B769*0.035</f>
        <v/>
      </c>
      <c r="AO769" s="6">
        <f>B769*0.165</f>
        <v/>
      </c>
      <c r="AP769" s="6">
        <f>MAX(0,AL769-AM769-AO769)</f>
        <v/>
      </c>
      <c r="AQ769" s="6">
        <f>IF(AP769&lt;=490,0,IF(AP769&lt;=600,(AP769-490)*0.05,IF(AP769&lt;=730,5.5+(AP769-600)*0.10,IF(AP769&lt;=3896.67,18.5+(AP769-730)*0.175,IF(AP769&lt;=19896.67,572.67+(AP769-3896.67)*0.25,IF(AP769&lt;=50416.67,4572.67+(AP769-19896.67)*0.30,13728.67+(AP769-50416.67)*0.35))))))</f>
        <v/>
      </c>
      <c r="AR769" s="6">
        <f>SUM(AM769,AQ769,W769,X769,Y769,Z769,AA769,AN769,AO769)</f>
        <v/>
      </c>
      <c r="AS769" s="6">
        <f>AL769-AR769</f>
        <v/>
      </c>
      <c r="AT769" s="6">
        <f>AB769-AC769</f>
        <v/>
      </c>
    </row>
    <row r="770">
      <c r="A770" s="2" t="n"/>
      <c r="B770" s="3" t="n"/>
      <c r="C770" s="4" t="n"/>
      <c r="D770" s="5" t="n"/>
      <c r="E770" s="3" t="n"/>
      <c r="F770" s="4" t="n"/>
      <c r="G770" s="5" t="n"/>
      <c r="H770" s="3" t="n"/>
      <c r="I770" s="4" t="n"/>
      <c r="J770" s="5" t="n"/>
      <c r="K770" s="3" t="n"/>
      <c r="L770" s="4" t="n"/>
      <c r="M770" s="5" t="n"/>
      <c r="N770" s="3" t="n"/>
      <c r="O770" s="4" t="n"/>
      <c r="P770" s="5" t="n"/>
      <c r="Q770" s="3" t="n"/>
      <c r="R770" s="4" t="n"/>
      <c r="S770" s="5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6">
        <f>IF(C770=0,0,IF(E770="",B770*D770/100,E770))</f>
        <v/>
      </c>
      <c r="AE770" s="6">
        <f>IF(F770=0,0,IF(H770="",B770*G770/100,H770))</f>
        <v/>
      </c>
      <c r="AF770" s="6">
        <f>IF(I770=0,0,IF(K770="",B770*J770/100,K770))</f>
        <v/>
      </c>
      <c r="AG770" s="6">
        <f>IF(L770=0,0,IF(N770="",B770*M770/100,N770))</f>
        <v/>
      </c>
      <c r="AH770" s="6">
        <f>IF(O770=0,0,IF(Q770="",B770*P770/100,Q770))</f>
        <v/>
      </c>
      <c r="AI770" s="6">
        <f>IF(R770=0,0,IF(T770="",B770*S770/100,T770))</f>
        <v/>
      </c>
      <c r="AJ770" s="6">
        <f>B770*0.035</f>
        <v/>
      </c>
      <c r="AK770" s="6">
        <f>B770*0.065</f>
        <v/>
      </c>
      <c r="AL770" s="6">
        <f>SUM(B770,AD770,AE770,AF770,AG770,AH770,AI770,U770,V770,AJ770,AK770)</f>
        <v/>
      </c>
      <c r="AM770" s="6">
        <f>B770*0.055</f>
        <v/>
      </c>
      <c r="AN770" s="6">
        <f>B770*0.035</f>
        <v/>
      </c>
      <c r="AO770" s="6">
        <f>B770*0.165</f>
        <v/>
      </c>
      <c r="AP770" s="6">
        <f>MAX(0,AL770-AM770-AO770)</f>
        <v/>
      </c>
      <c r="AQ770" s="6">
        <f>IF(AP770&lt;=490,0,IF(AP770&lt;=600,(AP770-490)*0.05,IF(AP770&lt;=730,5.5+(AP770-600)*0.10,IF(AP770&lt;=3896.67,18.5+(AP770-730)*0.175,IF(AP770&lt;=19896.67,572.67+(AP770-3896.67)*0.25,IF(AP770&lt;=50416.67,4572.67+(AP770-19896.67)*0.30,13728.67+(AP770-50416.67)*0.35))))))</f>
        <v/>
      </c>
      <c r="AR770" s="6">
        <f>SUM(AM770,AQ770,W770,X770,Y770,Z770,AA770,AN770,AO770)</f>
        <v/>
      </c>
      <c r="AS770" s="6">
        <f>AL770-AR770</f>
        <v/>
      </c>
      <c r="AT770" s="6">
        <f>AB770-AC770</f>
        <v/>
      </c>
    </row>
    <row r="771">
      <c r="A771" s="2" t="n"/>
      <c r="B771" s="3" t="n"/>
      <c r="C771" s="4" t="n"/>
      <c r="D771" s="5" t="n"/>
      <c r="E771" s="3" t="n"/>
      <c r="F771" s="4" t="n"/>
      <c r="G771" s="5" t="n"/>
      <c r="H771" s="3" t="n"/>
      <c r="I771" s="4" t="n"/>
      <c r="J771" s="5" t="n"/>
      <c r="K771" s="3" t="n"/>
      <c r="L771" s="4" t="n"/>
      <c r="M771" s="5" t="n"/>
      <c r="N771" s="3" t="n"/>
      <c r="O771" s="4" t="n"/>
      <c r="P771" s="5" t="n"/>
      <c r="Q771" s="3" t="n"/>
      <c r="R771" s="4" t="n"/>
      <c r="S771" s="5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6">
        <f>IF(C771=0,0,IF(E771="",B771*D771/100,E771))</f>
        <v/>
      </c>
      <c r="AE771" s="6">
        <f>IF(F771=0,0,IF(H771="",B771*G771/100,H771))</f>
        <v/>
      </c>
      <c r="AF771" s="6">
        <f>IF(I771=0,0,IF(K771="",B771*J771/100,K771))</f>
        <v/>
      </c>
      <c r="AG771" s="6">
        <f>IF(L771=0,0,IF(N771="",B771*M771/100,N771))</f>
        <v/>
      </c>
      <c r="AH771" s="6">
        <f>IF(O771=0,0,IF(Q771="",B771*P771/100,Q771))</f>
        <v/>
      </c>
      <c r="AI771" s="6">
        <f>IF(R771=0,0,IF(T771="",B771*S771/100,T771))</f>
        <v/>
      </c>
      <c r="AJ771" s="6">
        <f>B771*0.035</f>
        <v/>
      </c>
      <c r="AK771" s="6">
        <f>B771*0.065</f>
        <v/>
      </c>
      <c r="AL771" s="6">
        <f>SUM(B771,AD771,AE771,AF771,AG771,AH771,AI771,U771,V771,AJ771,AK771)</f>
        <v/>
      </c>
      <c r="AM771" s="6">
        <f>B771*0.055</f>
        <v/>
      </c>
      <c r="AN771" s="6">
        <f>B771*0.035</f>
        <v/>
      </c>
      <c r="AO771" s="6">
        <f>B771*0.165</f>
        <v/>
      </c>
      <c r="AP771" s="6">
        <f>MAX(0,AL771-AM771-AO771)</f>
        <v/>
      </c>
      <c r="AQ771" s="6">
        <f>IF(AP771&lt;=490,0,IF(AP771&lt;=600,(AP771-490)*0.05,IF(AP771&lt;=730,5.5+(AP771-600)*0.10,IF(AP771&lt;=3896.67,18.5+(AP771-730)*0.175,IF(AP771&lt;=19896.67,572.67+(AP771-3896.67)*0.25,IF(AP771&lt;=50416.67,4572.67+(AP771-19896.67)*0.30,13728.67+(AP771-50416.67)*0.35))))))</f>
        <v/>
      </c>
      <c r="AR771" s="6">
        <f>SUM(AM771,AQ771,W771,X771,Y771,Z771,AA771,AN771,AO771)</f>
        <v/>
      </c>
      <c r="AS771" s="6">
        <f>AL771-AR771</f>
        <v/>
      </c>
      <c r="AT771" s="6">
        <f>AB771-AC771</f>
        <v/>
      </c>
    </row>
    <row r="772">
      <c r="A772" s="2" t="n"/>
      <c r="B772" s="3" t="n"/>
      <c r="C772" s="4" t="n"/>
      <c r="D772" s="5" t="n"/>
      <c r="E772" s="3" t="n"/>
      <c r="F772" s="4" t="n"/>
      <c r="G772" s="5" t="n"/>
      <c r="H772" s="3" t="n"/>
      <c r="I772" s="4" t="n"/>
      <c r="J772" s="5" t="n"/>
      <c r="K772" s="3" t="n"/>
      <c r="L772" s="4" t="n"/>
      <c r="M772" s="5" t="n"/>
      <c r="N772" s="3" t="n"/>
      <c r="O772" s="4" t="n"/>
      <c r="P772" s="5" t="n"/>
      <c r="Q772" s="3" t="n"/>
      <c r="R772" s="4" t="n"/>
      <c r="S772" s="5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6">
        <f>IF(C772=0,0,IF(E772="",B772*D772/100,E772))</f>
        <v/>
      </c>
      <c r="AE772" s="6">
        <f>IF(F772=0,0,IF(H772="",B772*G772/100,H772))</f>
        <v/>
      </c>
      <c r="AF772" s="6">
        <f>IF(I772=0,0,IF(K772="",B772*J772/100,K772))</f>
        <v/>
      </c>
      <c r="AG772" s="6">
        <f>IF(L772=0,0,IF(N772="",B772*M772/100,N772))</f>
        <v/>
      </c>
      <c r="AH772" s="6">
        <f>IF(O772=0,0,IF(Q772="",B772*P772/100,Q772))</f>
        <v/>
      </c>
      <c r="AI772" s="6">
        <f>IF(R772=0,0,IF(T772="",B772*S772/100,T772))</f>
        <v/>
      </c>
      <c r="AJ772" s="6">
        <f>B772*0.035</f>
        <v/>
      </c>
      <c r="AK772" s="6">
        <f>B772*0.065</f>
        <v/>
      </c>
      <c r="AL772" s="6">
        <f>SUM(B772,AD772,AE772,AF772,AG772,AH772,AI772,U772,V772,AJ772,AK772)</f>
        <v/>
      </c>
      <c r="AM772" s="6">
        <f>B772*0.055</f>
        <v/>
      </c>
      <c r="AN772" s="6">
        <f>B772*0.035</f>
        <v/>
      </c>
      <c r="AO772" s="6">
        <f>B772*0.165</f>
        <v/>
      </c>
      <c r="AP772" s="6">
        <f>MAX(0,AL772-AM772-AO772)</f>
        <v/>
      </c>
      <c r="AQ772" s="6">
        <f>IF(AP772&lt;=490,0,IF(AP772&lt;=600,(AP772-490)*0.05,IF(AP772&lt;=730,5.5+(AP772-600)*0.10,IF(AP772&lt;=3896.67,18.5+(AP772-730)*0.175,IF(AP772&lt;=19896.67,572.67+(AP772-3896.67)*0.25,IF(AP772&lt;=50416.67,4572.67+(AP772-19896.67)*0.30,13728.67+(AP772-50416.67)*0.35))))))</f>
        <v/>
      </c>
      <c r="AR772" s="6">
        <f>SUM(AM772,AQ772,W772,X772,Y772,Z772,AA772,AN772,AO772)</f>
        <v/>
      </c>
      <c r="AS772" s="6">
        <f>AL772-AR772</f>
        <v/>
      </c>
      <c r="AT772" s="6">
        <f>AB772-AC772</f>
        <v/>
      </c>
    </row>
    <row r="773">
      <c r="A773" s="2" t="n"/>
      <c r="B773" s="3" t="n"/>
      <c r="C773" s="4" t="n"/>
      <c r="D773" s="5" t="n"/>
      <c r="E773" s="3" t="n"/>
      <c r="F773" s="4" t="n"/>
      <c r="G773" s="5" t="n"/>
      <c r="H773" s="3" t="n"/>
      <c r="I773" s="4" t="n"/>
      <c r="J773" s="5" t="n"/>
      <c r="K773" s="3" t="n"/>
      <c r="L773" s="4" t="n"/>
      <c r="M773" s="5" t="n"/>
      <c r="N773" s="3" t="n"/>
      <c r="O773" s="4" t="n"/>
      <c r="P773" s="5" t="n"/>
      <c r="Q773" s="3" t="n"/>
      <c r="R773" s="4" t="n"/>
      <c r="S773" s="5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6">
        <f>IF(C773=0,0,IF(E773="",B773*D773/100,E773))</f>
        <v/>
      </c>
      <c r="AE773" s="6">
        <f>IF(F773=0,0,IF(H773="",B773*G773/100,H773))</f>
        <v/>
      </c>
      <c r="AF773" s="6">
        <f>IF(I773=0,0,IF(K773="",B773*J773/100,K773))</f>
        <v/>
      </c>
      <c r="AG773" s="6">
        <f>IF(L773=0,0,IF(N773="",B773*M773/100,N773))</f>
        <v/>
      </c>
      <c r="AH773" s="6">
        <f>IF(O773=0,0,IF(Q773="",B773*P773/100,Q773))</f>
        <v/>
      </c>
      <c r="AI773" s="6">
        <f>IF(R773=0,0,IF(T773="",B773*S773/100,T773))</f>
        <v/>
      </c>
      <c r="AJ773" s="6">
        <f>B773*0.035</f>
        <v/>
      </c>
      <c r="AK773" s="6">
        <f>B773*0.065</f>
        <v/>
      </c>
      <c r="AL773" s="6">
        <f>SUM(B773,AD773,AE773,AF773,AG773,AH773,AI773,U773,V773,AJ773,AK773)</f>
        <v/>
      </c>
      <c r="AM773" s="6">
        <f>B773*0.055</f>
        <v/>
      </c>
      <c r="AN773" s="6">
        <f>B773*0.035</f>
        <v/>
      </c>
      <c r="AO773" s="6">
        <f>B773*0.165</f>
        <v/>
      </c>
      <c r="AP773" s="6">
        <f>MAX(0,AL773-AM773-AO773)</f>
        <v/>
      </c>
      <c r="AQ773" s="6">
        <f>IF(AP773&lt;=490,0,IF(AP773&lt;=600,(AP773-490)*0.05,IF(AP773&lt;=730,5.5+(AP773-600)*0.10,IF(AP773&lt;=3896.67,18.5+(AP773-730)*0.175,IF(AP773&lt;=19896.67,572.67+(AP773-3896.67)*0.25,IF(AP773&lt;=50416.67,4572.67+(AP773-19896.67)*0.30,13728.67+(AP773-50416.67)*0.35))))))</f>
        <v/>
      </c>
      <c r="AR773" s="6">
        <f>SUM(AM773,AQ773,W773,X773,Y773,Z773,AA773,AN773,AO773)</f>
        <v/>
      </c>
      <c r="AS773" s="6">
        <f>AL773-AR773</f>
        <v/>
      </c>
      <c r="AT773" s="6">
        <f>AB773-AC773</f>
        <v/>
      </c>
    </row>
    <row r="774">
      <c r="A774" s="2" t="n"/>
      <c r="B774" s="3" t="n"/>
      <c r="C774" s="4" t="n"/>
      <c r="D774" s="5" t="n"/>
      <c r="E774" s="3" t="n"/>
      <c r="F774" s="4" t="n"/>
      <c r="G774" s="5" t="n"/>
      <c r="H774" s="3" t="n"/>
      <c r="I774" s="4" t="n"/>
      <c r="J774" s="5" t="n"/>
      <c r="K774" s="3" t="n"/>
      <c r="L774" s="4" t="n"/>
      <c r="M774" s="5" t="n"/>
      <c r="N774" s="3" t="n"/>
      <c r="O774" s="4" t="n"/>
      <c r="P774" s="5" t="n"/>
      <c r="Q774" s="3" t="n"/>
      <c r="R774" s="4" t="n"/>
      <c r="S774" s="5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6">
        <f>IF(C774=0,0,IF(E774="",B774*D774/100,E774))</f>
        <v/>
      </c>
      <c r="AE774" s="6">
        <f>IF(F774=0,0,IF(H774="",B774*G774/100,H774))</f>
        <v/>
      </c>
      <c r="AF774" s="6">
        <f>IF(I774=0,0,IF(K774="",B774*J774/100,K774))</f>
        <v/>
      </c>
      <c r="AG774" s="6">
        <f>IF(L774=0,0,IF(N774="",B774*M774/100,N774))</f>
        <v/>
      </c>
      <c r="AH774" s="6">
        <f>IF(O774=0,0,IF(Q774="",B774*P774/100,Q774))</f>
        <v/>
      </c>
      <c r="AI774" s="6">
        <f>IF(R774=0,0,IF(T774="",B774*S774/100,T774))</f>
        <v/>
      </c>
      <c r="AJ774" s="6">
        <f>B774*0.035</f>
        <v/>
      </c>
      <c r="AK774" s="6">
        <f>B774*0.065</f>
        <v/>
      </c>
      <c r="AL774" s="6">
        <f>SUM(B774,AD774,AE774,AF774,AG774,AH774,AI774,U774,V774,AJ774,AK774)</f>
        <v/>
      </c>
      <c r="AM774" s="6">
        <f>B774*0.055</f>
        <v/>
      </c>
      <c r="AN774" s="6">
        <f>B774*0.035</f>
        <v/>
      </c>
      <c r="AO774" s="6">
        <f>B774*0.165</f>
        <v/>
      </c>
      <c r="AP774" s="6">
        <f>MAX(0,AL774-AM774-AO774)</f>
        <v/>
      </c>
      <c r="AQ774" s="6">
        <f>IF(AP774&lt;=490,0,IF(AP774&lt;=600,(AP774-490)*0.05,IF(AP774&lt;=730,5.5+(AP774-600)*0.10,IF(AP774&lt;=3896.67,18.5+(AP774-730)*0.175,IF(AP774&lt;=19896.67,572.67+(AP774-3896.67)*0.25,IF(AP774&lt;=50416.67,4572.67+(AP774-19896.67)*0.30,13728.67+(AP774-50416.67)*0.35))))))</f>
        <v/>
      </c>
      <c r="AR774" s="6">
        <f>SUM(AM774,AQ774,W774,X774,Y774,Z774,AA774,AN774,AO774)</f>
        <v/>
      </c>
      <c r="AS774" s="6">
        <f>AL774-AR774</f>
        <v/>
      </c>
      <c r="AT774" s="6">
        <f>AB774-AC774</f>
        <v/>
      </c>
    </row>
    <row r="775">
      <c r="A775" s="2" t="n"/>
      <c r="B775" s="3" t="n"/>
      <c r="C775" s="4" t="n"/>
      <c r="D775" s="5" t="n"/>
      <c r="E775" s="3" t="n"/>
      <c r="F775" s="4" t="n"/>
      <c r="G775" s="5" t="n"/>
      <c r="H775" s="3" t="n"/>
      <c r="I775" s="4" t="n"/>
      <c r="J775" s="5" t="n"/>
      <c r="K775" s="3" t="n"/>
      <c r="L775" s="4" t="n"/>
      <c r="M775" s="5" t="n"/>
      <c r="N775" s="3" t="n"/>
      <c r="O775" s="4" t="n"/>
      <c r="P775" s="5" t="n"/>
      <c r="Q775" s="3" t="n"/>
      <c r="R775" s="4" t="n"/>
      <c r="S775" s="5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6">
        <f>IF(C775=0,0,IF(E775="",B775*D775/100,E775))</f>
        <v/>
      </c>
      <c r="AE775" s="6">
        <f>IF(F775=0,0,IF(H775="",B775*G775/100,H775))</f>
        <v/>
      </c>
      <c r="AF775" s="6">
        <f>IF(I775=0,0,IF(K775="",B775*J775/100,K775))</f>
        <v/>
      </c>
      <c r="AG775" s="6">
        <f>IF(L775=0,0,IF(N775="",B775*M775/100,N775))</f>
        <v/>
      </c>
      <c r="AH775" s="6">
        <f>IF(O775=0,0,IF(Q775="",B775*P775/100,Q775))</f>
        <v/>
      </c>
      <c r="AI775" s="6">
        <f>IF(R775=0,0,IF(T775="",B775*S775/100,T775))</f>
        <v/>
      </c>
      <c r="AJ775" s="6">
        <f>B775*0.035</f>
        <v/>
      </c>
      <c r="AK775" s="6">
        <f>B775*0.065</f>
        <v/>
      </c>
      <c r="AL775" s="6">
        <f>SUM(B775,AD775,AE775,AF775,AG775,AH775,AI775,U775,V775,AJ775,AK775)</f>
        <v/>
      </c>
      <c r="AM775" s="6">
        <f>B775*0.055</f>
        <v/>
      </c>
      <c r="AN775" s="6">
        <f>B775*0.035</f>
        <v/>
      </c>
      <c r="AO775" s="6">
        <f>B775*0.165</f>
        <v/>
      </c>
      <c r="AP775" s="6">
        <f>MAX(0,AL775-AM775-AO775)</f>
        <v/>
      </c>
      <c r="AQ775" s="6">
        <f>IF(AP775&lt;=490,0,IF(AP775&lt;=600,(AP775-490)*0.05,IF(AP775&lt;=730,5.5+(AP775-600)*0.10,IF(AP775&lt;=3896.67,18.5+(AP775-730)*0.175,IF(AP775&lt;=19896.67,572.67+(AP775-3896.67)*0.25,IF(AP775&lt;=50416.67,4572.67+(AP775-19896.67)*0.30,13728.67+(AP775-50416.67)*0.35))))))</f>
        <v/>
      </c>
      <c r="AR775" s="6">
        <f>SUM(AM775,AQ775,W775,X775,Y775,Z775,AA775,AN775,AO775)</f>
        <v/>
      </c>
      <c r="AS775" s="6">
        <f>AL775-AR775</f>
        <v/>
      </c>
      <c r="AT775" s="6">
        <f>AB775-AC775</f>
        <v/>
      </c>
    </row>
    <row r="776">
      <c r="A776" s="2" t="n"/>
      <c r="B776" s="3" t="n"/>
      <c r="C776" s="4" t="n"/>
      <c r="D776" s="5" t="n"/>
      <c r="E776" s="3" t="n"/>
      <c r="F776" s="4" t="n"/>
      <c r="G776" s="5" t="n"/>
      <c r="H776" s="3" t="n"/>
      <c r="I776" s="4" t="n"/>
      <c r="J776" s="5" t="n"/>
      <c r="K776" s="3" t="n"/>
      <c r="L776" s="4" t="n"/>
      <c r="M776" s="5" t="n"/>
      <c r="N776" s="3" t="n"/>
      <c r="O776" s="4" t="n"/>
      <c r="P776" s="5" t="n"/>
      <c r="Q776" s="3" t="n"/>
      <c r="R776" s="4" t="n"/>
      <c r="S776" s="5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6">
        <f>IF(C776=0,0,IF(E776="",B776*D776/100,E776))</f>
        <v/>
      </c>
      <c r="AE776" s="6">
        <f>IF(F776=0,0,IF(H776="",B776*G776/100,H776))</f>
        <v/>
      </c>
      <c r="AF776" s="6">
        <f>IF(I776=0,0,IF(K776="",B776*J776/100,K776))</f>
        <v/>
      </c>
      <c r="AG776" s="6">
        <f>IF(L776=0,0,IF(N776="",B776*M776/100,N776))</f>
        <v/>
      </c>
      <c r="AH776" s="6">
        <f>IF(O776=0,0,IF(Q776="",B776*P776/100,Q776))</f>
        <v/>
      </c>
      <c r="AI776" s="6">
        <f>IF(R776=0,0,IF(T776="",B776*S776/100,T776))</f>
        <v/>
      </c>
      <c r="AJ776" s="6">
        <f>B776*0.035</f>
        <v/>
      </c>
      <c r="AK776" s="6">
        <f>B776*0.065</f>
        <v/>
      </c>
      <c r="AL776" s="6">
        <f>SUM(B776,AD776,AE776,AF776,AG776,AH776,AI776,U776,V776,AJ776,AK776)</f>
        <v/>
      </c>
      <c r="AM776" s="6">
        <f>B776*0.055</f>
        <v/>
      </c>
      <c r="AN776" s="6">
        <f>B776*0.035</f>
        <v/>
      </c>
      <c r="AO776" s="6">
        <f>B776*0.165</f>
        <v/>
      </c>
      <c r="AP776" s="6">
        <f>MAX(0,AL776-AM776-AO776)</f>
        <v/>
      </c>
      <c r="AQ776" s="6">
        <f>IF(AP776&lt;=490,0,IF(AP776&lt;=600,(AP776-490)*0.05,IF(AP776&lt;=730,5.5+(AP776-600)*0.10,IF(AP776&lt;=3896.67,18.5+(AP776-730)*0.175,IF(AP776&lt;=19896.67,572.67+(AP776-3896.67)*0.25,IF(AP776&lt;=50416.67,4572.67+(AP776-19896.67)*0.30,13728.67+(AP776-50416.67)*0.35))))))</f>
        <v/>
      </c>
      <c r="AR776" s="6">
        <f>SUM(AM776,AQ776,W776,X776,Y776,Z776,AA776,AN776,AO776)</f>
        <v/>
      </c>
      <c r="AS776" s="6">
        <f>AL776-AR776</f>
        <v/>
      </c>
      <c r="AT776" s="6">
        <f>AB776-AC776</f>
        <v/>
      </c>
    </row>
    <row r="777">
      <c r="A777" s="2" t="n"/>
      <c r="B777" s="3" t="n"/>
      <c r="C777" s="4" t="n"/>
      <c r="D777" s="5" t="n"/>
      <c r="E777" s="3" t="n"/>
      <c r="F777" s="4" t="n"/>
      <c r="G777" s="5" t="n"/>
      <c r="H777" s="3" t="n"/>
      <c r="I777" s="4" t="n"/>
      <c r="J777" s="5" t="n"/>
      <c r="K777" s="3" t="n"/>
      <c r="L777" s="4" t="n"/>
      <c r="M777" s="5" t="n"/>
      <c r="N777" s="3" t="n"/>
      <c r="O777" s="4" t="n"/>
      <c r="P777" s="5" t="n"/>
      <c r="Q777" s="3" t="n"/>
      <c r="R777" s="4" t="n"/>
      <c r="S777" s="5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6">
        <f>IF(C777=0,0,IF(E777="",B777*D777/100,E777))</f>
        <v/>
      </c>
      <c r="AE777" s="6">
        <f>IF(F777=0,0,IF(H777="",B777*G777/100,H777))</f>
        <v/>
      </c>
      <c r="AF777" s="6">
        <f>IF(I777=0,0,IF(K777="",B777*J777/100,K777))</f>
        <v/>
      </c>
      <c r="AG777" s="6">
        <f>IF(L777=0,0,IF(N777="",B777*M777/100,N777))</f>
        <v/>
      </c>
      <c r="AH777" s="6">
        <f>IF(O777=0,0,IF(Q777="",B777*P777/100,Q777))</f>
        <v/>
      </c>
      <c r="AI777" s="6">
        <f>IF(R777=0,0,IF(T777="",B777*S777/100,T777))</f>
        <v/>
      </c>
      <c r="AJ777" s="6">
        <f>B777*0.035</f>
        <v/>
      </c>
      <c r="AK777" s="6">
        <f>B777*0.065</f>
        <v/>
      </c>
      <c r="AL777" s="6">
        <f>SUM(B777,AD777,AE777,AF777,AG777,AH777,AI777,U777,V777,AJ777,AK777)</f>
        <v/>
      </c>
      <c r="AM777" s="6">
        <f>B777*0.055</f>
        <v/>
      </c>
      <c r="AN777" s="6">
        <f>B777*0.035</f>
        <v/>
      </c>
      <c r="AO777" s="6">
        <f>B777*0.165</f>
        <v/>
      </c>
      <c r="AP777" s="6">
        <f>MAX(0,AL777-AM777-AO777)</f>
        <v/>
      </c>
      <c r="AQ777" s="6">
        <f>IF(AP777&lt;=490,0,IF(AP777&lt;=600,(AP777-490)*0.05,IF(AP777&lt;=730,5.5+(AP777-600)*0.10,IF(AP777&lt;=3896.67,18.5+(AP777-730)*0.175,IF(AP777&lt;=19896.67,572.67+(AP777-3896.67)*0.25,IF(AP777&lt;=50416.67,4572.67+(AP777-19896.67)*0.30,13728.67+(AP777-50416.67)*0.35))))))</f>
        <v/>
      </c>
      <c r="AR777" s="6">
        <f>SUM(AM777,AQ777,W777,X777,Y777,Z777,AA777,AN777,AO777)</f>
        <v/>
      </c>
      <c r="AS777" s="6">
        <f>AL777-AR777</f>
        <v/>
      </c>
      <c r="AT777" s="6">
        <f>AB777-AC777</f>
        <v/>
      </c>
    </row>
    <row r="778">
      <c r="A778" s="2" t="n"/>
      <c r="B778" s="3" t="n"/>
      <c r="C778" s="4" t="n"/>
      <c r="D778" s="5" t="n"/>
      <c r="E778" s="3" t="n"/>
      <c r="F778" s="4" t="n"/>
      <c r="G778" s="5" t="n"/>
      <c r="H778" s="3" t="n"/>
      <c r="I778" s="4" t="n"/>
      <c r="J778" s="5" t="n"/>
      <c r="K778" s="3" t="n"/>
      <c r="L778" s="4" t="n"/>
      <c r="M778" s="5" t="n"/>
      <c r="N778" s="3" t="n"/>
      <c r="O778" s="4" t="n"/>
      <c r="P778" s="5" t="n"/>
      <c r="Q778" s="3" t="n"/>
      <c r="R778" s="4" t="n"/>
      <c r="S778" s="5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6">
        <f>IF(C778=0,0,IF(E778="",B778*D778/100,E778))</f>
        <v/>
      </c>
      <c r="AE778" s="6">
        <f>IF(F778=0,0,IF(H778="",B778*G778/100,H778))</f>
        <v/>
      </c>
      <c r="AF778" s="6">
        <f>IF(I778=0,0,IF(K778="",B778*J778/100,K778))</f>
        <v/>
      </c>
      <c r="AG778" s="6">
        <f>IF(L778=0,0,IF(N778="",B778*M778/100,N778))</f>
        <v/>
      </c>
      <c r="AH778" s="6">
        <f>IF(O778=0,0,IF(Q778="",B778*P778/100,Q778))</f>
        <v/>
      </c>
      <c r="AI778" s="6">
        <f>IF(R778=0,0,IF(T778="",B778*S778/100,T778))</f>
        <v/>
      </c>
      <c r="AJ778" s="6">
        <f>B778*0.035</f>
        <v/>
      </c>
      <c r="AK778" s="6">
        <f>B778*0.065</f>
        <v/>
      </c>
      <c r="AL778" s="6">
        <f>SUM(B778,AD778,AE778,AF778,AG778,AH778,AI778,U778,V778,AJ778,AK778)</f>
        <v/>
      </c>
      <c r="AM778" s="6">
        <f>B778*0.055</f>
        <v/>
      </c>
      <c r="AN778" s="6">
        <f>B778*0.035</f>
        <v/>
      </c>
      <c r="AO778" s="6">
        <f>B778*0.165</f>
        <v/>
      </c>
      <c r="AP778" s="6">
        <f>MAX(0,AL778-AM778-AO778)</f>
        <v/>
      </c>
      <c r="AQ778" s="6">
        <f>IF(AP778&lt;=490,0,IF(AP778&lt;=600,(AP778-490)*0.05,IF(AP778&lt;=730,5.5+(AP778-600)*0.10,IF(AP778&lt;=3896.67,18.5+(AP778-730)*0.175,IF(AP778&lt;=19896.67,572.67+(AP778-3896.67)*0.25,IF(AP778&lt;=50416.67,4572.67+(AP778-19896.67)*0.30,13728.67+(AP778-50416.67)*0.35))))))</f>
        <v/>
      </c>
      <c r="AR778" s="6">
        <f>SUM(AM778,AQ778,W778,X778,Y778,Z778,AA778,AN778,AO778)</f>
        <v/>
      </c>
      <c r="AS778" s="6">
        <f>AL778-AR778</f>
        <v/>
      </c>
      <c r="AT778" s="6">
        <f>AB778-AC778</f>
        <v/>
      </c>
    </row>
    <row r="779">
      <c r="A779" s="2" t="n"/>
      <c r="B779" s="3" t="n"/>
      <c r="C779" s="4" t="n"/>
      <c r="D779" s="5" t="n"/>
      <c r="E779" s="3" t="n"/>
      <c r="F779" s="4" t="n"/>
      <c r="G779" s="5" t="n"/>
      <c r="H779" s="3" t="n"/>
      <c r="I779" s="4" t="n"/>
      <c r="J779" s="5" t="n"/>
      <c r="K779" s="3" t="n"/>
      <c r="L779" s="4" t="n"/>
      <c r="M779" s="5" t="n"/>
      <c r="N779" s="3" t="n"/>
      <c r="O779" s="4" t="n"/>
      <c r="P779" s="5" t="n"/>
      <c r="Q779" s="3" t="n"/>
      <c r="R779" s="4" t="n"/>
      <c r="S779" s="5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6">
        <f>IF(C779=0,0,IF(E779="",B779*D779/100,E779))</f>
        <v/>
      </c>
      <c r="AE779" s="6">
        <f>IF(F779=0,0,IF(H779="",B779*G779/100,H779))</f>
        <v/>
      </c>
      <c r="AF779" s="6">
        <f>IF(I779=0,0,IF(K779="",B779*J779/100,K779))</f>
        <v/>
      </c>
      <c r="AG779" s="6">
        <f>IF(L779=0,0,IF(N779="",B779*M779/100,N779))</f>
        <v/>
      </c>
      <c r="AH779" s="6">
        <f>IF(O779=0,0,IF(Q779="",B779*P779/100,Q779))</f>
        <v/>
      </c>
      <c r="AI779" s="6">
        <f>IF(R779=0,0,IF(T779="",B779*S779/100,T779))</f>
        <v/>
      </c>
      <c r="AJ779" s="6">
        <f>B779*0.035</f>
        <v/>
      </c>
      <c r="AK779" s="6">
        <f>B779*0.065</f>
        <v/>
      </c>
      <c r="AL779" s="6">
        <f>SUM(B779,AD779,AE779,AF779,AG779,AH779,AI779,U779,V779,AJ779,AK779)</f>
        <v/>
      </c>
      <c r="AM779" s="6">
        <f>B779*0.055</f>
        <v/>
      </c>
      <c r="AN779" s="6">
        <f>B779*0.035</f>
        <v/>
      </c>
      <c r="AO779" s="6">
        <f>B779*0.165</f>
        <v/>
      </c>
      <c r="AP779" s="6">
        <f>MAX(0,AL779-AM779-AO779)</f>
        <v/>
      </c>
      <c r="AQ779" s="6">
        <f>IF(AP779&lt;=490,0,IF(AP779&lt;=600,(AP779-490)*0.05,IF(AP779&lt;=730,5.5+(AP779-600)*0.10,IF(AP779&lt;=3896.67,18.5+(AP779-730)*0.175,IF(AP779&lt;=19896.67,572.67+(AP779-3896.67)*0.25,IF(AP779&lt;=50416.67,4572.67+(AP779-19896.67)*0.30,13728.67+(AP779-50416.67)*0.35))))))</f>
        <v/>
      </c>
      <c r="AR779" s="6">
        <f>SUM(AM779,AQ779,W779,X779,Y779,Z779,AA779,AN779,AO779)</f>
        <v/>
      </c>
      <c r="AS779" s="6">
        <f>AL779-AR779</f>
        <v/>
      </c>
      <c r="AT779" s="6">
        <f>AB779-AC779</f>
        <v/>
      </c>
    </row>
    <row r="780">
      <c r="A780" s="2" t="n"/>
      <c r="B780" s="3" t="n"/>
      <c r="C780" s="4" t="n"/>
      <c r="D780" s="5" t="n"/>
      <c r="E780" s="3" t="n"/>
      <c r="F780" s="4" t="n"/>
      <c r="G780" s="5" t="n"/>
      <c r="H780" s="3" t="n"/>
      <c r="I780" s="4" t="n"/>
      <c r="J780" s="5" t="n"/>
      <c r="K780" s="3" t="n"/>
      <c r="L780" s="4" t="n"/>
      <c r="M780" s="5" t="n"/>
      <c r="N780" s="3" t="n"/>
      <c r="O780" s="4" t="n"/>
      <c r="P780" s="5" t="n"/>
      <c r="Q780" s="3" t="n"/>
      <c r="R780" s="4" t="n"/>
      <c r="S780" s="5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6">
        <f>IF(C780=0,0,IF(E780="",B780*D780/100,E780))</f>
        <v/>
      </c>
      <c r="AE780" s="6">
        <f>IF(F780=0,0,IF(H780="",B780*G780/100,H780))</f>
        <v/>
      </c>
      <c r="AF780" s="6">
        <f>IF(I780=0,0,IF(K780="",B780*J780/100,K780))</f>
        <v/>
      </c>
      <c r="AG780" s="6">
        <f>IF(L780=0,0,IF(N780="",B780*M780/100,N780))</f>
        <v/>
      </c>
      <c r="AH780" s="6">
        <f>IF(O780=0,0,IF(Q780="",B780*P780/100,Q780))</f>
        <v/>
      </c>
      <c r="AI780" s="6">
        <f>IF(R780=0,0,IF(T780="",B780*S780/100,T780))</f>
        <v/>
      </c>
      <c r="AJ780" s="6">
        <f>B780*0.035</f>
        <v/>
      </c>
      <c r="AK780" s="6">
        <f>B780*0.065</f>
        <v/>
      </c>
      <c r="AL780" s="6">
        <f>SUM(B780,AD780,AE780,AF780,AG780,AH780,AI780,U780,V780,AJ780,AK780)</f>
        <v/>
      </c>
      <c r="AM780" s="6">
        <f>B780*0.055</f>
        <v/>
      </c>
      <c r="AN780" s="6">
        <f>B780*0.035</f>
        <v/>
      </c>
      <c r="AO780" s="6">
        <f>B780*0.165</f>
        <v/>
      </c>
      <c r="AP780" s="6">
        <f>MAX(0,AL780-AM780-AO780)</f>
        <v/>
      </c>
      <c r="AQ780" s="6">
        <f>IF(AP780&lt;=490,0,IF(AP780&lt;=600,(AP780-490)*0.05,IF(AP780&lt;=730,5.5+(AP780-600)*0.10,IF(AP780&lt;=3896.67,18.5+(AP780-730)*0.175,IF(AP780&lt;=19896.67,572.67+(AP780-3896.67)*0.25,IF(AP780&lt;=50416.67,4572.67+(AP780-19896.67)*0.30,13728.67+(AP780-50416.67)*0.35))))))</f>
        <v/>
      </c>
      <c r="AR780" s="6">
        <f>SUM(AM780,AQ780,W780,X780,Y780,Z780,AA780,AN780,AO780)</f>
        <v/>
      </c>
      <c r="AS780" s="6">
        <f>AL780-AR780</f>
        <v/>
      </c>
      <c r="AT780" s="6">
        <f>AB780-AC780</f>
        <v/>
      </c>
    </row>
    <row r="781">
      <c r="A781" s="2" t="n"/>
      <c r="B781" s="3" t="n"/>
      <c r="C781" s="4" t="n"/>
      <c r="D781" s="5" t="n"/>
      <c r="E781" s="3" t="n"/>
      <c r="F781" s="4" t="n"/>
      <c r="G781" s="5" t="n"/>
      <c r="H781" s="3" t="n"/>
      <c r="I781" s="4" t="n"/>
      <c r="J781" s="5" t="n"/>
      <c r="K781" s="3" t="n"/>
      <c r="L781" s="4" t="n"/>
      <c r="M781" s="5" t="n"/>
      <c r="N781" s="3" t="n"/>
      <c r="O781" s="4" t="n"/>
      <c r="P781" s="5" t="n"/>
      <c r="Q781" s="3" t="n"/>
      <c r="R781" s="4" t="n"/>
      <c r="S781" s="5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6">
        <f>IF(C781=0,0,IF(E781="",B781*D781/100,E781))</f>
        <v/>
      </c>
      <c r="AE781" s="6">
        <f>IF(F781=0,0,IF(H781="",B781*G781/100,H781))</f>
        <v/>
      </c>
      <c r="AF781" s="6">
        <f>IF(I781=0,0,IF(K781="",B781*J781/100,K781))</f>
        <v/>
      </c>
      <c r="AG781" s="6">
        <f>IF(L781=0,0,IF(N781="",B781*M781/100,N781))</f>
        <v/>
      </c>
      <c r="AH781" s="6">
        <f>IF(O781=0,0,IF(Q781="",B781*P781/100,Q781))</f>
        <v/>
      </c>
      <c r="AI781" s="6">
        <f>IF(R781=0,0,IF(T781="",B781*S781/100,T781))</f>
        <v/>
      </c>
      <c r="AJ781" s="6">
        <f>B781*0.035</f>
        <v/>
      </c>
      <c r="AK781" s="6">
        <f>B781*0.065</f>
        <v/>
      </c>
      <c r="AL781" s="6">
        <f>SUM(B781,AD781,AE781,AF781,AG781,AH781,AI781,U781,V781,AJ781,AK781)</f>
        <v/>
      </c>
      <c r="AM781" s="6">
        <f>B781*0.055</f>
        <v/>
      </c>
      <c r="AN781" s="6">
        <f>B781*0.035</f>
        <v/>
      </c>
      <c r="AO781" s="6">
        <f>B781*0.165</f>
        <v/>
      </c>
      <c r="AP781" s="6">
        <f>MAX(0,AL781-AM781-AO781)</f>
        <v/>
      </c>
      <c r="AQ781" s="6">
        <f>IF(AP781&lt;=490,0,IF(AP781&lt;=600,(AP781-490)*0.05,IF(AP781&lt;=730,5.5+(AP781-600)*0.10,IF(AP781&lt;=3896.67,18.5+(AP781-730)*0.175,IF(AP781&lt;=19896.67,572.67+(AP781-3896.67)*0.25,IF(AP781&lt;=50416.67,4572.67+(AP781-19896.67)*0.30,13728.67+(AP781-50416.67)*0.35))))))</f>
        <v/>
      </c>
      <c r="AR781" s="6">
        <f>SUM(AM781,AQ781,W781,X781,Y781,Z781,AA781,AN781,AO781)</f>
        <v/>
      </c>
      <c r="AS781" s="6">
        <f>AL781-AR781</f>
        <v/>
      </c>
      <c r="AT781" s="6">
        <f>AB781-AC781</f>
        <v/>
      </c>
    </row>
    <row r="782">
      <c r="A782" s="2" t="n"/>
      <c r="B782" s="3" t="n"/>
      <c r="C782" s="4" t="n"/>
      <c r="D782" s="5" t="n"/>
      <c r="E782" s="3" t="n"/>
      <c r="F782" s="4" t="n"/>
      <c r="G782" s="5" t="n"/>
      <c r="H782" s="3" t="n"/>
      <c r="I782" s="4" t="n"/>
      <c r="J782" s="5" t="n"/>
      <c r="K782" s="3" t="n"/>
      <c r="L782" s="4" t="n"/>
      <c r="M782" s="5" t="n"/>
      <c r="N782" s="3" t="n"/>
      <c r="O782" s="4" t="n"/>
      <c r="P782" s="5" t="n"/>
      <c r="Q782" s="3" t="n"/>
      <c r="R782" s="4" t="n"/>
      <c r="S782" s="5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6">
        <f>IF(C782=0,0,IF(E782="",B782*D782/100,E782))</f>
        <v/>
      </c>
      <c r="AE782" s="6">
        <f>IF(F782=0,0,IF(H782="",B782*G782/100,H782))</f>
        <v/>
      </c>
      <c r="AF782" s="6">
        <f>IF(I782=0,0,IF(K782="",B782*J782/100,K782))</f>
        <v/>
      </c>
      <c r="AG782" s="6">
        <f>IF(L782=0,0,IF(N782="",B782*M782/100,N782))</f>
        <v/>
      </c>
      <c r="AH782" s="6">
        <f>IF(O782=0,0,IF(Q782="",B782*P782/100,Q782))</f>
        <v/>
      </c>
      <c r="AI782" s="6">
        <f>IF(R782=0,0,IF(T782="",B782*S782/100,T782))</f>
        <v/>
      </c>
      <c r="AJ782" s="6">
        <f>B782*0.035</f>
        <v/>
      </c>
      <c r="AK782" s="6">
        <f>B782*0.065</f>
        <v/>
      </c>
      <c r="AL782" s="6">
        <f>SUM(B782,AD782,AE782,AF782,AG782,AH782,AI782,U782,V782,AJ782,AK782)</f>
        <v/>
      </c>
      <c r="AM782" s="6">
        <f>B782*0.055</f>
        <v/>
      </c>
      <c r="AN782" s="6">
        <f>B782*0.035</f>
        <v/>
      </c>
      <c r="AO782" s="6">
        <f>B782*0.165</f>
        <v/>
      </c>
      <c r="AP782" s="6">
        <f>MAX(0,AL782-AM782-AO782)</f>
        <v/>
      </c>
      <c r="AQ782" s="6">
        <f>IF(AP782&lt;=490,0,IF(AP782&lt;=600,(AP782-490)*0.05,IF(AP782&lt;=730,5.5+(AP782-600)*0.10,IF(AP782&lt;=3896.67,18.5+(AP782-730)*0.175,IF(AP782&lt;=19896.67,572.67+(AP782-3896.67)*0.25,IF(AP782&lt;=50416.67,4572.67+(AP782-19896.67)*0.30,13728.67+(AP782-50416.67)*0.35))))))</f>
        <v/>
      </c>
      <c r="AR782" s="6">
        <f>SUM(AM782,AQ782,W782,X782,Y782,Z782,AA782,AN782,AO782)</f>
        <v/>
      </c>
      <c r="AS782" s="6">
        <f>AL782-AR782</f>
        <v/>
      </c>
      <c r="AT782" s="6">
        <f>AB782-AC782</f>
        <v/>
      </c>
    </row>
    <row r="783">
      <c r="A783" s="2" t="n"/>
      <c r="B783" s="3" t="n"/>
      <c r="C783" s="4" t="n"/>
      <c r="D783" s="5" t="n"/>
      <c r="E783" s="3" t="n"/>
      <c r="F783" s="4" t="n"/>
      <c r="G783" s="5" t="n"/>
      <c r="H783" s="3" t="n"/>
      <c r="I783" s="4" t="n"/>
      <c r="J783" s="5" t="n"/>
      <c r="K783" s="3" t="n"/>
      <c r="L783" s="4" t="n"/>
      <c r="M783" s="5" t="n"/>
      <c r="N783" s="3" t="n"/>
      <c r="O783" s="4" t="n"/>
      <c r="P783" s="5" t="n"/>
      <c r="Q783" s="3" t="n"/>
      <c r="R783" s="4" t="n"/>
      <c r="S783" s="5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6">
        <f>IF(C783=0,0,IF(E783="",B783*D783/100,E783))</f>
        <v/>
      </c>
      <c r="AE783" s="6">
        <f>IF(F783=0,0,IF(H783="",B783*G783/100,H783))</f>
        <v/>
      </c>
      <c r="AF783" s="6">
        <f>IF(I783=0,0,IF(K783="",B783*J783/100,K783))</f>
        <v/>
      </c>
      <c r="AG783" s="6">
        <f>IF(L783=0,0,IF(N783="",B783*M783/100,N783))</f>
        <v/>
      </c>
      <c r="AH783" s="6">
        <f>IF(O783=0,0,IF(Q783="",B783*P783/100,Q783))</f>
        <v/>
      </c>
      <c r="AI783" s="6">
        <f>IF(R783=0,0,IF(T783="",B783*S783/100,T783))</f>
        <v/>
      </c>
      <c r="AJ783" s="6">
        <f>B783*0.035</f>
        <v/>
      </c>
      <c r="AK783" s="6">
        <f>B783*0.065</f>
        <v/>
      </c>
      <c r="AL783" s="6">
        <f>SUM(B783,AD783,AE783,AF783,AG783,AH783,AI783,U783,V783,AJ783,AK783)</f>
        <v/>
      </c>
      <c r="AM783" s="6">
        <f>B783*0.055</f>
        <v/>
      </c>
      <c r="AN783" s="6">
        <f>B783*0.035</f>
        <v/>
      </c>
      <c r="AO783" s="6">
        <f>B783*0.165</f>
        <v/>
      </c>
      <c r="AP783" s="6">
        <f>MAX(0,AL783-AM783-AO783)</f>
        <v/>
      </c>
      <c r="AQ783" s="6">
        <f>IF(AP783&lt;=490,0,IF(AP783&lt;=600,(AP783-490)*0.05,IF(AP783&lt;=730,5.5+(AP783-600)*0.10,IF(AP783&lt;=3896.67,18.5+(AP783-730)*0.175,IF(AP783&lt;=19896.67,572.67+(AP783-3896.67)*0.25,IF(AP783&lt;=50416.67,4572.67+(AP783-19896.67)*0.30,13728.67+(AP783-50416.67)*0.35))))))</f>
        <v/>
      </c>
      <c r="AR783" s="6">
        <f>SUM(AM783,AQ783,W783,X783,Y783,Z783,AA783,AN783,AO783)</f>
        <v/>
      </c>
      <c r="AS783" s="6">
        <f>AL783-AR783</f>
        <v/>
      </c>
      <c r="AT783" s="6">
        <f>AB783-AC783</f>
        <v/>
      </c>
    </row>
    <row r="784">
      <c r="A784" s="2" t="n"/>
      <c r="B784" s="3" t="n"/>
      <c r="C784" s="4" t="n"/>
      <c r="D784" s="5" t="n"/>
      <c r="E784" s="3" t="n"/>
      <c r="F784" s="4" t="n"/>
      <c r="G784" s="5" t="n"/>
      <c r="H784" s="3" t="n"/>
      <c r="I784" s="4" t="n"/>
      <c r="J784" s="5" t="n"/>
      <c r="K784" s="3" t="n"/>
      <c r="L784" s="4" t="n"/>
      <c r="M784" s="5" t="n"/>
      <c r="N784" s="3" t="n"/>
      <c r="O784" s="4" t="n"/>
      <c r="P784" s="5" t="n"/>
      <c r="Q784" s="3" t="n"/>
      <c r="R784" s="4" t="n"/>
      <c r="S784" s="5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6">
        <f>IF(C784=0,0,IF(E784="",B784*D784/100,E784))</f>
        <v/>
      </c>
      <c r="AE784" s="6">
        <f>IF(F784=0,0,IF(H784="",B784*G784/100,H784))</f>
        <v/>
      </c>
      <c r="AF784" s="6">
        <f>IF(I784=0,0,IF(K784="",B784*J784/100,K784))</f>
        <v/>
      </c>
      <c r="AG784" s="6">
        <f>IF(L784=0,0,IF(N784="",B784*M784/100,N784))</f>
        <v/>
      </c>
      <c r="AH784" s="6">
        <f>IF(O784=0,0,IF(Q784="",B784*P784/100,Q784))</f>
        <v/>
      </c>
      <c r="AI784" s="6">
        <f>IF(R784=0,0,IF(T784="",B784*S784/100,T784))</f>
        <v/>
      </c>
      <c r="AJ784" s="6">
        <f>B784*0.035</f>
        <v/>
      </c>
      <c r="AK784" s="6">
        <f>B784*0.065</f>
        <v/>
      </c>
      <c r="AL784" s="6">
        <f>SUM(B784,AD784,AE784,AF784,AG784,AH784,AI784,U784,V784,AJ784,AK784)</f>
        <v/>
      </c>
      <c r="AM784" s="6">
        <f>B784*0.055</f>
        <v/>
      </c>
      <c r="AN784" s="6">
        <f>B784*0.035</f>
        <v/>
      </c>
      <c r="AO784" s="6">
        <f>B784*0.165</f>
        <v/>
      </c>
      <c r="AP784" s="6">
        <f>MAX(0,AL784-AM784-AO784)</f>
        <v/>
      </c>
      <c r="AQ784" s="6">
        <f>IF(AP784&lt;=490,0,IF(AP784&lt;=600,(AP784-490)*0.05,IF(AP784&lt;=730,5.5+(AP784-600)*0.10,IF(AP784&lt;=3896.67,18.5+(AP784-730)*0.175,IF(AP784&lt;=19896.67,572.67+(AP784-3896.67)*0.25,IF(AP784&lt;=50416.67,4572.67+(AP784-19896.67)*0.30,13728.67+(AP784-50416.67)*0.35))))))</f>
        <v/>
      </c>
      <c r="AR784" s="6">
        <f>SUM(AM784,AQ784,W784,X784,Y784,Z784,AA784,AN784,AO784)</f>
        <v/>
      </c>
      <c r="AS784" s="6">
        <f>AL784-AR784</f>
        <v/>
      </c>
      <c r="AT784" s="6">
        <f>AB784-AC784</f>
        <v/>
      </c>
    </row>
    <row r="785">
      <c r="A785" s="2" t="n"/>
      <c r="B785" s="3" t="n"/>
      <c r="C785" s="4" t="n"/>
      <c r="D785" s="5" t="n"/>
      <c r="E785" s="3" t="n"/>
      <c r="F785" s="4" t="n"/>
      <c r="G785" s="5" t="n"/>
      <c r="H785" s="3" t="n"/>
      <c r="I785" s="4" t="n"/>
      <c r="J785" s="5" t="n"/>
      <c r="K785" s="3" t="n"/>
      <c r="L785" s="4" t="n"/>
      <c r="M785" s="5" t="n"/>
      <c r="N785" s="3" t="n"/>
      <c r="O785" s="4" t="n"/>
      <c r="P785" s="5" t="n"/>
      <c r="Q785" s="3" t="n"/>
      <c r="R785" s="4" t="n"/>
      <c r="S785" s="5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6">
        <f>IF(C785=0,0,IF(E785="",B785*D785/100,E785))</f>
        <v/>
      </c>
      <c r="AE785" s="6">
        <f>IF(F785=0,0,IF(H785="",B785*G785/100,H785))</f>
        <v/>
      </c>
      <c r="AF785" s="6">
        <f>IF(I785=0,0,IF(K785="",B785*J785/100,K785))</f>
        <v/>
      </c>
      <c r="AG785" s="6">
        <f>IF(L785=0,0,IF(N785="",B785*M785/100,N785))</f>
        <v/>
      </c>
      <c r="AH785" s="6">
        <f>IF(O785=0,0,IF(Q785="",B785*P785/100,Q785))</f>
        <v/>
      </c>
      <c r="AI785" s="6">
        <f>IF(R785=0,0,IF(T785="",B785*S785/100,T785))</f>
        <v/>
      </c>
      <c r="AJ785" s="6">
        <f>B785*0.035</f>
        <v/>
      </c>
      <c r="AK785" s="6">
        <f>B785*0.065</f>
        <v/>
      </c>
      <c r="AL785" s="6">
        <f>SUM(B785,AD785,AE785,AF785,AG785,AH785,AI785,U785,V785,AJ785,AK785)</f>
        <v/>
      </c>
      <c r="AM785" s="6">
        <f>B785*0.055</f>
        <v/>
      </c>
      <c r="AN785" s="6">
        <f>B785*0.035</f>
        <v/>
      </c>
      <c r="AO785" s="6">
        <f>B785*0.165</f>
        <v/>
      </c>
      <c r="AP785" s="6">
        <f>MAX(0,AL785-AM785-AO785)</f>
        <v/>
      </c>
      <c r="AQ785" s="6">
        <f>IF(AP785&lt;=490,0,IF(AP785&lt;=600,(AP785-490)*0.05,IF(AP785&lt;=730,5.5+(AP785-600)*0.10,IF(AP785&lt;=3896.67,18.5+(AP785-730)*0.175,IF(AP785&lt;=19896.67,572.67+(AP785-3896.67)*0.25,IF(AP785&lt;=50416.67,4572.67+(AP785-19896.67)*0.30,13728.67+(AP785-50416.67)*0.35))))))</f>
        <v/>
      </c>
      <c r="AR785" s="6">
        <f>SUM(AM785,AQ785,W785,X785,Y785,Z785,AA785,AN785,AO785)</f>
        <v/>
      </c>
      <c r="AS785" s="6">
        <f>AL785-AR785</f>
        <v/>
      </c>
      <c r="AT785" s="6">
        <f>AB785-AC785</f>
        <v/>
      </c>
    </row>
    <row r="786">
      <c r="A786" s="2" t="n"/>
      <c r="B786" s="3" t="n"/>
      <c r="C786" s="4" t="n"/>
      <c r="D786" s="5" t="n"/>
      <c r="E786" s="3" t="n"/>
      <c r="F786" s="4" t="n"/>
      <c r="G786" s="5" t="n"/>
      <c r="H786" s="3" t="n"/>
      <c r="I786" s="4" t="n"/>
      <c r="J786" s="5" t="n"/>
      <c r="K786" s="3" t="n"/>
      <c r="L786" s="4" t="n"/>
      <c r="M786" s="5" t="n"/>
      <c r="N786" s="3" t="n"/>
      <c r="O786" s="4" t="n"/>
      <c r="P786" s="5" t="n"/>
      <c r="Q786" s="3" t="n"/>
      <c r="R786" s="4" t="n"/>
      <c r="S786" s="5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6">
        <f>IF(C786=0,0,IF(E786="",B786*D786/100,E786))</f>
        <v/>
      </c>
      <c r="AE786" s="6">
        <f>IF(F786=0,0,IF(H786="",B786*G786/100,H786))</f>
        <v/>
      </c>
      <c r="AF786" s="6">
        <f>IF(I786=0,0,IF(K786="",B786*J786/100,K786))</f>
        <v/>
      </c>
      <c r="AG786" s="6">
        <f>IF(L786=0,0,IF(N786="",B786*M786/100,N786))</f>
        <v/>
      </c>
      <c r="AH786" s="6">
        <f>IF(O786=0,0,IF(Q786="",B786*P786/100,Q786))</f>
        <v/>
      </c>
      <c r="AI786" s="6">
        <f>IF(R786=0,0,IF(T786="",B786*S786/100,T786))</f>
        <v/>
      </c>
      <c r="AJ786" s="6">
        <f>B786*0.035</f>
        <v/>
      </c>
      <c r="AK786" s="6">
        <f>B786*0.065</f>
        <v/>
      </c>
      <c r="AL786" s="6">
        <f>SUM(B786,AD786,AE786,AF786,AG786,AH786,AI786,U786,V786,AJ786,AK786)</f>
        <v/>
      </c>
      <c r="AM786" s="6">
        <f>B786*0.055</f>
        <v/>
      </c>
      <c r="AN786" s="6">
        <f>B786*0.035</f>
        <v/>
      </c>
      <c r="AO786" s="6">
        <f>B786*0.165</f>
        <v/>
      </c>
      <c r="AP786" s="6">
        <f>MAX(0,AL786-AM786-AO786)</f>
        <v/>
      </c>
      <c r="AQ786" s="6">
        <f>IF(AP786&lt;=490,0,IF(AP786&lt;=600,(AP786-490)*0.05,IF(AP786&lt;=730,5.5+(AP786-600)*0.10,IF(AP786&lt;=3896.67,18.5+(AP786-730)*0.175,IF(AP786&lt;=19896.67,572.67+(AP786-3896.67)*0.25,IF(AP786&lt;=50416.67,4572.67+(AP786-19896.67)*0.30,13728.67+(AP786-50416.67)*0.35))))))</f>
        <v/>
      </c>
      <c r="AR786" s="6">
        <f>SUM(AM786,AQ786,W786,X786,Y786,Z786,AA786,AN786,AO786)</f>
        <v/>
      </c>
      <c r="AS786" s="6">
        <f>AL786-AR786</f>
        <v/>
      </c>
      <c r="AT786" s="6">
        <f>AB786-AC786</f>
        <v/>
      </c>
    </row>
    <row r="787">
      <c r="A787" s="2" t="n"/>
      <c r="B787" s="3" t="n"/>
      <c r="C787" s="4" t="n"/>
      <c r="D787" s="5" t="n"/>
      <c r="E787" s="3" t="n"/>
      <c r="F787" s="4" t="n"/>
      <c r="G787" s="5" t="n"/>
      <c r="H787" s="3" t="n"/>
      <c r="I787" s="4" t="n"/>
      <c r="J787" s="5" t="n"/>
      <c r="K787" s="3" t="n"/>
      <c r="L787" s="4" t="n"/>
      <c r="M787" s="5" t="n"/>
      <c r="N787" s="3" t="n"/>
      <c r="O787" s="4" t="n"/>
      <c r="P787" s="5" t="n"/>
      <c r="Q787" s="3" t="n"/>
      <c r="R787" s="4" t="n"/>
      <c r="S787" s="5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6">
        <f>IF(C787=0,0,IF(E787="",B787*D787/100,E787))</f>
        <v/>
      </c>
      <c r="AE787" s="6">
        <f>IF(F787=0,0,IF(H787="",B787*G787/100,H787))</f>
        <v/>
      </c>
      <c r="AF787" s="6">
        <f>IF(I787=0,0,IF(K787="",B787*J787/100,K787))</f>
        <v/>
      </c>
      <c r="AG787" s="6">
        <f>IF(L787=0,0,IF(N787="",B787*M787/100,N787))</f>
        <v/>
      </c>
      <c r="AH787" s="6">
        <f>IF(O787=0,0,IF(Q787="",B787*P787/100,Q787))</f>
        <v/>
      </c>
      <c r="AI787" s="6">
        <f>IF(R787=0,0,IF(T787="",B787*S787/100,T787))</f>
        <v/>
      </c>
      <c r="AJ787" s="6">
        <f>B787*0.035</f>
        <v/>
      </c>
      <c r="AK787" s="6">
        <f>B787*0.065</f>
        <v/>
      </c>
      <c r="AL787" s="6">
        <f>SUM(B787,AD787,AE787,AF787,AG787,AH787,AI787,U787,V787,AJ787,AK787)</f>
        <v/>
      </c>
      <c r="AM787" s="6">
        <f>B787*0.055</f>
        <v/>
      </c>
      <c r="AN787" s="6">
        <f>B787*0.035</f>
        <v/>
      </c>
      <c r="AO787" s="6">
        <f>B787*0.165</f>
        <v/>
      </c>
      <c r="AP787" s="6">
        <f>MAX(0,AL787-AM787-AO787)</f>
        <v/>
      </c>
      <c r="AQ787" s="6">
        <f>IF(AP787&lt;=490,0,IF(AP787&lt;=600,(AP787-490)*0.05,IF(AP787&lt;=730,5.5+(AP787-600)*0.10,IF(AP787&lt;=3896.67,18.5+(AP787-730)*0.175,IF(AP787&lt;=19896.67,572.67+(AP787-3896.67)*0.25,IF(AP787&lt;=50416.67,4572.67+(AP787-19896.67)*0.30,13728.67+(AP787-50416.67)*0.35))))))</f>
        <v/>
      </c>
      <c r="AR787" s="6">
        <f>SUM(AM787,AQ787,W787,X787,Y787,Z787,AA787,AN787,AO787)</f>
        <v/>
      </c>
      <c r="AS787" s="6">
        <f>AL787-AR787</f>
        <v/>
      </c>
      <c r="AT787" s="6">
        <f>AB787-AC787</f>
        <v/>
      </c>
    </row>
    <row r="788">
      <c r="A788" s="2" t="n"/>
      <c r="B788" s="3" t="n"/>
      <c r="C788" s="4" t="n"/>
      <c r="D788" s="5" t="n"/>
      <c r="E788" s="3" t="n"/>
      <c r="F788" s="4" t="n"/>
      <c r="G788" s="5" t="n"/>
      <c r="H788" s="3" t="n"/>
      <c r="I788" s="4" t="n"/>
      <c r="J788" s="5" t="n"/>
      <c r="K788" s="3" t="n"/>
      <c r="L788" s="4" t="n"/>
      <c r="M788" s="5" t="n"/>
      <c r="N788" s="3" t="n"/>
      <c r="O788" s="4" t="n"/>
      <c r="P788" s="5" t="n"/>
      <c r="Q788" s="3" t="n"/>
      <c r="R788" s="4" t="n"/>
      <c r="S788" s="5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6">
        <f>IF(C788=0,0,IF(E788="",B788*D788/100,E788))</f>
        <v/>
      </c>
      <c r="AE788" s="6">
        <f>IF(F788=0,0,IF(H788="",B788*G788/100,H788))</f>
        <v/>
      </c>
      <c r="AF788" s="6">
        <f>IF(I788=0,0,IF(K788="",B788*J788/100,K788))</f>
        <v/>
      </c>
      <c r="AG788" s="6">
        <f>IF(L788=0,0,IF(N788="",B788*M788/100,N788))</f>
        <v/>
      </c>
      <c r="AH788" s="6">
        <f>IF(O788=0,0,IF(Q788="",B788*P788/100,Q788))</f>
        <v/>
      </c>
      <c r="AI788" s="6">
        <f>IF(R788=0,0,IF(T788="",B788*S788/100,T788))</f>
        <v/>
      </c>
      <c r="AJ788" s="6">
        <f>B788*0.035</f>
        <v/>
      </c>
      <c r="AK788" s="6">
        <f>B788*0.065</f>
        <v/>
      </c>
      <c r="AL788" s="6">
        <f>SUM(B788,AD788,AE788,AF788,AG788,AH788,AI788,U788,V788,AJ788,AK788)</f>
        <v/>
      </c>
      <c r="AM788" s="6">
        <f>B788*0.055</f>
        <v/>
      </c>
      <c r="AN788" s="6">
        <f>B788*0.035</f>
        <v/>
      </c>
      <c r="AO788" s="6">
        <f>B788*0.165</f>
        <v/>
      </c>
      <c r="AP788" s="6">
        <f>MAX(0,AL788-AM788-AO788)</f>
        <v/>
      </c>
      <c r="AQ788" s="6">
        <f>IF(AP788&lt;=490,0,IF(AP788&lt;=600,(AP788-490)*0.05,IF(AP788&lt;=730,5.5+(AP788-600)*0.10,IF(AP788&lt;=3896.67,18.5+(AP788-730)*0.175,IF(AP788&lt;=19896.67,572.67+(AP788-3896.67)*0.25,IF(AP788&lt;=50416.67,4572.67+(AP788-19896.67)*0.30,13728.67+(AP788-50416.67)*0.35))))))</f>
        <v/>
      </c>
      <c r="AR788" s="6">
        <f>SUM(AM788,AQ788,W788,X788,Y788,Z788,AA788,AN788,AO788)</f>
        <v/>
      </c>
      <c r="AS788" s="6">
        <f>AL788-AR788</f>
        <v/>
      </c>
      <c r="AT788" s="6">
        <f>AB788-AC788</f>
        <v/>
      </c>
    </row>
    <row r="789">
      <c r="A789" s="2" t="n"/>
      <c r="B789" s="3" t="n"/>
      <c r="C789" s="4" t="n"/>
      <c r="D789" s="5" t="n"/>
      <c r="E789" s="3" t="n"/>
      <c r="F789" s="4" t="n"/>
      <c r="G789" s="5" t="n"/>
      <c r="H789" s="3" t="n"/>
      <c r="I789" s="4" t="n"/>
      <c r="J789" s="5" t="n"/>
      <c r="K789" s="3" t="n"/>
      <c r="L789" s="4" t="n"/>
      <c r="M789" s="5" t="n"/>
      <c r="N789" s="3" t="n"/>
      <c r="O789" s="4" t="n"/>
      <c r="P789" s="5" t="n"/>
      <c r="Q789" s="3" t="n"/>
      <c r="R789" s="4" t="n"/>
      <c r="S789" s="5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6">
        <f>IF(C789=0,0,IF(E789="",B789*D789/100,E789))</f>
        <v/>
      </c>
      <c r="AE789" s="6">
        <f>IF(F789=0,0,IF(H789="",B789*G789/100,H789))</f>
        <v/>
      </c>
      <c r="AF789" s="6">
        <f>IF(I789=0,0,IF(K789="",B789*J789/100,K789))</f>
        <v/>
      </c>
      <c r="AG789" s="6">
        <f>IF(L789=0,0,IF(N789="",B789*M789/100,N789))</f>
        <v/>
      </c>
      <c r="AH789" s="6">
        <f>IF(O789=0,0,IF(Q789="",B789*P789/100,Q789))</f>
        <v/>
      </c>
      <c r="AI789" s="6">
        <f>IF(R789=0,0,IF(T789="",B789*S789/100,T789))</f>
        <v/>
      </c>
      <c r="AJ789" s="6">
        <f>B789*0.035</f>
        <v/>
      </c>
      <c r="AK789" s="6">
        <f>B789*0.065</f>
        <v/>
      </c>
      <c r="AL789" s="6">
        <f>SUM(B789,AD789,AE789,AF789,AG789,AH789,AI789,U789,V789,AJ789,AK789)</f>
        <v/>
      </c>
      <c r="AM789" s="6">
        <f>B789*0.055</f>
        <v/>
      </c>
      <c r="AN789" s="6">
        <f>B789*0.035</f>
        <v/>
      </c>
      <c r="AO789" s="6">
        <f>B789*0.165</f>
        <v/>
      </c>
      <c r="AP789" s="6">
        <f>MAX(0,AL789-AM789-AO789)</f>
        <v/>
      </c>
      <c r="AQ789" s="6">
        <f>IF(AP789&lt;=490,0,IF(AP789&lt;=600,(AP789-490)*0.05,IF(AP789&lt;=730,5.5+(AP789-600)*0.10,IF(AP789&lt;=3896.67,18.5+(AP789-730)*0.175,IF(AP789&lt;=19896.67,572.67+(AP789-3896.67)*0.25,IF(AP789&lt;=50416.67,4572.67+(AP789-19896.67)*0.30,13728.67+(AP789-50416.67)*0.35))))))</f>
        <v/>
      </c>
      <c r="AR789" s="6">
        <f>SUM(AM789,AQ789,W789,X789,Y789,Z789,AA789,AN789,AO789)</f>
        <v/>
      </c>
      <c r="AS789" s="6">
        <f>AL789-AR789</f>
        <v/>
      </c>
      <c r="AT789" s="6">
        <f>AB789-AC789</f>
        <v/>
      </c>
    </row>
    <row r="790">
      <c r="A790" s="2" t="n"/>
      <c r="B790" s="3" t="n"/>
      <c r="C790" s="4" t="n"/>
      <c r="D790" s="5" t="n"/>
      <c r="E790" s="3" t="n"/>
      <c r="F790" s="4" t="n"/>
      <c r="G790" s="5" t="n"/>
      <c r="H790" s="3" t="n"/>
      <c r="I790" s="4" t="n"/>
      <c r="J790" s="5" t="n"/>
      <c r="K790" s="3" t="n"/>
      <c r="L790" s="4" t="n"/>
      <c r="M790" s="5" t="n"/>
      <c r="N790" s="3" t="n"/>
      <c r="O790" s="4" t="n"/>
      <c r="P790" s="5" t="n"/>
      <c r="Q790" s="3" t="n"/>
      <c r="R790" s="4" t="n"/>
      <c r="S790" s="5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6">
        <f>IF(C790=0,0,IF(E790="",B790*D790/100,E790))</f>
        <v/>
      </c>
      <c r="AE790" s="6">
        <f>IF(F790=0,0,IF(H790="",B790*G790/100,H790))</f>
        <v/>
      </c>
      <c r="AF790" s="6">
        <f>IF(I790=0,0,IF(K790="",B790*J790/100,K790))</f>
        <v/>
      </c>
      <c r="AG790" s="6">
        <f>IF(L790=0,0,IF(N790="",B790*M790/100,N790))</f>
        <v/>
      </c>
      <c r="AH790" s="6">
        <f>IF(O790=0,0,IF(Q790="",B790*P790/100,Q790))</f>
        <v/>
      </c>
      <c r="AI790" s="6">
        <f>IF(R790=0,0,IF(T790="",B790*S790/100,T790))</f>
        <v/>
      </c>
      <c r="AJ790" s="6">
        <f>B790*0.035</f>
        <v/>
      </c>
      <c r="AK790" s="6">
        <f>B790*0.065</f>
        <v/>
      </c>
      <c r="AL790" s="6">
        <f>SUM(B790,AD790,AE790,AF790,AG790,AH790,AI790,U790,V790,AJ790,AK790)</f>
        <v/>
      </c>
      <c r="AM790" s="6">
        <f>B790*0.055</f>
        <v/>
      </c>
      <c r="AN790" s="6">
        <f>B790*0.035</f>
        <v/>
      </c>
      <c r="AO790" s="6">
        <f>B790*0.165</f>
        <v/>
      </c>
      <c r="AP790" s="6">
        <f>MAX(0,AL790-AM790-AO790)</f>
        <v/>
      </c>
      <c r="AQ790" s="6">
        <f>IF(AP790&lt;=490,0,IF(AP790&lt;=600,(AP790-490)*0.05,IF(AP790&lt;=730,5.5+(AP790-600)*0.10,IF(AP790&lt;=3896.67,18.5+(AP790-730)*0.175,IF(AP790&lt;=19896.67,572.67+(AP790-3896.67)*0.25,IF(AP790&lt;=50416.67,4572.67+(AP790-19896.67)*0.30,13728.67+(AP790-50416.67)*0.35))))))</f>
        <v/>
      </c>
      <c r="AR790" s="6">
        <f>SUM(AM790,AQ790,W790,X790,Y790,Z790,AA790,AN790,AO790)</f>
        <v/>
      </c>
      <c r="AS790" s="6">
        <f>AL790-AR790</f>
        <v/>
      </c>
      <c r="AT790" s="6">
        <f>AB790-AC790</f>
        <v/>
      </c>
    </row>
    <row r="791">
      <c r="A791" s="2" t="n"/>
      <c r="B791" s="3" t="n"/>
      <c r="C791" s="4" t="n"/>
      <c r="D791" s="5" t="n"/>
      <c r="E791" s="3" t="n"/>
      <c r="F791" s="4" t="n"/>
      <c r="G791" s="5" t="n"/>
      <c r="H791" s="3" t="n"/>
      <c r="I791" s="4" t="n"/>
      <c r="J791" s="5" t="n"/>
      <c r="K791" s="3" t="n"/>
      <c r="L791" s="4" t="n"/>
      <c r="M791" s="5" t="n"/>
      <c r="N791" s="3" t="n"/>
      <c r="O791" s="4" t="n"/>
      <c r="P791" s="5" t="n"/>
      <c r="Q791" s="3" t="n"/>
      <c r="R791" s="4" t="n"/>
      <c r="S791" s="5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6">
        <f>IF(C791=0,0,IF(E791="",B791*D791/100,E791))</f>
        <v/>
      </c>
      <c r="AE791" s="6">
        <f>IF(F791=0,0,IF(H791="",B791*G791/100,H791))</f>
        <v/>
      </c>
      <c r="AF791" s="6">
        <f>IF(I791=0,0,IF(K791="",B791*J791/100,K791))</f>
        <v/>
      </c>
      <c r="AG791" s="6">
        <f>IF(L791=0,0,IF(N791="",B791*M791/100,N791))</f>
        <v/>
      </c>
      <c r="AH791" s="6">
        <f>IF(O791=0,0,IF(Q791="",B791*P791/100,Q791))</f>
        <v/>
      </c>
      <c r="AI791" s="6">
        <f>IF(R791=0,0,IF(T791="",B791*S791/100,T791))</f>
        <v/>
      </c>
      <c r="AJ791" s="6">
        <f>B791*0.035</f>
        <v/>
      </c>
      <c r="AK791" s="6">
        <f>B791*0.065</f>
        <v/>
      </c>
      <c r="AL791" s="6">
        <f>SUM(B791,AD791,AE791,AF791,AG791,AH791,AI791,U791,V791,AJ791,AK791)</f>
        <v/>
      </c>
      <c r="AM791" s="6">
        <f>B791*0.055</f>
        <v/>
      </c>
      <c r="AN791" s="6">
        <f>B791*0.035</f>
        <v/>
      </c>
      <c r="AO791" s="6">
        <f>B791*0.165</f>
        <v/>
      </c>
      <c r="AP791" s="6">
        <f>MAX(0,AL791-AM791-AO791)</f>
        <v/>
      </c>
      <c r="AQ791" s="6">
        <f>IF(AP791&lt;=490,0,IF(AP791&lt;=600,(AP791-490)*0.05,IF(AP791&lt;=730,5.5+(AP791-600)*0.10,IF(AP791&lt;=3896.67,18.5+(AP791-730)*0.175,IF(AP791&lt;=19896.67,572.67+(AP791-3896.67)*0.25,IF(AP791&lt;=50416.67,4572.67+(AP791-19896.67)*0.30,13728.67+(AP791-50416.67)*0.35))))))</f>
        <v/>
      </c>
      <c r="AR791" s="6">
        <f>SUM(AM791,AQ791,W791,X791,Y791,Z791,AA791,AN791,AO791)</f>
        <v/>
      </c>
      <c r="AS791" s="6">
        <f>AL791-AR791</f>
        <v/>
      </c>
      <c r="AT791" s="6">
        <f>AB791-AC791</f>
        <v/>
      </c>
    </row>
    <row r="792">
      <c r="A792" s="2" t="n"/>
      <c r="B792" s="3" t="n"/>
      <c r="C792" s="4" t="n"/>
      <c r="D792" s="5" t="n"/>
      <c r="E792" s="3" t="n"/>
      <c r="F792" s="4" t="n"/>
      <c r="G792" s="5" t="n"/>
      <c r="H792" s="3" t="n"/>
      <c r="I792" s="4" t="n"/>
      <c r="J792" s="5" t="n"/>
      <c r="K792" s="3" t="n"/>
      <c r="L792" s="4" t="n"/>
      <c r="M792" s="5" t="n"/>
      <c r="N792" s="3" t="n"/>
      <c r="O792" s="4" t="n"/>
      <c r="P792" s="5" t="n"/>
      <c r="Q792" s="3" t="n"/>
      <c r="R792" s="4" t="n"/>
      <c r="S792" s="5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6">
        <f>IF(C792=0,0,IF(E792="",B792*D792/100,E792))</f>
        <v/>
      </c>
      <c r="AE792" s="6">
        <f>IF(F792=0,0,IF(H792="",B792*G792/100,H792))</f>
        <v/>
      </c>
      <c r="AF792" s="6">
        <f>IF(I792=0,0,IF(K792="",B792*J792/100,K792))</f>
        <v/>
      </c>
      <c r="AG792" s="6">
        <f>IF(L792=0,0,IF(N792="",B792*M792/100,N792))</f>
        <v/>
      </c>
      <c r="AH792" s="6">
        <f>IF(O792=0,0,IF(Q792="",B792*P792/100,Q792))</f>
        <v/>
      </c>
      <c r="AI792" s="6">
        <f>IF(R792=0,0,IF(T792="",B792*S792/100,T792))</f>
        <v/>
      </c>
      <c r="AJ792" s="6">
        <f>B792*0.035</f>
        <v/>
      </c>
      <c r="AK792" s="6">
        <f>B792*0.065</f>
        <v/>
      </c>
      <c r="AL792" s="6">
        <f>SUM(B792,AD792,AE792,AF792,AG792,AH792,AI792,U792,V792,AJ792,AK792)</f>
        <v/>
      </c>
      <c r="AM792" s="6">
        <f>B792*0.055</f>
        <v/>
      </c>
      <c r="AN792" s="6">
        <f>B792*0.035</f>
        <v/>
      </c>
      <c r="AO792" s="6">
        <f>B792*0.165</f>
        <v/>
      </c>
      <c r="AP792" s="6">
        <f>MAX(0,AL792-AM792-AO792)</f>
        <v/>
      </c>
      <c r="AQ792" s="6">
        <f>IF(AP792&lt;=490,0,IF(AP792&lt;=600,(AP792-490)*0.05,IF(AP792&lt;=730,5.5+(AP792-600)*0.10,IF(AP792&lt;=3896.67,18.5+(AP792-730)*0.175,IF(AP792&lt;=19896.67,572.67+(AP792-3896.67)*0.25,IF(AP792&lt;=50416.67,4572.67+(AP792-19896.67)*0.30,13728.67+(AP792-50416.67)*0.35))))))</f>
        <v/>
      </c>
      <c r="AR792" s="6">
        <f>SUM(AM792,AQ792,W792,X792,Y792,Z792,AA792,AN792,AO792)</f>
        <v/>
      </c>
      <c r="AS792" s="6">
        <f>AL792-AR792</f>
        <v/>
      </c>
      <c r="AT792" s="6">
        <f>AB792-AC792</f>
        <v/>
      </c>
    </row>
    <row r="793">
      <c r="A793" s="2" t="n"/>
      <c r="B793" s="3" t="n"/>
      <c r="C793" s="4" t="n"/>
      <c r="D793" s="5" t="n"/>
      <c r="E793" s="3" t="n"/>
      <c r="F793" s="4" t="n"/>
      <c r="G793" s="5" t="n"/>
      <c r="H793" s="3" t="n"/>
      <c r="I793" s="4" t="n"/>
      <c r="J793" s="5" t="n"/>
      <c r="K793" s="3" t="n"/>
      <c r="L793" s="4" t="n"/>
      <c r="M793" s="5" t="n"/>
      <c r="N793" s="3" t="n"/>
      <c r="O793" s="4" t="n"/>
      <c r="P793" s="5" t="n"/>
      <c r="Q793" s="3" t="n"/>
      <c r="R793" s="4" t="n"/>
      <c r="S793" s="5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6">
        <f>IF(C793=0,0,IF(E793="",B793*D793/100,E793))</f>
        <v/>
      </c>
      <c r="AE793" s="6">
        <f>IF(F793=0,0,IF(H793="",B793*G793/100,H793))</f>
        <v/>
      </c>
      <c r="AF793" s="6">
        <f>IF(I793=0,0,IF(K793="",B793*J793/100,K793))</f>
        <v/>
      </c>
      <c r="AG793" s="6">
        <f>IF(L793=0,0,IF(N793="",B793*M793/100,N793))</f>
        <v/>
      </c>
      <c r="AH793" s="6">
        <f>IF(O793=0,0,IF(Q793="",B793*P793/100,Q793))</f>
        <v/>
      </c>
      <c r="AI793" s="6">
        <f>IF(R793=0,0,IF(T793="",B793*S793/100,T793))</f>
        <v/>
      </c>
      <c r="AJ793" s="6">
        <f>B793*0.035</f>
        <v/>
      </c>
      <c r="AK793" s="6">
        <f>B793*0.065</f>
        <v/>
      </c>
      <c r="AL793" s="6">
        <f>SUM(B793,AD793,AE793,AF793,AG793,AH793,AI793,U793,V793,AJ793,AK793)</f>
        <v/>
      </c>
      <c r="AM793" s="6">
        <f>B793*0.055</f>
        <v/>
      </c>
      <c r="AN793" s="6">
        <f>B793*0.035</f>
        <v/>
      </c>
      <c r="AO793" s="6">
        <f>B793*0.165</f>
        <v/>
      </c>
      <c r="AP793" s="6">
        <f>MAX(0,AL793-AM793-AO793)</f>
        <v/>
      </c>
      <c r="AQ793" s="6">
        <f>IF(AP793&lt;=490,0,IF(AP793&lt;=600,(AP793-490)*0.05,IF(AP793&lt;=730,5.5+(AP793-600)*0.10,IF(AP793&lt;=3896.67,18.5+(AP793-730)*0.175,IF(AP793&lt;=19896.67,572.67+(AP793-3896.67)*0.25,IF(AP793&lt;=50416.67,4572.67+(AP793-19896.67)*0.30,13728.67+(AP793-50416.67)*0.35))))))</f>
        <v/>
      </c>
      <c r="AR793" s="6">
        <f>SUM(AM793,AQ793,W793,X793,Y793,Z793,AA793,AN793,AO793)</f>
        <v/>
      </c>
      <c r="AS793" s="6">
        <f>AL793-AR793</f>
        <v/>
      </c>
      <c r="AT793" s="6">
        <f>AB793-AC793</f>
        <v/>
      </c>
    </row>
    <row r="794">
      <c r="A794" s="2" t="n"/>
      <c r="B794" s="3" t="n"/>
      <c r="C794" s="4" t="n"/>
      <c r="D794" s="5" t="n"/>
      <c r="E794" s="3" t="n"/>
      <c r="F794" s="4" t="n"/>
      <c r="G794" s="5" t="n"/>
      <c r="H794" s="3" t="n"/>
      <c r="I794" s="4" t="n"/>
      <c r="J794" s="5" t="n"/>
      <c r="K794" s="3" t="n"/>
      <c r="L794" s="4" t="n"/>
      <c r="M794" s="5" t="n"/>
      <c r="N794" s="3" t="n"/>
      <c r="O794" s="4" t="n"/>
      <c r="P794" s="5" t="n"/>
      <c r="Q794" s="3" t="n"/>
      <c r="R794" s="4" t="n"/>
      <c r="S794" s="5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6">
        <f>IF(C794=0,0,IF(E794="",B794*D794/100,E794))</f>
        <v/>
      </c>
      <c r="AE794" s="6">
        <f>IF(F794=0,0,IF(H794="",B794*G794/100,H794))</f>
        <v/>
      </c>
      <c r="AF794" s="6">
        <f>IF(I794=0,0,IF(K794="",B794*J794/100,K794))</f>
        <v/>
      </c>
      <c r="AG794" s="6">
        <f>IF(L794=0,0,IF(N794="",B794*M794/100,N794))</f>
        <v/>
      </c>
      <c r="AH794" s="6">
        <f>IF(O794=0,0,IF(Q794="",B794*P794/100,Q794))</f>
        <v/>
      </c>
      <c r="AI794" s="6">
        <f>IF(R794=0,0,IF(T794="",B794*S794/100,T794))</f>
        <v/>
      </c>
      <c r="AJ794" s="6">
        <f>B794*0.035</f>
        <v/>
      </c>
      <c r="AK794" s="6">
        <f>B794*0.065</f>
        <v/>
      </c>
      <c r="AL794" s="6">
        <f>SUM(B794,AD794,AE794,AF794,AG794,AH794,AI794,U794,V794,AJ794,AK794)</f>
        <v/>
      </c>
      <c r="AM794" s="6">
        <f>B794*0.055</f>
        <v/>
      </c>
      <c r="AN794" s="6">
        <f>B794*0.035</f>
        <v/>
      </c>
      <c r="AO794" s="6">
        <f>B794*0.165</f>
        <v/>
      </c>
      <c r="AP794" s="6">
        <f>MAX(0,AL794-AM794-AO794)</f>
        <v/>
      </c>
      <c r="AQ794" s="6">
        <f>IF(AP794&lt;=490,0,IF(AP794&lt;=600,(AP794-490)*0.05,IF(AP794&lt;=730,5.5+(AP794-600)*0.10,IF(AP794&lt;=3896.67,18.5+(AP794-730)*0.175,IF(AP794&lt;=19896.67,572.67+(AP794-3896.67)*0.25,IF(AP794&lt;=50416.67,4572.67+(AP794-19896.67)*0.30,13728.67+(AP794-50416.67)*0.35))))))</f>
        <v/>
      </c>
      <c r="AR794" s="6">
        <f>SUM(AM794,AQ794,W794,X794,Y794,Z794,AA794,AN794,AO794)</f>
        <v/>
      </c>
      <c r="AS794" s="6">
        <f>AL794-AR794</f>
        <v/>
      </c>
      <c r="AT794" s="6">
        <f>AB794-AC794</f>
        <v/>
      </c>
    </row>
    <row r="795">
      <c r="A795" s="2" t="n"/>
      <c r="B795" s="3" t="n"/>
      <c r="C795" s="4" t="n"/>
      <c r="D795" s="5" t="n"/>
      <c r="E795" s="3" t="n"/>
      <c r="F795" s="4" t="n"/>
      <c r="G795" s="5" t="n"/>
      <c r="H795" s="3" t="n"/>
      <c r="I795" s="4" t="n"/>
      <c r="J795" s="5" t="n"/>
      <c r="K795" s="3" t="n"/>
      <c r="L795" s="4" t="n"/>
      <c r="M795" s="5" t="n"/>
      <c r="N795" s="3" t="n"/>
      <c r="O795" s="4" t="n"/>
      <c r="P795" s="5" t="n"/>
      <c r="Q795" s="3" t="n"/>
      <c r="R795" s="4" t="n"/>
      <c r="S795" s="5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6">
        <f>IF(C795=0,0,IF(E795="",B795*D795/100,E795))</f>
        <v/>
      </c>
      <c r="AE795" s="6">
        <f>IF(F795=0,0,IF(H795="",B795*G795/100,H795))</f>
        <v/>
      </c>
      <c r="AF795" s="6">
        <f>IF(I795=0,0,IF(K795="",B795*J795/100,K795))</f>
        <v/>
      </c>
      <c r="AG795" s="6">
        <f>IF(L795=0,0,IF(N795="",B795*M795/100,N795))</f>
        <v/>
      </c>
      <c r="AH795" s="6">
        <f>IF(O795=0,0,IF(Q795="",B795*P795/100,Q795))</f>
        <v/>
      </c>
      <c r="AI795" s="6">
        <f>IF(R795=0,0,IF(T795="",B795*S795/100,T795))</f>
        <v/>
      </c>
      <c r="AJ795" s="6">
        <f>B795*0.035</f>
        <v/>
      </c>
      <c r="AK795" s="6">
        <f>B795*0.065</f>
        <v/>
      </c>
      <c r="AL795" s="6">
        <f>SUM(B795,AD795,AE795,AF795,AG795,AH795,AI795,U795,V795,AJ795,AK795)</f>
        <v/>
      </c>
      <c r="AM795" s="6">
        <f>B795*0.055</f>
        <v/>
      </c>
      <c r="AN795" s="6">
        <f>B795*0.035</f>
        <v/>
      </c>
      <c r="AO795" s="6">
        <f>B795*0.165</f>
        <v/>
      </c>
      <c r="AP795" s="6">
        <f>MAX(0,AL795-AM795-AO795)</f>
        <v/>
      </c>
      <c r="AQ795" s="6">
        <f>IF(AP795&lt;=490,0,IF(AP795&lt;=600,(AP795-490)*0.05,IF(AP795&lt;=730,5.5+(AP795-600)*0.10,IF(AP795&lt;=3896.67,18.5+(AP795-730)*0.175,IF(AP795&lt;=19896.67,572.67+(AP795-3896.67)*0.25,IF(AP795&lt;=50416.67,4572.67+(AP795-19896.67)*0.30,13728.67+(AP795-50416.67)*0.35))))))</f>
        <v/>
      </c>
      <c r="AR795" s="6">
        <f>SUM(AM795,AQ795,W795,X795,Y795,Z795,AA795,AN795,AO795)</f>
        <v/>
      </c>
      <c r="AS795" s="6">
        <f>AL795-AR795</f>
        <v/>
      </c>
      <c r="AT795" s="6">
        <f>AB795-AC795</f>
        <v/>
      </c>
    </row>
    <row r="796">
      <c r="A796" s="2" t="n"/>
      <c r="B796" s="3" t="n"/>
      <c r="C796" s="4" t="n"/>
      <c r="D796" s="5" t="n"/>
      <c r="E796" s="3" t="n"/>
      <c r="F796" s="4" t="n"/>
      <c r="G796" s="5" t="n"/>
      <c r="H796" s="3" t="n"/>
      <c r="I796" s="4" t="n"/>
      <c r="J796" s="5" t="n"/>
      <c r="K796" s="3" t="n"/>
      <c r="L796" s="4" t="n"/>
      <c r="M796" s="5" t="n"/>
      <c r="N796" s="3" t="n"/>
      <c r="O796" s="4" t="n"/>
      <c r="P796" s="5" t="n"/>
      <c r="Q796" s="3" t="n"/>
      <c r="R796" s="4" t="n"/>
      <c r="S796" s="5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6">
        <f>IF(C796=0,0,IF(E796="",B796*D796/100,E796))</f>
        <v/>
      </c>
      <c r="AE796" s="6">
        <f>IF(F796=0,0,IF(H796="",B796*G796/100,H796))</f>
        <v/>
      </c>
      <c r="AF796" s="6">
        <f>IF(I796=0,0,IF(K796="",B796*J796/100,K796))</f>
        <v/>
      </c>
      <c r="AG796" s="6">
        <f>IF(L796=0,0,IF(N796="",B796*M796/100,N796))</f>
        <v/>
      </c>
      <c r="AH796" s="6">
        <f>IF(O796=0,0,IF(Q796="",B796*P796/100,Q796))</f>
        <v/>
      </c>
      <c r="AI796" s="6">
        <f>IF(R796=0,0,IF(T796="",B796*S796/100,T796))</f>
        <v/>
      </c>
      <c r="AJ796" s="6">
        <f>B796*0.035</f>
        <v/>
      </c>
      <c r="AK796" s="6">
        <f>B796*0.065</f>
        <v/>
      </c>
      <c r="AL796" s="6">
        <f>SUM(B796,AD796,AE796,AF796,AG796,AH796,AI796,U796,V796,AJ796,AK796)</f>
        <v/>
      </c>
      <c r="AM796" s="6">
        <f>B796*0.055</f>
        <v/>
      </c>
      <c r="AN796" s="6">
        <f>B796*0.035</f>
        <v/>
      </c>
      <c r="AO796" s="6">
        <f>B796*0.165</f>
        <v/>
      </c>
      <c r="AP796" s="6">
        <f>MAX(0,AL796-AM796-AO796)</f>
        <v/>
      </c>
      <c r="AQ796" s="6">
        <f>IF(AP796&lt;=490,0,IF(AP796&lt;=600,(AP796-490)*0.05,IF(AP796&lt;=730,5.5+(AP796-600)*0.10,IF(AP796&lt;=3896.67,18.5+(AP796-730)*0.175,IF(AP796&lt;=19896.67,572.67+(AP796-3896.67)*0.25,IF(AP796&lt;=50416.67,4572.67+(AP796-19896.67)*0.30,13728.67+(AP796-50416.67)*0.35))))))</f>
        <v/>
      </c>
      <c r="AR796" s="6">
        <f>SUM(AM796,AQ796,W796,X796,Y796,Z796,AA796,AN796,AO796)</f>
        <v/>
      </c>
      <c r="AS796" s="6">
        <f>AL796-AR796</f>
        <v/>
      </c>
      <c r="AT796" s="6">
        <f>AB796-AC796</f>
        <v/>
      </c>
    </row>
    <row r="797">
      <c r="A797" s="2" t="n"/>
      <c r="B797" s="3" t="n"/>
      <c r="C797" s="4" t="n"/>
      <c r="D797" s="5" t="n"/>
      <c r="E797" s="3" t="n"/>
      <c r="F797" s="4" t="n"/>
      <c r="G797" s="5" t="n"/>
      <c r="H797" s="3" t="n"/>
      <c r="I797" s="4" t="n"/>
      <c r="J797" s="5" t="n"/>
      <c r="K797" s="3" t="n"/>
      <c r="L797" s="4" t="n"/>
      <c r="M797" s="5" t="n"/>
      <c r="N797" s="3" t="n"/>
      <c r="O797" s="4" t="n"/>
      <c r="P797" s="5" t="n"/>
      <c r="Q797" s="3" t="n"/>
      <c r="R797" s="4" t="n"/>
      <c r="S797" s="5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6">
        <f>IF(C797=0,0,IF(E797="",B797*D797/100,E797))</f>
        <v/>
      </c>
      <c r="AE797" s="6">
        <f>IF(F797=0,0,IF(H797="",B797*G797/100,H797))</f>
        <v/>
      </c>
      <c r="AF797" s="6">
        <f>IF(I797=0,0,IF(K797="",B797*J797/100,K797))</f>
        <v/>
      </c>
      <c r="AG797" s="6">
        <f>IF(L797=0,0,IF(N797="",B797*M797/100,N797))</f>
        <v/>
      </c>
      <c r="AH797" s="6">
        <f>IF(O797=0,0,IF(Q797="",B797*P797/100,Q797))</f>
        <v/>
      </c>
      <c r="AI797" s="6">
        <f>IF(R797=0,0,IF(T797="",B797*S797/100,T797))</f>
        <v/>
      </c>
      <c r="AJ797" s="6">
        <f>B797*0.035</f>
        <v/>
      </c>
      <c r="AK797" s="6">
        <f>B797*0.065</f>
        <v/>
      </c>
      <c r="AL797" s="6">
        <f>SUM(B797,AD797,AE797,AF797,AG797,AH797,AI797,U797,V797,AJ797,AK797)</f>
        <v/>
      </c>
      <c r="AM797" s="6">
        <f>B797*0.055</f>
        <v/>
      </c>
      <c r="AN797" s="6">
        <f>B797*0.035</f>
        <v/>
      </c>
      <c r="AO797" s="6">
        <f>B797*0.165</f>
        <v/>
      </c>
      <c r="AP797" s="6">
        <f>MAX(0,AL797-AM797-AO797)</f>
        <v/>
      </c>
      <c r="AQ797" s="6">
        <f>IF(AP797&lt;=490,0,IF(AP797&lt;=600,(AP797-490)*0.05,IF(AP797&lt;=730,5.5+(AP797-600)*0.10,IF(AP797&lt;=3896.67,18.5+(AP797-730)*0.175,IF(AP797&lt;=19896.67,572.67+(AP797-3896.67)*0.25,IF(AP797&lt;=50416.67,4572.67+(AP797-19896.67)*0.30,13728.67+(AP797-50416.67)*0.35))))))</f>
        <v/>
      </c>
      <c r="AR797" s="6">
        <f>SUM(AM797,AQ797,W797,X797,Y797,Z797,AA797,AN797,AO797)</f>
        <v/>
      </c>
      <c r="AS797" s="6">
        <f>AL797-AR797</f>
        <v/>
      </c>
      <c r="AT797" s="6">
        <f>AB797-AC797</f>
        <v/>
      </c>
    </row>
    <row r="798">
      <c r="A798" s="2" t="n"/>
      <c r="B798" s="3" t="n"/>
      <c r="C798" s="4" t="n"/>
      <c r="D798" s="5" t="n"/>
      <c r="E798" s="3" t="n"/>
      <c r="F798" s="4" t="n"/>
      <c r="G798" s="5" t="n"/>
      <c r="H798" s="3" t="n"/>
      <c r="I798" s="4" t="n"/>
      <c r="J798" s="5" t="n"/>
      <c r="K798" s="3" t="n"/>
      <c r="L798" s="4" t="n"/>
      <c r="M798" s="5" t="n"/>
      <c r="N798" s="3" t="n"/>
      <c r="O798" s="4" t="n"/>
      <c r="P798" s="5" t="n"/>
      <c r="Q798" s="3" t="n"/>
      <c r="R798" s="4" t="n"/>
      <c r="S798" s="5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6">
        <f>IF(C798=0,0,IF(E798="",B798*D798/100,E798))</f>
        <v/>
      </c>
      <c r="AE798" s="6">
        <f>IF(F798=0,0,IF(H798="",B798*G798/100,H798))</f>
        <v/>
      </c>
      <c r="AF798" s="6">
        <f>IF(I798=0,0,IF(K798="",B798*J798/100,K798))</f>
        <v/>
      </c>
      <c r="AG798" s="6">
        <f>IF(L798=0,0,IF(N798="",B798*M798/100,N798))</f>
        <v/>
      </c>
      <c r="AH798" s="6">
        <f>IF(O798=0,0,IF(Q798="",B798*P798/100,Q798))</f>
        <v/>
      </c>
      <c r="AI798" s="6">
        <f>IF(R798=0,0,IF(T798="",B798*S798/100,T798))</f>
        <v/>
      </c>
      <c r="AJ798" s="6">
        <f>B798*0.035</f>
        <v/>
      </c>
      <c r="AK798" s="6">
        <f>B798*0.065</f>
        <v/>
      </c>
      <c r="AL798" s="6">
        <f>SUM(B798,AD798,AE798,AF798,AG798,AH798,AI798,U798,V798,AJ798,AK798)</f>
        <v/>
      </c>
      <c r="AM798" s="6">
        <f>B798*0.055</f>
        <v/>
      </c>
      <c r="AN798" s="6">
        <f>B798*0.035</f>
        <v/>
      </c>
      <c r="AO798" s="6">
        <f>B798*0.165</f>
        <v/>
      </c>
      <c r="AP798" s="6">
        <f>MAX(0,AL798-AM798-AO798)</f>
        <v/>
      </c>
      <c r="AQ798" s="6">
        <f>IF(AP798&lt;=490,0,IF(AP798&lt;=600,(AP798-490)*0.05,IF(AP798&lt;=730,5.5+(AP798-600)*0.10,IF(AP798&lt;=3896.67,18.5+(AP798-730)*0.175,IF(AP798&lt;=19896.67,572.67+(AP798-3896.67)*0.25,IF(AP798&lt;=50416.67,4572.67+(AP798-19896.67)*0.30,13728.67+(AP798-50416.67)*0.35))))))</f>
        <v/>
      </c>
      <c r="AR798" s="6">
        <f>SUM(AM798,AQ798,W798,X798,Y798,Z798,AA798,AN798,AO798)</f>
        <v/>
      </c>
      <c r="AS798" s="6">
        <f>AL798-AR798</f>
        <v/>
      </c>
      <c r="AT798" s="6">
        <f>AB798-AC798</f>
        <v/>
      </c>
    </row>
    <row r="799">
      <c r="A799" s="2" t="n"/>
      <c r="B799" s="3" t="n"/>
      <c r="C799" s="4" t="n"/>
      <c r="D799" s="5" t="n"/>
      <c r="E799" s="3" t="n"/>
      <c r="F799" s="4" t="n"/>
      <c r="G799" s="5" t="n"/>
      <c r="H799" s="3" t="n"/>
      <c r="I799" s="4" t="n"/>
      <c r="J799" s="5" t="n"/>
      <c r="K799" s="3" t="n"/>
      <c r="L799" s="4" t="n"/>
      <c r="M799" s="5" t="n"/>
      <c r="N799" s="3" t="n"/>
      <c r="O799" s="4" t="n"/>
      <c r="P799" s="5" t="n"/>
      <c r="Q799" s="3" t="n"/>
      <c r="R799" s="4" t="n"/>
      <c r="S799" s="5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6">
        <f>IF(C799=0,0,IF(E799="",B799*D799/100,E799))</f>
        <v/>
      </c>
      <c r="AE799" s="6">
        <f>IF(F799=0,0,IF(H799="",B799*G799/100,H799))</f>
        <v/>
      </c>
      <c r="AF799" s="6">
        <f>IF(I799=0,0,IF(K799="",B799*J799/100,K799))</f>
        <v/>
      </c>
      <c r="AG799" s="6">
        <f>IF(L799=0,0,IF(N799="",B799*M799/100,N799))</f>
        <v/>
      </c>
      <c r="AH799" s="6">
        <f>IF(O799=0,0,IF(Q799="",B799*P799/100,Q799))</f>
        <v/>
      </c>
      <c r="AI799" s="6">
        <f>IF(R799=0,0,IF(T799="",B799*S799/100,T799))</f>
        <v/>
      </c>
      <c r="AJ799" s="6">
        <f>B799*0.035</f>
        <v/>
      </c>
      <c r="AK799" s="6">
        <f>B799*0.065</f>
        <v/>
      </c>
      <c r="AL799" s="6">
        <f>SUM(B799,AD799,AE799,AF799,AG799,AH799,AI799,U799,V799,AJ799,AK799)</f>
        <v/>
      </c>
      <c r="AM799" s="6">
        <f>B799*0.055</f>
        <v/>
      </c>
      <c r="AN799" s="6">
        <f>B799*0.035</f>
        <v/>
      </c>
      <c r="AO799" s="6">
        <f>B799*0.165</f>
        <v/>
      </c>
      <c r="AP799" s="6">
        <f>MAX(0,AL799-AM799-AO799)</f>
        <v/>
      </c>
      <c r="AQ799" s="6">
        <f>IF(AP799&lt;=490,0,IF(AP799&lt;=600,(AP799-490)*0.05,IF(AP799&lt;=730,5.5+(AP799-600)*0.10,IF(AP799&lt;=3896.67,18.5+(AP799-730)*0.175,IF(AP799&lt;=19896.67,572.67+(AP799-3896.67)*0.25,IF(AP799&lt;=50416.67,4572.67+(AP799-19896.67)*0.30,13728.67+(AP799-50416.67)*0.35))))))</f>
        <v/>
      </c>
      <c r="AR799" s="6">
        <f>SUM(AM799,AQ799,W799,X799,Y799,Z799,AA799,AN799,AO799)</f>
        <v/>
      </c>
      <c r="AS799" s="6">
        <f>AL799-AR799</f>
        <v/>
      </c>
      <c r="AT799" s="6">
        <f>AB799-AC799</f>
        <v/>
      </c>
    </row>
    <row r="800">
      <c r="A800" s="2" t="n"/>
      <c r="B800" s="3" t="n"/>
      <c r="C800" s="4" t="n"/>
      <c r="D800" s="5" t="n"/>
      <c r="E800" s="3" t="n"/>
      <c r="F800" s="4" t="n"/>
      <c r="G800" s="5" t="n"/>
      <c r="H800" s="3" t="n"/>
      <c r="I800" s="4" t="n"/>
      <c r="J800" s="5" t="n"/>
      <c r="K800" s="3" t="n"/>
      <c r="L800" s="4" t="n"/>
      <c r="M800" s="5" t="n"/>
      <c r="N800" s="3" t="n"/>
      <c r="O800" s="4" t="n"/>
      <c r="P800" s="5" t="n"/>
      <c r="Q800" s="3" t="n"/>
      <c r="R800" s="4" t="n"/>
      <c r="S800" s="5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6">
        <f>IF(C800=0,0,IF(E800="",B800*D800/100,E800))</f>
        <v/>
      </c>
      <c r="AE800" s="6">
        <f>IF(F800=0,0,IF(H800="",B800*G800/100,H800))</f>
        <v/>
      </c>
      <c r="AF800" s="6">
        <f>IF(I800=0,0,IF(K800="",B800*J800/100,K800))</f>
        <v/>
      </c>
      <c r="AG800" s="6">
        <f>IF(L800=0,0,IF(N800="",B800*M800/100,N800))</f>
        <v/>
      </c>
      <c r="AH800" s="6">
        <f>IF(O800=0,0,IF(Q800="",B800*P800/100,Q800))</f>
        <v/>
      </c>
      <c r="AI800" s="6">
        <f>IF(R800=0,0,IF(T800="",B800*S800/100,T800))</f>
        <v/>
      </c>
      <c r="AJ800" s="6">
        <f>B800*0.035</f>
        <v/>
      </c>
      <c r="AK800" s="6">
        <f>B800*0.065</f>
        <v/>
      </c>
      <c r="AL800" s="6">
        <f>SUM(B800,AD800,AE800,AF800,AG800,AH800,AI800,U800,V800,AJ800,AK800)</f>
        <v/>
      </c>
      <c r="AM800" s="6">
        <f>B800*0.055</f>
        <v/>
      </c>
      <c r="AN800" s="6">
        <f>B800*0.035</f>
        <v/>
      </c>
      <c r="AO800" s="6">
        <f>B800*0.165</f>
        <v/>
      </c>
      <c r="AP800" s="6">
        <f>MAX(0,AL800-AM800-AO800)</f>
        <v/>
      </c>
      <c r="AQ800" s="6">
        <f>IF(AP800&lt;=490,0,IF(AP800&lt;=600,(AP800-490)*0.05,IF(AP800&lt;=730,5.5+(AP800-600)*0.10,IF(AP800&lt;=3896.67,18.5+(AP800-730)*0.175,IF(AP800&lt;=19896.67,572.67+(AP800-3896.67)*0.25,IF(AP800&lt;=50416.67,4572.67+(AP800-19896.67)*0.30,13728.67+(AP800-50416.67)*0.35))))))</f>
        <v/>
      </c>
      <c r="AR800" s="6">
        <f>SUM(AM800,AQ800,W800,X800,Y800,Z800,AA800,AN800,AO800)</f>
        <v/>
      </c>
      <c r="AS800" s="6">
        <f>AL800-AR800</f>
        <v/>
      </c>
      <c r="AT800" s="6">
        <f>AB800-AC800</f>
        <v/>
      </c>
    </row>
    <row r="801">
      <c r="A801" s="2" t="n"/>
      <c r="B801" s="3" t="n"/>
      <c r="C801" s="4" t="n"/>
      <c r="D801" s="5" t="n"/>
      <c r="E801" s="3" t="n"/>
      <c r="F801" s="4" t="n"/>
      <c r="G801" s="5" t="n"/>
      <c r="H801" s="3" t="n"/>
      <c r="I801" s="4" t="n"/>
      <c r="J801" s="5" t="n"/>
      <c r="K801" s="3" t="n"/>
      <c r="L801" s="4" t="n"/>
      <c r="M801" s="5" t="n"/>
      <c r="N801" s="3" t="n"/>
      <c r="O801" s="4" t="n"/>
      <c r="P801" s="5" t="n"/>
      <c r="Q801" s="3" t="n"/>
      <c r="R801" s="4" t="n"/>
      <c r="S801" s="5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6">
        <f>IF(C801=0,0,IF(E801="",B801*D801/100,E801))</f>
        <v/>
      </c>
      <c r="AE801" s="6">
        <f>IF(F801=0,0,IF(H801="",B801*G801/100,H801))</f>
        <v/>
      </c>
      <c r="AF801" s="6">
        <f>IF(I801=0,0,IF(K801="",B801*J801/100,K801))</f>
        <v/>
      </c>
      <c r="AG801" s="6">
        <f>IF(L801=0,0,IF(N801="",B801*M801/100,N801))</f>
        <v/>
      </c>
      <c r="AH801" s="6">
        <f>IF(O801=0,0,IF(Q801="",B801*P801/100,Q801))</f>
        <v/>
      </c>
      <c r="AI801" s="6">
        <f>IF(R801=0,0,IF(T801="",B801*S801/100,T801))</f>
        <v/>
      </c>
      <c r="AJ801" s="6">
        <f>B801*0.035</f>
        <v/>
      </c>
      <c r="AK801" s="6">
        <f>B801*0.065</f>
        <v/>
      </c>
      <c r="AL801" s="6">
        <f>SUM(B801,AD801,AE801,AF801,AG801,AH801,AI801,U801,V801,AJ801,AK801)</f>
        <v/>
      </c>
      <c r="AM801" s="6">
        <f>B801*0.055</f>
        <v/>
      </c>
      <c r="AN801" s="6">
        <f>B801*0.035</f>
        <v/>
      </c>
      <c r="AO801" s="6">
        <f>B801*0.165</f>
        <v/>
      </c>
      <c r="AP801" s="6">
        <f>MAX(0,AL801-AM801-AO801)</f>
        <v/>
      </c>
      <c r="AQ801" s="6">
        <f>IF(AP801&lt;=490,0,IF(AP801&lt;=600,(AP801-490)*0.05,IF(AP801&lt;=730,5.5+(AP801-600)*0.10,IF(AP801&lt;=3896.67,18.5+(AP801-730)*0.175,IF(AP801&lt;=19896.67,572.67+(AP801-3896.67)*0.25,IF(AP801&lt;=50416.67,4572.67+(AP801-19896.67)*0.30,13728.67+(AP801-50416.67)*0.35))))))</f>
        <v/>
      </c>
      <c r="AR801" s="6">
        <f>SUM(AM801,AQ801,W801,X801,Y801,Z801,AA801,AN801,AO801)</f>
        <v/>
      </c>
      <c r="AS801" s="6">
        <f>AL801-AR801</f>
        <v/>
      </c>
      <c r="AT801" s="6">
        <f>AB801-AC801</f>
        <v/>
      </c>
    </row>
    <row r="802">
      <c r="A802" s="2" t="n"/>
      <c r="B802" s="3" t="n"/>
      <c r="C802" s="4" t="n"/>
      <c r="D802" s="5" t="n"/>
      <c r="E802" s="3" t="n"/>
      <c r="F802" s="4" t="n"/>
      <c r="G802" s="5" t="n"/>
      <c r="H802" s="3" t="n"/>
      <c r="I802" s="4" t="n"/>
      <c r="J802" s="5" t="n"/>
      <c r="K802" s="3" t="n"/>
      <c r="L802" s="4" t="n"/>
      <c r="M802" s="5" t="n"/>
      <c r="N802" s="3" t="n"/>
      <c r="O802" s="4" t="n"/>
      <c r="P802" s="5" t="n"/>
      <c r="Q802" s="3" t="n"/>
      <c r="R802" s="4" t="n"/>
      <c r="S802" s="5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6">
        <f>IF(C802=0,0,IF(E802="",B802*D802/100,E802))</f>
        <v/>
      </c>
      <c r="AE802" s="6">
        <f>IF(F802=0,0,IF(H802="",B802*G802/100,H802))</f>
        <v/>
      </c>
      <c r="AF802" s="6">
        <f>IF(I802=0,0,IF(K802="",B802*J802/100,K802))</f>
        <v/>
      </c>
      <c r="AG802" s="6">
        <f>IF(L802=0,0,IF(N802="",B802*M802/100,N802))</f>
        <v/>
      </c>
      <c r="AH802" s="6">
        <f>IF(O802=0,0,IF(Q802="",B802*P802/100,Q802))</f>
        <v/>
      </c>
      <c r="AI802" s="6">
        <f>IF(R802=0,0,IF(T802="",B802*S802/100,T802))</f>
        <v/>
      </c>
      <c r="AJ802" s="6">
        <f>B802*0.035</f>
        <v/>
      </c>
      <c r="AK802" s="6">
        <f>B802*0.065</f>
        <v/>
      </c>
      <c r="AL802" s="6">
        <f>SUM(B802,AD802,AE802,AF802,AG802,AH802,AI802,U802,V802,AJ802,AK802)</f>
        <v/>
      </c>
      <c r="AM802" s="6">
        <f>B802*0.055</f>
        <v/>
      </c>
      <c r="AN802" s="6">
        <f>B802*0.035</f>
        <v/>
      </c>
      <c r="AO802" s="6">
        <f>B802*0.165</f>
        <v/>
      </c>
      <c r="AP802" s="6">
        <f>MAX(0,AL802-AM802-AO802)</f>
        <v/>
      </c>
      <c r="AQ802" s="6">
        <f>IF(AP802&lt;=490,0,IF(AP802&lt;=600,(AP802-490)*0.05,IF(AP802&lt;=730,5.5+(AP802-600)*0.10,IF(AP802&lt;=3896.67,18.5+(AP802-730)*0.175,IF(AP802&lt;=19896.67,572.67+(AP802-3896.67)*0.25,IF(AP802&lt;=50416.67,4572.67+(AP802-19896.67)*0.30,13728.67+(AP802-50416.67)*0.35))))))</f>
        <v/>
      </c>
      <c r="AR802" s="6">
        <f>SUM(AM802,AQ802,W802,X802,Y802,Z802,AA802,AN802,AO802)</f>
        <v/>
      </c>
      <c r="AS802" s="6">
        <f>AL802-AR802</f>
        <v/>
      </c>
      <c r="AT802" s="6">
        <f>AB802-AC802</f>
        <v/>
      </c>
    </row>
    <row r="803">
      <c r="A803" s="2" t="n"/>
      <c r="B803" s="3" t="n"/>
      <c r="C803" s="4" t="n"/>
      <c r="D803" s="5" t="n"/>
      <c r="E803" s="3" t="n"/>
      <c r="F803" s="4" t="n"/>
      <c r="G803" s="5" t="n"/>
      <c r="H803" s="3" t="n"/>
      <c r="I803" s="4" t="n"/>
      <c r="J803" s="5" t="n"/>
      <c r="K803" s="3" t="n"/>
      <c r="L803" s="4" t="n"/>
      <c r="M803" s="5" t="n"/>
      <c r="N803" s="3" t="n"/>
      <c r="O803" s="4" t="n"/>
      <c r="P803" s="5" t="n"/>
      <c r="Q803" s="3" t="n"/>
      <c r="R803" s="4" t="n"/>
      <c r="S803" s="5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6">
        <f>IF(C803=0,0,IF(E803="",B803*D803/100,E803))</f>
        <v/>
      </c>
      <c r="AE803" s="6">
        <f>IF(F803=0,0,IF(H803="",B803*G803/100,H803))</f>
        <v/>
      </c>
      <c r="AF803" s="6">
        <f>IF(I803=0,0,IF(K803="",B803*J803/100,K803))</f>
        <v/>
      </c>
      <c r="AG803" s="6">
        <f>IF(L803=0,0,IF(N803="",B803*M803/100,N803))</f>
        <v/>
      </c>
      <c r="AH803" s="6">
        <f>IF(O803=0,0,IF(Q803="",B803*P803/100,Q803))</f>
        <v/>
      </c>
      <c r="AI803" s="6">
        <f>IF(R803=0,0,IF(T803="",B803*S803/100,T803))</f>
        <v/>
      </c>
      <c r="AJ803" s="6">
        <f>B803*0.035</f>
        <v/>
      </c>
      <c r="AK803" s="6">
        <f>B803*0.065</f>
        <v/>
      </c>
      <c r="AL803" s="6">
        <f>SUM(B803,AD803,AE803,AF803,AG803,AH803,AI803,U803,V803,AJ803,AK803)</f>
        <v/>
      </c>
      <c r="AM803" s="6">
        <f>B803*0.055</f>
        <v/>
      </c>
      <c r="AN803" s="6">
        <f>B803*0.035</f>
        <v/>
      </c>
      <c r="AO803" s="6">
        <f>B803*0.165</f>
        <v/>
      </c>
      <c r="AP803" s="6">
        <f>MAX(0,AL803-AM803-AO803)</f>
        <v/>
      </c>
      <c r="AQ803" s="6">
        <f>IF(AP803&lt;=490,0,IF(AP803&lt;=600,(AP803-490)*0.05,IF(AP803&lt;=730,5.5+(AP803-600)*0.10,IF(AP803&lt;=3896.67,18.5+(AP803-730)*0.175,IF(AP803&lt;=19896.67,572.67+(AP803-3896.67)*0.25,IF(AP803&lt;=50416.67,4572.67+(AP803-19896.67)*0.30,13728.67+(AP803-50416.67)*0.35))))))</f>
        <v/>
      </c>
      <c r="AR803" s="6">
        <f>SUM(AM803,AQ803,W803,X803,Y803,Z803,AA803,AN803,AO803)</f>
        <v/>
      </c>
      <c r="AS803" s="6">
        <f>AL803-AR803</f>
        <v/>
      </c>
      <c r="AT803" s="6">
        <f>AB803-AC803</f>
        <v/>
      </c>
    </row>
    <row r="804">
      <c r="A804" s="2" t="n"/>
      <c r="B804" s="3" t="n"/>
      <c r="C804" s="4" t="n"/>
      <c r="D804" s="5" t="n"/>
      <c r="E804" s="3" t="n"/>
      <c r="F804" s="4" t="n"/>
      <c r="G804" s="5" t="n"/>
      <c r="H804" s="3" t="n"/>
      <c r="I804" s="4" t="n"/>
      <c r="J804" s="5" t="n"/>
      <c r="K804" s="3" t="n"/>
      <c r="L804" s="4" t="n"/>
      <c r="M804" s="5" t="n"/>
      <c r="N804" s="3" t="n"/>
      <c r="O804" s="4" t="n"/>
      <c r="P804" s="5" t="n"/>
      <c r="Q804" s="3" t="n"/>
      <c r="R804" s="4" t="n"/>
      <c r="S804" s="5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6">
        <f>IF(C804=0,0,IF(E804="",B804*D804/100,E804))</f>
        <v/>
      </c>
      <c r="AE804" s="6">
        <f>IF(F804=0,0,IF(H804="",B804*G804/100,H804))</f>
        <v/>
      </c>
      <c r="AF804" s="6">
        <f>IF(I804=0,0,IF(K804="",B804*J804/100,K804))</f>
        <v/>
      </c>
      <c r="AG804" s="6">
        <f>IF(L804=0,0,IF(N804="",B804*M804/100,N804))</f>
        <v/>
      </c>
      <c r="AH804" s="6">
        <f>IF(O804=0,0,IF(Q804="",B804*P804/100,Q804))</f>
        <v/>
      </c>
      <c r="AI804" s="6">
        <f>IF(R804=0,0,IF(T804="",B804*S804/100,T804))</f>
        <v/>
      </c>
      <c r="AJ804" s="6">
        <f>B804*0.035</f>
        <v/>
      </c>
      <c r="AK804" s="6">
        <f>B804*0.065</f>
        <v/>
      </c>
      <c r="AL804" s="6">
        <f>SUM(B804,AD804,AE804,AF804,AG804,AH804,AI804,U804,V804,AJ804,AK804)</f>
        <v/>
      </c>
      <c r="AM804" s="6">
        <f>B804*0.055</f>
        <v/>
      </c>
      <c r="AN804" s="6">
        <f>B804*0.035</f>
        <v/>
      </c>
      <c r="AO804" s="6">
        <f>B804*0.165</f>
        <v/>
      </c>
      <c r="AP804" s="6">
        <f>MAX(0,AL804-AM804-AO804)</f>
        <v/>
      </c>
      <c r="AQ804" s="6">
        <f>IF(AP804&lt;=490,0,IF(AP804&lt;=600,(AP804-490)*0.05,IF(AP804&lt;=730,5.5+(AP804-600)*0.10,IF(AP804&lt;=3896.67,18.5+(AP804-730)*0.175,IF(AP804&lt;=19896.67,572.67+(AP804-3896.67)*0.25,IF(AP804&lt;=50416.67,4572.67+(AP804-19896.67)*0.30,13728.67+(AP804-50416.67)*0.35))))))</f>
        <v/>
      </c>
      <c r="AR804" s="6">
        <f>SUM(AM804,AQ804,W804,X804,Y804,Z804,AA804,AN804,AO804)</f>
        <v/>
      </c>
      <c r="AS804" s="6">
        <f>AL804-AR804</f>
        <v/>
      </c>
      <c r="AT804" s="6">
        <f>AB804-AC804</f>
        <v/>
      </c>
    </row>
    <row r="805">
      <c r="A805" s="2" t="n"/>
      <c r="B805" s="3" t="n"/>
      <c r="C805" s="4" t="n"/>
      <c r="D805" s="5" t="n"/>
      <c r="E805" s="3" t="n"/>
      <c r="F805" s="4" t="n"/>
      <c r="G805" s="5" t="n"/>
      <c r="H805" s="3" t="n"/>
      <c r="I805" s="4" t="n"/>
      <c r="J805" s="5" t="n"/>
      <c r="K805" s="3" t="n"/>
      <c r="L805" s="4" t="n"/>
      <c r="M805" s="5" t="n"/>
      <c r="N805" s="3" t="n"/>
      <c r="O805" s="4" t="n"/>
      <c r="P805" s="5" t="n"/>
      <c r="Q805" s="3" t="n"/>
      <c r="R805" s="4" t="n"/>
      <c r="S805" s="5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6">
        <f>IF(C805=0,0,IF(E805="",B805*D805/100,E805))</f>
        <v/>
      </c>
      <c r="AE805" s="6">
        <f>IF(F805=0,0,IF(H805="",B805*G805/100,H805))</f>
        <v/>
      </c>
      <c r="AF805" s="6">
        <f>IF(I805=0,0,IF(K805="",B805*J805/100,K805))</f>
        <v/>
      </c>
      <c r="AG805" s="6">
        <f>IF(L805=0,0,IF(N805="",B805*M805/100,N805))</f>
        <v/>
      </c>
      <c r="AH805" s="6">
        <f>IF(O805=0,0,IF(Q805="",B805*P805/100,Q805))</f>
        <v/>
      </c>
      <c r="AI805" s="6">
        <f>IF(R805=0,0,IF(T805="",B805*S805/100,T805))</f>
        <v/>
      </c>
      <c r="AJ805" s="6">
        <f>B805*0.035</f>
        <v/>
      </c>
      <c r="AK805" s="6">
        <f>B805*0.065</f>
        <v/>
      </c>
      <c r="AL805" s="6">
        <f>SUM(B805,AD805,AE805,AF805,AG805,AH805,AI805,U805,V805,AJ805,AK805)</f>
        <v/>
      </c>
      <c r="AM805" s="6">
        <f>B805*0.055</f>
        <v/>
      </c>
      <c r="AN805" s="6">
        <f>B805*0.035</f>
        <v/>
      </c>
      <c r="AO805" s="6">
        <f>B805*0.165</f>
        <v/>
      </c>
      <c r="AP805" s="6">
        <f>MAX(0,AL805-AM805-AO805)</f>
        <v/>
      </c>
      <c r="AQ805" s="6">
        <f>IF(AP805&lt;=490,0,IF(AP805&lt;=600,(AP805-490)*0.05,IF(AP805&lt;=730,5.5+(AP805-600)*0.10,IF(AP805&lt;=3896.67,18.5+(AP805-730)*0.175,IF(AP805&lt;=19896.67,572.67+(AP805-3896.67)*0.25,IF(AP805&lt;=50416.67,4572.67+(AP805-19896.67)*0.30,13728.67+(AP805-50416.67)*0.35))))))</f>
        <v/>
      </c>
      <c r="AR805" s="6">
        <f>SUM(AM805,AQ805,W805,X805,Y805,Z805,AA805,AN805,AO805)</f>
        <v/>
      </c>
      <c r="AS805" s="6">
        <f>AL805-AR805</f>
        <v/>
      </c>
      <c r="AT805" s="6">
        <f>AB805-AC805</f>
        <v/>
      </c>
    </row>
    <row r="806">
      <c r="A806" s="2" t="n"/>
      <c r="B806" s="3" t="n"/>
      <c r="C806" s="4" t="n"/>
      <c r="D806" s="5" t="n"/>
      <c r="E806" s="3" t="n"/>
      <c r="F806" s="4" t="n"/>
      <c r="G806" s="5" t="n"/>
      <c r="H806" s="3" t="n"/>
      <c r="I806" s="4" t="n"/>
      <c r="J806" s="5" t="n"/>
      <c r="K806" s="3" t="n"/>
      <c r="L806" s="4" t="n"/>
      <c r="M806" s="5" t="n"/>
      <c r="N806" s="3" t="n"/>
      <c r="O806" s="4" t="n"/>
      <c r="P806" s="5" t="n"/>
      <c r="Q806" s="3" t="n"/>
      <c r="R806" s="4" t="n"/>
      <c r="S806" s="5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6">
        <f>IF(C806=0,0,IF(E806="",B806*D806/100,E806))</f>
        <v/>
      </c>
      <c r="AE806" s="6">
        <f>IF(F806=0,0,IF(H806="",B806*G806/100,H806))</f>
        <v/>
      </c>
      <c r="AF806" s="6">
        <f>IF(I806=0,0,IF(K806="",B806*J806/100,K806))</f>
        <v/>
      </c>
      <c r="AG806" s="6">
        <f>IF(L806=0,0,IF(N806="",B806*M806/100,N806))</f>
        <v/>
      </c>
      <c r="AH806" s="6">
        <f>IF(O806=0,0,IF(Q806="",B806*P806/100,Q806))</f>
        <v/>
      </c>
      <c r="AI806" s="6">
        <f>IF(R806=0,0,IF(T806="",B806*S806/100,T806))</f>
        <v/>
      </c>
      <c r="AJ806" s="6">
        <f>B806*0.035</f>
        <v/>
      </c>
      <c r="AK806" s="6">
        <f>B806*0.065</f>
        <v/>
      </c>
      <c r="AL806" s="6">
        <f>SUM(B806,AD806,AE806,AF806,AG806,AH806,AI806,U806,V806,AJ806,AK806)</f>
        <v/>
      </c>
      <c r="AM806" s="6">
        <f>B806*0.055</f>
        <v/>
      </c>
      <c r="AN806" s="6">
        <f>B806*0.035</f>
        <v/>
      </c>
      <c r="AO806" s="6">
        <f>B806*0.165</f>
        <v/>
      </c>
      <c r="AP806" s="6">
        <f>MAX(0,AL806-AM806-AO806)</f>
        <v/>
      </c>
      <c r="AQ806" s="6">
        <f>IF(AP806&lt;=490,0,IF(AP806&lt;=600,(AP806-490)*0.05,IF(AP806&lt;=730,5.5+(AP806-600)*0.10,IF(AP806&lt;=3896.67,18.5+(AP806-730)*0.175,IF(AP806&lt;=19896.67,572.67+(AP806-3896.67)*0.25,IF(AP806&lt;=50416.67,4572.67+(AP806-19896.67)*0.30,13728.67+(AP806-50416.67)*0.35))))))</f>
        <v/>
      </c>
      <c r="AR806" s="6">
        <f>SUM(AM806,AQ806,W806,X806,Y806,Z806,AA806,AN806,AO806)</f>
        <v/>
      </c>
      <c r="AS806" s="6">
        <f>AL806-AR806</f>
        <v/>
      </c>
      <c r="AT806" s="6">
        <f>AB806-AC806</f>
        <v/>
      </c>
    </row>
    <row r="807">
      <c r="A807" s="2" t="n"/>
      <c r="B807" s="3" t="n"/>
      <c r="C807" s="4" t="n"/>
      <c r="D807" s="5" t="n"/>
      <c r="E807" s="3" t="n"/>
      <c r="F807" s="4" t="n"/>
      <c r="G807" s="5" t="n"/>
      <c r="H807" s="3" t="n"/>
      <c r="I807" s="4" t="n"/>
      <c r="J807" s="5" t="n"/>
      <c r="K807" s="3" t="n"/>
      <c r="L807" s="4" t="n"/>
      <c r="M807" s="5" t="n"/>
      <c r="N807" s="3" t="n"/>
      <c r="O807" s="4" t="n"/>
      <c r="P807" s="5" t="n"/>
      <c r="Q807" s="3" t="n"/>
      <c r="R807" s="4" t="n"/>
      <c r="S807" s="5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6">
        <f>IF(C807=0,0,IF(E807="",B807*D807/100,E807))</f>
        <v/>
      </c>
      <c r="AE807" s="6">
        <f>IF(F807=0,0,IF(H807="",B807*G807/100,H807))</f>
        <v/>
      </c>
      <c r="AF807" s="6">
        <f>IF(I807=0,0,IF(K807="",B807*J807/100,K807))</f>
        <v/>
      </c>
      <c r="AG807" s="6">
        <f>IF(L807=0,0,IF(N807="",B807*M807/100,N807))</f>
        <v/>
      </c>
      <c r="AH807" s="6">
        <f>IF(O807=0,0,IF(Q807="",B807*P807/100,Q807))</f>
        <v/>
      </c>
      <c r="AI807" s="6">
        <f>IF(R807=0,0,IF(T807="",B807*S807/100,T807))</f>
        <v/>
      </c>
      <c r="AJ807" s="6">
        <f>B807*0.035</f>
        <v/>
      </c>
      <c r="AK807" s="6">
        <f>B807*0.065</f>
        <v/>
      </c>
      <c r="AL807" s="6">
        <f>SUM(B807,AD807,AE807,AF807,AG807,AH807,AI807,U807,V807,AJ807,AK807)</f>
        <v/>
      </c>
      <c r="AM807" s="6">
        <f>B807*0.055</f>
        <v/>
      </c>
      <c r="AN807" s="6">
        <f>B807*0.035</f>
        <v/>
      </c>
      <c r="AO807" s="6">
        <f>B807*0.165</f>
        <v/>
      </c>
      <c r="AP807" s="6">
        <f>MAX(0,AL807-AM807-AO807)</f>
        <v/>
      </c>
      <c r="AQ807" s="6">
        <f>IF(AP807&lt;=490,0,IF(AP807&lt;=600,(AP807-490)*0.05,IF(AP807&lt;=730,5.5+(AP807-600)*0.10,IF(AP807&lt;=3896.67,18.5+(AP807-730)*0.175,IF(AP807&lt;=19896.67,572.67+(AP807-3896.67)*0.25,IF(AP807&lt;=50416.67,4572.67+(AP807-19896.67)*0.30,13728.67+(AP807-50416.67)*0.35))))))</f>
        <v/>
      </c>
      <c r="AR807" s="6">
        <f>SUM(AM807,AQ807,W807,X807,Y807,Z807,AA807,AN807,AO807)</f>
        <v/>
      </c>
      <c r="AS807" s="6">
        <f>AL807-AR807</f>
        <v/>
      </c>
      <c r="AT807" s="6">
        <f>AB807-AC807</f>
        <v/>
      </c>
    </row>
    <row r="808">
      <c r="A808" s="2" t="n"/>
      <c r="B808" s="3" t="n"/>
      <c r="C808" s="4" t="n"/>
      <c r="D808" s="5" t="n"/>
      <c r="E808" s="3" t="n"/>
      <c r="F808" s="4" t="n"/>
      <c r="G808" s="5" t="n"/>
      <c r="H808" s="3" t="n"/>
      <c r="I808" s="4" t="n"/>
      <c r="J808" s="5" t="n"/>
      <c r="K808" s="3" t="n"/>
      <c r="L808" s="4" t="n"/>
      <c r="M808" s="5" t="n"/>
      <c r="N808" s="3" t="n"/>
      <c r="O808" s="4" t="n"/>
      <c r="P808" s="5" t="n"/>
      <c r="Q808" s="3" t="n"/>
      <c r="R808" s="4" t="n"/>
      <c r="S808" s="5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6">
        <f>IF(C808=0,0,IF(E808="",B808*D808/100,E808))</f>
        <v/>
      </c>
      <c r="AE808" s="6">
        <f>IF(F808=0,0,IF(H808="",B808*G808/100,H808))</f>
        <v/>
      </c>
      <c r="AF808" s="6">
        <f>IF(I808=0,0,IF(K808="",B808*J808/100,K808))</f>
        <v/>
      </c>
      <c r="AG808" s="6">
        <f>IF(L808=0,0,IF(N808="",B808*M808/100,N808))</f>
        <v/>
      </c>
      <c r="AH808" s="6">
        <f>IF(O808=0,0,IF(Q808="",B808*P808/100,Q808))</f>
        <v/>
      </c>
      <c r="AI808" s="6">
        <f>IF(R808=0,0,IF(T808="",B808*S808/100,T808))</f>
        <v/>
      </c>
      <c r="AJ808" s="6">
        <f>B808*0.035</f>
        <v/>
      </c>
      <c r="AK808" s="6">
        <f>B808*0.065</f>
        <v/>
      </c>
      <c r="AL808" s="6">
        <f>SUM(B808,AD808,AE808,AF808,AG808,AH808,AI808,U808,V808,AJ808,AK808)</f>
        <v/>
      </c>
      <c r="AM808" s="6">
        <f>B808*0.055</f>
        <v/>
      </c>
      <c r="AN808" s="6">
        <f>B808*0.035</f>
        <v/>
      </c>
      <c r="AO808" s="6">
        <f>B808*0.165</f>
        <v/>
      </c>
      <c r="AP808" s="6">
        <f>MAX(0,AL808-AM808-AO808)</f>
        <v/>
      </c>
      <c r="AQ808" s="6">
        <f>IF(AP808&lt;=490,0,IF(AP808&lt;=600,(AP808-490)*0.05,IF(AP808&lt;=730,5.5+(AP808-600)*0.10,IF(AP808&lt;=3896.67,18.5+(AP808-730)*0.175,IF(AP808&lt;=19896.67,572.67+(AP808-3896.67)*0.25,IF(AP808&lt;=50416.67,4572.67+(AP808-19896.67)*0.30,13728.67+(AP808-50416.67)*0.35))))))</f>
        <v/>
      </c>
      <c r="AR808" s="6">
        <f>SUM(AM808,AQ808,W808,X808,Y808,Z808,AA808,AN808,AO808)</f>
        <v/>
      </c>
      <c r="AS808" s="6">
        <f>AL808-AR808</f>
        <v/>
      </c>
      <c r="AT808" s="6">
        <f>AB808-AC808</f>
        <v/>
      </c>
    </row>
    <row r="809">
      <c r="A809" s="2" t="n"/>
      <c r="B809" s="3" t="n"/>
      <c r="C809" s="4" t="n"/>
      <c r="D809" s="5" t="n"/>
      <c r="E809" s="3" t="n"/>
      <c r="F809" s="4" t="n"/>
      <c r="G809" s="5" t="n"/>
      <c r="H809" s="3" t="n"/>
      <c r="I809" s="4" t="n"/>
      <c r="J809" s="5" t="n"/>
      <c r="K809" s="3" t="n"/>
      <c r="L809" s="4" t="n"/>
      <c r="M809" s="5" t="n"/>
      <c r="N809" s="3" t="n"/>
      <c r="O809" s="4" t="n"/>
      <c r="P809" s="5" t="n"/>
      <c r="Q809" s="3" t="n"/>
      <c r="R809" s="4" t="n"/>
      <c r="S809" s="5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6">
        <f>IF(C809=0,0,IF(E809="",B809*D809/100,E809))</f>
        <v/>
      </c>
      <c r="AE809" s="6">
        <f>IF(F809=0,0,IF(H809="",B809*G809/100,H809))</f>
        <v/>
      </c>
      <c r="AF809" s="6">
        <f>IF(I809=0,0,IF(K809="",B809*J809/100,K809))</f>
        <v/>
      </c>
      <c r="AG809" s="6">
        <f>IF(L809=0,0,IF(N809="",B809*M809/100,N809))</f>
        <v/>
      </c>
      <c r="AH809" s="6">
        <f>IF(O809=0,0,IF(Q809="",B809*P809/100,Q809))</f>
        <v/>
      </c>
      <c r="AI809" s="6">
        <f>IF(R809=0,0,IF(T809="",B809*S809/100,T809))</f>
        <v/>
      </c>
      <c r="AJ809" s="6">
        <f>B809*0.035</f>
        <v/>
      </c>
      <c r="AK809" s="6">
        <f>B809*0.065</f>
        <v/>
      </c>
      <c r="AL809" s="6">
        <f>SUM(B809,AD809,AE809,AF809,AG809,AH809,AI809,U809,V809,AJ809,AK809)</f>
        <v/>
      </c>
      <c r="AM809" s="6">
        <f>B809*0.055</f>
        <v/>
      </c>
      <c r="AN809" s="6">
        <f>B809*0.035</f>
        <v/>
      </c>
      <c r="AO809" s="6">
        <f>B809*0.165</f>
        <v/>
      </c>
      <c r="AP809" s="6">
        <f>MAX(0,AL809-AM809-AO809)</f>
        <v/>
      </c>
      <c r="AQ809" s="6">
        <f>IF(AP809&lt;=490,0,IF(AP809&lt;=600,(AP809-490)*0.05,IF(AP809&lt;=730,5.5+(AP809-600)*0.10,IF(AP809&lt;=3896.67,18.5+(AP809-730)*0.175,IF(AP809&lt;=19896.67,572.67+(AP809-3896.67)*0.25,IF(AP809&lt;=50416.67,4572.67+(AP809-19896.67)*0.30,13728.67+(AP809-50416.67)*0.35))))))</f>
        <v/>
      </c>
      <c r="AR809" s="6">
        <f>SUM(AM809,AQ809,W809,X809,Y809,Z809,AA809,AN809,AO809)</f>
        <v/>
      </c>
      <c r="AS809" s="6">
        <f>AL809-AR809</f>
        <v/>
      </c>
      <c r="AT809" s="6">
        <f>AB809-AC809</f>
        <v/>
      </c>
    </row>
    <row r="810">
      <c r="A810" s="2" t="n"/>
      <c r="B810" s="3" t="n"/>
      <c r="C810" s="4" t="n"/>
      <c r="D810" s="5" t="n"/>
      <c r="E810" s="3" t="n"/>
      <c r="F810" s="4" t="n"/>
      <c r="G810" s="5" t="n"/>
      <c r="H810" s="3" t="n"/>
      <c r="I810" s="4" t="n"/>
      <c r="J810" s="5" t="n"/>
      <c r="K810" s="3" t="n"/>
      <c r="L810" s="4" t="n"/>
      <c r="M810" s="5" t="n"/>
      <c r="N810" s="3" t="n"/>
      <c r="O810" s="4" t="n"/>
      <c r="P810" s="5" t="n"/>
      <c r="Q810" s="3" t="n"/>
      <c r="R810" s="4" t="n"/>
      <c r="S810" s="5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6">
        <f>IF(C810=0,0,IF(E810="",B810*D810/100,E810))</f>
        <v/>
      </c>
      <c r="AE810" s="6">
        <f>IF(F810=0,0,IF(H810="",B810*G810/100,H810))</f>
        <v/>
      </c>
      <c r="AF810" s="6">
        <f>IF(I810=0,0,IF(K810="",B810*J810/100,K810))</f>
        <v/>
      </c>
      <c r="AG810" s="6">
        <f>IF(L810=0,0,IF(N810="",B810*M810/100,N810))</f>
        <v/>
      </c>
      <c r="AH810" s="6">
        <f>IF(O810=0,0,IF(Q810="",B810*P810/100,Q810))</f>
        <v/>
      </c>
      <c r="AI810" s="6">
        <f>IF(R810=0,0,IF(T810="",B810*S810/100,T810))</f>
        <v/>
      </c>
      <c r="AJ810" s="6">
        <f>B810*0.035</f>
        <v/>
      </c>
      <c r="AK810" s="6">
        <f>B810*0.065</f>
        <v/>
      </c>
      <c r="AL810" s="6">
        <f>SUM(B810,AD810,AE810,AF810,AG810,AH810,AI810,U810,V810,AJ810,AK810)</f>
        <v/>
      </c>
      <c r="AM810" s="6">
        <f>B810*0.055</f>
        <v/>
      </c>
      <c r="AN810" s="6">
        <f>B810*0.035</f>
        <v/>
      </c>
      <c r="AO810" s="6">
        <f>B810*0.165</f>
        <v/>
      </c>
      <c r="AP810" s="6">
        <f>MAX(0,AL810-AM810-AO810)</f>
        <v/>
      </c>
      <c r="AQ810" s="6">
        <f>IF(AP810&lt;=490,0,IF(AP810&lt;=600,(AP810-490)*0.05,IF(AP810&lt;=730,5.5+(AP810-600)*0.10,IF(AP810&lt;=3896.67,18.5+(AP810-730)*0.175,IF(AP810&lt;=19896.67,572.67+(AP810-3896.67)*0.25,IF(AP810&lt;=50416.67,4572.67+(AP810-19896.67)*0.30,13728.67+(AP810-50416.67)*0.35))))))</f>
        <v/>
      </c>
      <c r="AR810" s="6">
        <f>SUM(AM810,AQ810,W810,X810,Y810,Z810,AA810,AN810,AO810)</f>
        <v/>
      </c>
      <c r="AS810" s="6">
        <f>AL810-AR810</f>
        <v/>
      </c>
      <c r="AT810" s="6">
        <f>AB810-AC810</f>
        <v/>
      </c>
    </row>
    <row r="811">
      <c r="A811" s="2" t="n"/>
      <c r="B811" s="3" t="n"/>
      <c r="C811" s="4" t="n"/>
      <c r="D811" s="5" t="n"/>
      <c r="E811" s="3" t="n"/>
      <c r="F811" s="4" t="n"/>
      <c r="G811" s="5" t="n"/>
      <c r="H811" s="3" t="n"/>
      <c r="I811" s="4" t="n"/>
      <c r="J811" s="5" t="n"/>
      <c r="K811" s="3" t="n"/>
      <c r="L811" s="4" t="n"/>
      <c r="M811" s="5" t="n"/>
      <c r="N811" s="3" t="n"/>
      <c r="O811" s="4" t="n"/>
      <c r="P811" s="5" t="n"/>
      <c r="Q811" s="3" t="n"/>
      <c r="R811" s="4" t="n"/>
      <c r="S811" s="5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6">
        <f>IF(C811=0,0,IF(E811="",B811*D811/100,E811))</f>
        <v/>
      </c>
      <c r="AE811" s="6">
        <f>IF(F811=0,0,IF(H811="",B811*G811/100,H811))</f>
        <v/>
      </c>
      <c r="AF811" s="6">
        <f>IF(I811=0,0,IF(K811="",B811*J811/100,K811))</f>
        <v/>
      </c>
      <c r="AG811" s="6">
        <f>IF(L811=0,0,IF(N811="",B811*M811/100,N811))</f>
        <v/>
      </c>
      <c r="AH811" s="6">
        <f>IF(O811=0,0,IF(Q811="",B811*P811/100,Q811))</f>
        <v/>
      </c>
      <c r="AI811" s="6">
        <f>IF(R811=0,0,IF(T811="",B811*S811/100,T811))</f>
        <v/>
      </c>
      <c r="AJ811" s="6">
        <f>B811*0.035</f>
        <v/>
      </c>
      <c r="AK811" s="6">
        <f>B811*0.065</f>
        <v/>
      </c>
      <c r="AL811" s="6">
        <f>SUM(B811,AD811,AE811,AF811,AG811,AH811,AI811,U811,V811,AJ811,AK811)</f>
        <v/>
      </c>
      <c r="AM811" s="6">
        <f>B811*0.055</f>
        <v/>
      </c>
      <c r="AN811" s="6">
        <f>B811*0.035</f>
        <v/>
      </c>
      <c r="AO811" s="6">
        <f>B811*0.165</f>
        <v/>
      </c>
      <c r="AP811" s="6">
        <f>MAX(0,AL811-AM811-AO811)</f>
        <v/>
      </c>
      <c r="AQ811" s="6">
        <f>IF(AP811&lt;=490,0,IF(AP811&lt;=600,(AP811-490)*0.05,IF(AP811&lt;=730,5.5+(AP811-600)*0.10,IF(AP811&lt;=3896.67,18.5+(AP811-730)*0.175,IF(AP811&lt;=19896.67,572.67+(AP811-3896.67)*0.25,IF(AP811&lt;=50416.67,4572.67+(AP811-19896.67)*0.30,13728.67+(AP811-50416.67)*0.35))))))</f>
        <v/>
      </c>
      <c r="AR811" s="6">
        <f>SUM(AM811,AQ811,W811,X811,Y811,Z811,AA811,AN811,AO811)</f>
        <v/>
      </c>
      <c r="AS811" s="6">
        <f>AL811-AR811</f>
        <v/>
      </c>
      <c r="AT811" s="6">
        <f>AB811-AC811</f>
        <v/>
      </c>
    </row>
    <row r="812">
      <c r="A812" s="2" t="n"/>
      <c r="B812" s="3" t="n"/>
      <c r="C812" s="4" t="n"/>
      <c r="D812" s="5" t="n"/>
      <c r="E812" s="3" t="n"/>
      <c r="F812" s="4" t="n"/>
      <c r="G812" s="5" t="n"/>
      <c r="H812" s="3" t="n"/>
      <c r="I812" s="4" t="n"/>
      <c r="J812" s="5" t="n"/>
      <c r="K812" s="3" t="n"/>
      <c r="L812" s="4" t="n"/>
      <c r="M812" s="5" t="n"/>
      <c r="N812" s="3" t="n"/>
      <c r="O812" s="4" t="n"/>
      <c r="P812" s="5" t="n"/>
      <c r="Q812" s="3" t="n"/>
      <c r="R812" s="4" t="n"/>
      <c r="S812" s="5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6">
        <f>IF(C812=0,0,IF(E812="",B812*D812/100,E812))</f>
        <v/>
      </c>
      <c r="AE812" s="6">
        <f>IF(F812=0,0,IF(H812="",B812*G812/100,H812))</f>
        <v/>
      </c>
      <c r="AF812" s="6">
        <f>IF(I812=0,0,IF(K812="",B812*J812/100,K812))</f>
        <v/>
      </c>
      <c r="AG812" s="6">
        <f>IF(L812=0,0,IF(N812="",B812*M812/100,N812))</f>
        <v/>
      </c>
      <c r="AH812" s="6">
        <f>IF(O812=0,0,IF(Q812="",B812*P812/100,Q812))</f>
        <v/>
      </c>
      <c r="AI812" s="6">
        <f>IF(R812=0,0,IF(T812="",B812*S812/100,T812))</f>
        <v/>
      </c>
      <c r="AJ812" s="6">
        <f>B812*0.035</f>
        <v/>
      </c>
      <c r="AK812" s="6">
        <f>B812*0.065</f>
        <v/>
      </c>
      <c r="AL812" s="6">
        <f>SUM(B812,AD812,AE812,AF812,AG812,AH812,AI812,U812,V812,AJ812,AK812)</f>
        <v/>
      </c>
      <c r="AM812" s="6">
        <f>B812*0.055</f>
        <v/>
      </c>
      <c r="AN812" s="6">
        <f>B812*0.035</f>
        <v/>
      </c>
      <c r="AO812" s="6">
        <f>B812*0.165</f>
        <v/>
      </c>
      <c r="AP812" s="6">
        <f>MAX(0,AL812-AM812-AO812)</f>
        <v/>
      </c>
      <c r="AQ812" s="6">
        <f>IF(AP812&lt;=490,0,IF(AP812&lt;=600,(AP812-490)*0.05,IF(AP812&lt;=730,5.5+(AP812-600)*0.10,IF(AP812&lt;=3896.67,18.5+(AP812-730)*0.175,IF(AP812&lt;=19896.67,572.67+(AP812-3896.67)*0.25,IF(AP812&lt;=50416.67,4572.67+(AP812-19896.67)*0.30,13728.67+(AP812-50416.67)*0.35))))))</f>
        <v/>
      </c>
      <c r="AR812" s="6">
        <f>SUM(AM812,AQ812,W812,X812,Y812,Z812,AA812,AN812,AO812)</f>
        <v/>
      </c>
      <c r="AS812" s="6">
        <f>AL812-AR812</f>
        <v/>
      </c>
      <c r="AT812" s="6">
        <f>AB812-AC812</f>
        <v/>
      </c>
    </row>
    <row r="813">
      <c r="A813" s="2" t="n"/>
      <c r="B813" s="3" t="n"/>
      <c r="C813" s="4" t="n"/>
      <c r="D813" s="5" t="n"/>
      <c r="E813" s="3" t="n"/>
      <c r="F813" s="4" t="n"/>
      <c r="G813" s="5" t="n"/>
      <c r="H813" s="3" t="n"/>
      <c r="I813" s="4" t="n"/>
      <c r="J813" s="5" t="n"/>
      <c r="K813" s="3" t="n"/>
      <c r="L813" s="4" t="n"/>
      <c r="M813" s="5" t="n"/>
      <c r="N813" s="3" t="n"/>
      <c r="O813" s="4" t="n"/>
      <c r="P813" s="5" t="n"/>
      <c r="Q813" s="3" t="n"/>
      <c r="R813" s="4" t="n"/>
      <c r="S813" s="5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6">
        <f>IF(C813=0,0,IF(E813="",B813*D813/100,E813))</f>
        <v/>
      </c>
      <c r="AE813" s="6">
        <f>IF(F813=0,0,IF(H813="",B813*G813/100,H813))</f>
        <v/>
      </c>
      <c r="AF813" s="6">
        <f>IF(I813=0,0,IF(K813="",B813*J813/100,K813))</f>
        <v/>
      </c>
      <c r="AG813" s="6">
        <f>IF(L813=0,0,IF(N813="",B813*M813/100,N813))</f>
        <v/>
      </c>
      <c r="AH813" s="6">
        <f>IF(O813=0,0,IF(Q813="",B813*P813/100,Q813))</f>
        <v/>
      </c>
      <c r="AI813" s="6">
        <f>IF(R813=0,0,IF(T813="",B813*S813/100,T813))</f>
        <v/>
      </c>
      <c r="AJ813" s="6">
        <f>B813*0.035</f>
        <v/>
      </c>
      <c r="AK813" s="6">
        <f>B813*0.065</f>
        <v/>
      </c>
      <c r="AL813" s="6">
        <f>SUM(B813,AD813,AE813,AF813,AG813,AH813,AI813,U813,V813,AJ813,AK813)</f>
        <v/>
      </c>
      <c r="AM813" s="6">
        <f>B813*0.055</f>
        <v/>
      </c>
      <c r="AN813" s="6">
        <f>B813*0.035</f>
        <v/>
      </c>
      <c r="AO813" s="6">
        <f>B813*0.165</f>
        <v/>
      </c>
      <c r="AP813" s="6">
        <f>MAX(0,AL813-AM813-AO813)</f>
        <v/>
      </c>
      <c r="AQ813" s="6">
        <f>IF(AP813&lt;=490,0,IF(AP813&lt;=600,(AP813-490)*0.05,IF(AP813&lt;=730,5.5+(AP813-600)*0.10,IF(AP813&lt;=3896.67,18.5+(AP813-730)*0.175,IF(AP813&lt;=19896.67,572.67+(AP813-3896.67)*0.25,IF(AP813&lt;=50416.67,4572.67+(AP813-19896.67)*0.30,13728.67+(AP813-50416.67)*0.35))))))</f>
        <v/>
      </c>
      <c r="AR813" s="6">
        <f>SUM(AM813,AQ813,W813,X813,Y813,Z813,AA813,AN813,AO813)</f>
        <v/>
      </c>
      <c r="AS813" s="6">
        <f>AL813-AR813</f>
        <v/>
      </c>
      <c r="AT813" s="6">
        <f>AB813-AC813</f>
        <v/>
      </c>
    </row>
    <row r="814">
      <c r="A814" s="2" t="n"/>
      <c r="B814" s="3" t="n"/>
      <c r="C814" s="4" t="n"/>
      <c r="D814" s="5" t="n"/>
      <c r="E814" s="3" t="n"/>
      <c r="F814" s="4" t="n"/>
      <c r="G814" s="5" t="n"/>
      <c r="H814" s="3" t="n"/>
      <c r="I814" s="4" t="n"/>
      <c r="J814" s="5" t="n"/>
      <c r="K814" s="3" t="n"/>
      <c r="L814" s="4" t="n"/>
      <c r="M814" s="5" t="n"/>
      <c r="N814" s="3" t="n"/>
      <c r="O814" s="4" t="n"/>
      <c r="P814" s="5" t="n"/>
      <c r="Q814" s="3" t="n"/>
      <c r="R814" s="4" t="n"/>
      <c r="S814" s="5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6">
        <f>IF(C814=0,0,IF(E814="",B814*D814/100,E814))</f>
        <v/>
      </c>
      <c r="AE814" s="6">
        <f>IF(F814=0,0,IF(H814="",B814*G814/100,H814))</f>
        <v/>
      </c>
      <c r="AF814" s="6">
        <f>IF(I814=0,0,IF(K814="",B814*J814/100,K814))</f>
        <v/>
      </c>
      <c r="AG814" s="6">
        <f>IF(L814=0,0,IF(N814="",B814*M814/100,N814))</f>
        <v/>
      </c>
      <c r="AH814" s="6">
        <f>IF(O814=0,0,IF(Q814="",B814*P814/100,Q814))</f>
        <v/>
      </c>
      <c r="AI814" s="6">
        <f>IF(R814=0,0,IF(T814="",B814*S814/100,T814))</f>
        <v/>
      </c>
      <c r="AJ814" s="6">
        <f>B814*0.035</f>
        <v/>
      </c>
      <c r="AK814" s="6">
        <f>B814*0.065</f>
        <v/>
      </c>
      <c r="AL814" s="6">
        <f>SUM(B814,AD814,AE814,AF814,AG814,AH814,AI814,U814,V814,AJ814,AK814)</f>
        <v/>
      </c>
      <c r="AM814" s="6">
        <f>B814*0.055</f>
        <v/>
      </c>
      <c r="AN814" s="6">
        <f>B814*0.035</f>
        <v/>
      </c>
      <c r="AO814" s="6">
        <f>B814*0.165</f>
        <v/>
      </c>
      <c r="AP814" s="6">
        <f>MAX(0,AL814-AM814-AO814)</f>
        <v/>
      </c>
      <c r="AQ814" s="6">
        <f>IF(AP814&lt;=490,0,IF(AP814&lt;=600,(AP814-490)*0.05,IF(AP814&lt;=730,5.5+(AP814-600)*0.10,IF(AP814&lt;=3896.67,18.5+(AP814-730)*0.175,IF(AP814&lt;=19896.67,572.67+(AP814-3896.67)*0.25,IF(AP814&lt;=50416.67,4572.67+(AP814-19896.67)*0.30,13728.67+(AP814-50416.67)*0.35))))))</f>
        <v/>
      </c>
      <c r="AR814" s="6">
        <f>SUM(AM814,AQ814,W814,X814,Y814,Z814,AA814,AN814,AO814)</f>
        <v/>
      </c>
      <c r="AS814" s="6">
        <f>AL814-AR814</f>
        <v/>
      </c>
      <c r="AT814" s="6">
        <f>AB814-AC814</f>
        <v/>
      </c>
    </row>
    <row r="815">
      <c r="A815" s="2" t="n"/>
      <c r="B815" s="3" t="n"/>
      <c r="C815" s="4" t="n"/>
      <c r="D815" s="5" t="n"/>
      <c r="E815" s="3" t="n"/>
      <c r="F815" s="4" t="n"/>
      <c r="G815" s="5" t="n"/>
      <c r="H815" s="3" t="n"/>
      <c r="I815" s="4" t="n"/>
      <c r="J815" s="5" t="n"/>
      <c r="K815" s="3" t="n"/>
      <c r="L815" s="4" t="n"/>
      <c r="M815" s="5" t="n"/>
      <c r="N815" s="3" t="n"/>
      <c r="O815" s="4" t="n"/>
      <c r="P815" s="5" t="n"/>
      <c r="Q815" s="3" t="n"/>
      <c r="R815" s="4" t="n"/>
      <c r="S815" s="5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6">
        <f>IF(C815=0,0,IF(E815="",B815*D815/100,E815))</f>
        <v/>
      </c>
      <c r="AE815" s="6">
        <f>IF(F815=0,0,IF(H815="",B815*G815/100,H815))</f>
        <v/>
      </c>
      <c r="AF815" s="6">
        <f>IF(I815=0,0,IF(K815="",B815*J815/100,K815))</f>
        <v/>
      </c>
      <c r="AG815" s="6">
        <f>IF(L815=0,0,IF(N815="",B815*M815/100,N815))</f>
        <v/>
      </c>
      <c r="AH815" s="6">
        <f>IF(O815=0,0,IF(Q815="",B815*P815/100,Q815))</f>
        <v/>
      </c>
      <c r="AI815" s="6">
        <f>IF(R815=0,0,IF(T815="",B815*S815/100,T815))</f>
        <v/>
      </c>
      <c r="AJ815" s="6">
        <f>B815*0.035</f>
        <v/>
      </c>
      <c r="AK815" s="6">
        <f>B815*0.065</f>
        <v/>
      </c>
      <c r="AL815" s="6">
        <f>SUM(B815,AD815,AE815,AF815,AG815,AH815,AI815,U815,V815,AJ815,AK815)</f>
        <v/>
      </c>
      <c r="AM815" s="6">
        <f>B815*0.055</f>
        <v/>
      </c>
      <c r="AN815" s="6">
        <f>B815*0.035</f>
        <v/>
      </c>
      <c r="AO815" s="6">
        <f>B815*0.165</f>
        <v/>
      </c>
      <c r="AP815" s="6">
        <f>MAX(0,AL815-AM815-AO815)</f>
        <v/>
      </c>
      <c r="AQ815" s="6">
        <f>IF(AP815&lt;=490,0,IF(AP815&lt;=600,(AP815-490)*0.05,IF(AP815&lt;=730,5.5+(AP815-600)*0.10,IF(AP815&lt;=3896.67,18.5+(AP815-730)*0.175,IF(AP815&lt;=19896.67,572.67+(AP815-3896.67)*0.25,IF(AP815&lt;=50416.67,4572.67+(AP815-19896.67)*0.30,13728.67+(AP815-50416.67)*0.35))))))</f>
        <v/>
      </c>
      <c r="AR815" s="6">
        <f>SUM(AM815,AQ815,W815,X815,Y815,Z815,AA815,AN815,AO815)</f>
        <v/>
      </c>
      <c r="AS815" s="6">
        <f>AL815-AR815</f>
        <v/>
      </c>
      <c r="AT815" s="6">
        <f>AB815-AC815</f>
        <v/>
      </c>
    </row>
    <row r="816">
      <c r="A816" s="2" t="n"/>
      <c r="B816" s="3" t="n"/>
      <c r="C816" s="4" t="n"/>
      <c r="D816" s="5" t="n"/>
      <c r="E816" s="3" t="n"/>
      <c r="F816" s="4" t="n"/>
      <c r="G816" s="5" t="n"/>
      <c r="H816" s="3" t="n"/>
      <c r="I816" s="4" t="n"/>
      <c r="J816" s="5" t="n"/>
      <c r="K816" s="3" t="n"/>
      <c r="L816" s="4" t="n"/>
      <c r="M816" s="5" t="n"/>
      <c r="N816" s="3" t="n"/>
      <c r="O816" s="4" t="n"/>
      <c r="P816" s="5" t="n"/>
      <c r="Q816" s="3" t="n"/>
      <c r="R816" s="4" t="n"/>
      <c r="S816" s="5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6">
        <f>IF(C816=0,0,IF(E816="",B816*D816/100,E816))</f>
        <v/>
      </c>
      <c r="AE816" s="6">
        <f>IF(F816=0,0,IF(H816="",B816*G816/100,H816))</f>
        <v/>
      </c>
      <c r="AF816" s="6">
        <f>IF(I816=0,0,IF(K816="",B816*J816/100,K816))</f>
        <v/>
      </c>
      <c r="AG816" s="6">
        <f>IF(L816=0,0,IF(N816="",B816*M816/100,N816))</f>
        <v/>
      </c>
      <c r="AH816" s="6">
        <f>IF(O816=0,0,IF(Q816="",B816*P816/100,Q816))</f>
        <v/>
      </c>
      <c r="AI816" s="6">
        <f>IF(R816=0,0,IF(T816="",B816*S816/100,T816))</f>
        <v/>
      </c>
      <c r="AJ816" s="6">
        <f>B816*0.035</f>
        <v/>
      </c>
      <c r="AK816" s="6">
        <f>B816*0.065</f>
        <v/>
      </c>
      <c r="AL816" s="6">
        <f>SUM(B816,AD816,AE816,AF816,AG816,AH816,AI816,U816,V816,AJ816,AK816)</f>
        <v/>
      </c>
      <c r="AM816" s="6">
        <f>B816*0.055</f>
        <v/>
      </c>
      <c r="AN816" s="6">
        <f>B816*0.035</f>
        <v/>
      </c>
      <c r="AO816" s="6">
        <f>B816*0.165</f>
        <v/>
      </c>
      <c r="AP816" s="6">
        <f>MAX(0,AL816-AM816-AO816)</f>
        <v/>
      </c>
      <c r="AQ816" s="6">
        <f>IF(AP816&lt;=490,0,IF(AP816&lt;=600,(AP816-490)*0.05,IF(AP816&lt;=730,5.5+(AP816-600)*0.10,IF(AP816&lt;=3896.67,18.5+(AP816-730)*0.175,IF(AP816&lt;=19896.67,572.67+(AP816-3896.67)*0.25,IF(AP816&lt;=50416.67,4572.67+(AP816-19896.67)*0.30,13728.67+(AP816-50416.67)*0.35))))))</f>
        <v/>
      </c>
      <c r="AR816" s="6">
        <f>SUM(AM816,AQ816,W816,X816,Y816,Z816,AA816,AN816,AO816)</f>
        <v/>
      </c>
      <c r="AS816" s="6">
        <f>AL816-AR816</f>
        <v/>
      </c>
      <c r="AT816" s="6">
        <f>AB816-AC816</f>
        <v/>
      </c>
    </row>
    <row r="817">
      <c r="A817" s="2" t="n"/>
      <c r="B817" s="3" t="n"/>
      <c r="C817" s="4" t="n"/>
      <c r="D817" s="5" t="n"/>
      <c r="E817" s="3" t="n"/>
      <c r="F817" s="4" t="n"/>
      <c r="G817" s="5" t="n"/>
      <c r="H817" s="3" t="n"/>
      <c r="I817" s="4" t="n"/>
      <c r="J817" s="5" t="n"/>
      <c r="K817" s="3" t="n"/>
      <c r="L817" s="4" t="n"/>
      <c r="M817" s="5" t="n"/>
      <c r="N817" s="3" t="n"/>
      <c r="O817" s="4" t="n"/>
      <c r="P817" s="5" t="n"/>
      <c r="Q817" s="3" t="n"/>
      <c r="R817" s="4" t="n"/>
      <c r="S817" s="5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6">
        <f>IF(C817=0,0,IF(E817="",B817*D817/100,E817))</f>
        <v/>
      </c>
      <c r="AE817" s="6">
        <f>IF(F817=0,0,IF(H817="",B817*G817/100,H817))</f>
        <v/>
      </c>
      <c r="AF817" s="6">
        <f>IF(I817=0,0,IF(K817="",B817*J817/100,K817))</f>
        <v/>
      </c>
      <c r="AG817" s="6">
        <f>IF(L817=0,0,IF(N817="",B817*M817/100,N817))</f>
        <v/>
      </c>
      <c r="AH817" s="6">
        <f>IF(O817=0,0,IF(Q817="",B817*P817/100,Q817))</f>
        <v/>
      </c>
      <c r="AI817" s="6">
        <f>IF(R817=0,0,IF(T817="",B817*S817/100,T817))</f>
        <v/>
      </c>
      <c r="AJ817" s="6">
        <f>B817*0.035</f>
        <v/>
      </c>
      <c r="AK817" s="6">
        <f>B817*0.065</f>
        <v/>
      </c>
      <c r="AL817" s="6">
        <f>SUM(B817,AD817,AE817,AF817,AG817,AH817,AI817,U817,V817,AJ817,AK817)</f>
        <v/>
      </c>
      <c r="AM817" s="6">
        <f>B817*0.055</f>
        <v/>
      </c>
      <c r="AN817" s="6">
        <f>B817*0.035</f>
        <v/>
      </c>
      <c r="AO817" s="6">
        <f>B817*0.165</f>
        <v/>
      </c>
      <c r="AP817" s="6">
        <f>MAX(0,AL817-AM817-AO817)</f>
        <v/>
      </c>
      <c r="AQ817" s="6">
        <f>IF(AP817&lt;=490,0,IF(AP817&lt;=600,(AP817-490)*0.05,IF(AP817&lt;=730,5.5+(AP817-600)*0.10,IF(AP817&lt;=3896.67,18.5+(AP817-730)*0.175,IF(AP817&lt;=19896.67,572.67+(AP817-3896.67)*0.25,IF(AP817&lt;=50416.67,4572.67+(AP817-19896.67)*0.30,13728.67+(AP817-50416.67)*0.35))))))</f>
        <v/>
      </c>
      <c r="AR817" s="6">
        <f>SUM(AM817,AQ817,W817,X817,Y817,Z817,AA817,AN817,AO817)</f>
        <v/>
      </c>
      <c r="AS817" s="6">
        <f>AL817-AR817</f>
        <v/>
      </c>
      <c r="AT817" s="6">
        <f>AB817-AC817</f>
        <v/>
      </c>
    </row>
    <row r="818">
      <c r="A818" s="2" t="n"/>
      <c r="B818" s="3" t="n"/>
      <c r="C818" s="4" t="n"/>
      <c r="D818" s="5" t="n"/>
      <c r="E818" s="3" t="n"/>
      <c r="F818" s="4" t="n"/>
      <c r="G818" s="5" t="n"/>
      <c r="H818" s="3" t="n"/>
      <c r="I818" s="4" t="n"/>
      <c r="J818" s="5" t="n"/>
      <c r="K818" s="3" t="n"/>
      <c r="L818" s="4" t="n"/>
      <c r="M818" s="5" t="n"/>
      <c r="N818" s="3" t="n"/>
      <c r="O818" s="4" t="n"/>
      <c r="P818" s="5" t="n"/>
      <c r="Q818" s="3" t="n"/>
      <c r="R818" s="4" t="n"/>
      <c r="S818" s="5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6">
        <f>IF(C818=0,0,IF(E818="",B818*D818/100,E818))</f>
        <v/>
      </c>
      <c r="AE818" s="6">
        <f>IF(F818=0,0,IF(H818="",B818*G818/100,H818))</f>
        <v/>
      </c>
      <c r="AF818" s="6">
        <f>IF(I818=0,0,IF(K818="",B818*J818/100,K818))</f>
        <v/>
      </c>
      <c r="AG818" s="6">
        <f>IF(L818=0,0,IF(N818="",B818*M818/100,N818))</f>
        <v/>
      </c>
      <c r="AH818" s="6">
        <f>IF(O818=0,0,IF(Q818="",B818*P818/100,Q818))</f>
        <v/>
      </c>
      <c r="AI818" s="6">
        <f>IF(R818=0,0,IF(T818="",B818*S818/100,T818))</f>
        <v/>
      </c>
      <c r="AJ818" s="6">
        <f>B818*0.035</f>
        <v/>
      </c>
      <c r="AK818" s="6">
        <f>B818*0.065</f>
        <v/>
      </c>
      <c r="AL818" s="6">
        <f>SUM(B818,AD818,AE818,AF818,AG818,AH818,AI818,U818,V818,AJ818,AK818)</f>
        <v/>
      </c>
      <c r="AM818" s="6">
        <f>B818*0.055</f>
        <v/>
      </c>
      <c r="AN818" s="6">
        <f>B818*0.035</f>
        <v/>
      </c>
      <c r="AO818" s="6">
        <f>B818*0.165</f>
        <v/>
      </c>
      <c r="AP818" s="6">
        <f>MAX(0,AL818-AM818-AO818)</f>
        <v/>
      </c>
      <c r="AQ818" s="6">
        <f>IF(AP818&lt;=490,0,IF(AP818&lt;=600,(AP818-490)*0.05,IF(AP818&lt;=730,5.5+(AP818-600)*0.10,IF(AP818&lt;=3896.67,18.5+(AP818-730)*0.175,IF(AP818&lt;=19896.67,572.67+(AP818-3896.67)*0.25,IF(AP818&lt;=50416.67,4572.67+(AP818-19896.67)*0.30,13728.67+(AP818-50416.67)*0.35))))))</f>
        <v/>
      </c>
      <c r="AR818" s="6">
        <f>SUM(AM818,AQ818,W818,X818,Y818,Z818,AA818,AN818,AO818)</f>
        <v/>
      </c>
      <c r="AS818" s="6">
        <f>AL818-AR818</f>
        <v/>
      </c>
      <c r="AT818" s="6">
        <f>AB818-AC818</f>
        <v/>
      </c>
    </row>
    <row r="819">
      <c r="A819" s="2" t="n"/>
      <c r="B819" s="3" t="n"/>
      <c r="C819" s="4" t="n"/>
      <c r="D819" s="5" t="n"/>
      <c r="E819" s="3" t="n"/>
      <c r="F819" s="4" t="n"/>
      <c r="G819" s="5" t="n"/>
      <c r="H819" s="3" t="n"/>
      <c r="I819" s="4" t="n"/>
      <c r="J819" s="5" t="n"/>
      <c r="K819" s="3" t="n"/>
      <c r="L819" s="4" t="n"/>
      <c r="M819" s="5" t="n"/>
      <c r="N819" s="3" t="n"/>
      <c r="O819" s="4" t="n"/>
      <c r="P819" s="5" t="n"/>
      <c r="Q819" s="3" t="n"/>
      <c r="R819" s="4" t="n"/>
      <c r="S819" s="5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6">
        <f>IF(C819=0,0,IF(E819="",B819*D819/100,E819))</f>
        <v/>
      </c>
      <c r="AE819" s="6">
        <f>IF(F819=0,0,IF(H819="",B819*G819/100,H819))</f>
        <v/>
      </c>
      <c r="AF819" s="6">
        <f>IF(I819=0,0,IF(K819="",B819*J819/100,K819))</f>
        <v/>
      </c>
      <c r="AG819" s="6">
        <f>IF(L819=0,0,IF(N819="",B819*M819/100,N819))</f>
        <v/>
      </c>
      <c r="AH819" s="6">
        <f>IF(O819=0,0,IF(Q819="",B819*P819/100,Q819))</f>
        <v/>
      </c>
      <c r="AI819" s="6">
        <f>IF(R819=0,0,IF(T819="",B819*S819/100,T819))</f>
        <v/>
      </c>
      <c r="AJ819" s="6">
        <f>B819*0.035</f>
        <v/>
      </c>
      <c r="AK819" s="6">
        <f>B819*0.065</f>
        <v/>
      </c>
      <c r="AL819" s="6">
        <f>SUM(B819,AD819,AE819,AF819,AG819,AH819,AI819,U819,V819,AJ819,AK819)</f>
        <v/>
      </c>
      <c r="AM819" s="6">
        <f>B819*0.055</f>
        <v/>
      </c>
      <c r="AN819" s="6">
        <f>B819*0.035</f>
        <v/>
      </c>
      <c r="AO819" s="6">
        <f>B819*0.165</f>
        <v/>
      </c>
      <c r="AP819" s="6">
        <f>MAX(0,AL819-AM819-AO819)</f>
        <v/>
      </c>
      <c r="AQ819" s="6">
        <f>IF(AP819&lt;=490,0,IF(AP819&lt;=600,(AP819-490)*0.05,IF(AP819&lt;=730,5.5+(AP819-600)*0.10,IF(AP819&lt;=3896.67,18.5+(AP819-730)*0.175,IF(AP819&lt;=19896.67,572.67+(AP819-3896.67)*0.25,IF(AP819&lt;=50416.67,4572.67+(AP819-19896.67)*0.30,13728.67+(AP819-50416.67)*0.35))))))</f>
        <v/>
      </c>
      <c r="AR819" s="6">
        <f>SUM(AM819,AQ819,W819,X819,Y819,Z819,AA819,AN819,AO819)</f>
        <v/>
      </c>
      <c r="AS819" s="6">
        <f>AL819-AR819</f>
        <v/>
      </c>
      <c r="AT819" s="6">
        <f>AB819-AC819</f>
        <v/>
      </c>
    </row>
    <row r="820">
      <c r="A820" s="2" t="n"/>
      <c r="B820" s="3" t="n"/>
      <c r="C820" s="4" t="n"/>
      <c r="D820" s="5" t="n"/>
      <c r="E820" s="3" t="n"/>
      <c r="F820" s="4" t="n"/>
      <c r="G820" s="5" t="n"/>
      <c r="H820" s="3" t="n"/>
      <c r="I820" s="4" t="n"/>
      <c r="J820" s="5" t="n"/>
      <c r="K820" s="3" t="n"/>
      <c r="L820" s="4" t="n"/>
      <c r="M820" s="5" t="n"/>
      <c r="N820" s="3" t="n"/>
      <c r="O820" s="4" t="n"/>
      <c r="P820" s="5" t="n"/>
      <c r="Q820" s="3" t="n"/>
      <c r="R820" s="4" t="n"/>
      <c r="S820" s="5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6">
        <f>IF(C820=0,0,IF(E820="",B820*D820/100,E820))</f>
        <v/>
      </c>
      <c r="AE820" s="6">
        <f>IF(F820=0,0,IF(H820="",B820*G820/100,H820))</f>
        <v/>
      </c>
      <c r="AF820" s="6">
        <f>IF(I820=0,0,IF(K820="",B820*J820/100,K820))</f>
        <v/>
      </c>
      <c r="AG820" s="6">
        <f>IF(L820=0,0,IF(N820="",B820*M820/100,N820))</f>
        <v/>
      </c>
      <c r="AH820" s="6">
        <f>IF(O820=0,0,IF(Q820="",B820*P820/100,Q820))</f>
        <v/>
      </c>
      <c r="AI820" s="6">
        <f>IF(R820=0,0,IF(T820="",B820*S820/100,T820))</f>
        <v/>
      </c>
      <c r="AJ820" s="6">
        <f>B820*0.035</f>
        <v/>
      </c>
      <c r="AK820" s="6">
        <f>B820*0.065</f>
        <v/>
      </c>
      <c r="AL820" s="6">
        <f>SUM(B820,AD820,AE820,AF820,AG820,AH820,AI820,U820,V820,AJ820,AK820)</f>
        <v/>
      </c>
      <c r="AM820" s="6">
        <f>B820*0.055</f>
        <v/>
      </c>
      <c r="AN820" s="6">
        <f>B820*0.035</f>
        <v/>
      </c>
      <c r="AO820" s="6">
        <f>B820*0.165</f>
        <v/>
      </c>
      <c r="AP820" s="6">
        <f>MAX(0,AL820-AM820-AO820)</f>
        <v/>
      </c>
      <c r="AQ820" s="6">
        <f>IF(AP820&lt;=490,0,IF(AP820&lt;=600,(AP820-490)*0.05,IF(AP820&lt;=730,5.5+(AP820-600)*0.10,IF(AP820&lt;=3896.67,18.5+(AP820-730)*0.175,IF(AP820&lt;=19896.67,572.67+(AP820-3896.67)*0.25,IF(AP820&lt;=50416.67,4572.67+(AP820-19896.67)*0.30,13728.67+(AP820-50416.67)*0.35))))))</f>
        <v/>
      </c>
      <c r="AR820" s="6">
        <f>SUM(AM820,AQ820,W820,X820,Y820,Z820,AA820,AN820,AO820)</f>
        <v/>
      </c>
      <c r="AS820" s="6">
        <f>AL820-AR820</f>
        <v/>
      </c>
      <c r="AT820" s="6">
        <f>AB820-AC820</f>
        <v/>
      </c>
    </row>
    <row r="821">
      <c r="A821" s="2" t="n"/>
      <c r="B821" s="3" t="n"/>
      <c r="C821" s="4" t="n"/>
      <c r="D821" s="5" t="n"/>
      <c r="E821" s="3" t="n"/>
      <c r="F821" s="4" t="n"/>
      <c r="G821" s="5" t="n"/>
      <c r="H821" s="3" t="n"/>
      <c r="I821" s="4" t="n"/>
      <c r="J821" s="5" t="n"/>
      <c r="K821" s="3" t="n"/>
      <c r="L821" s="4" t="n"/>
      <c r="M821" s="5" t="n"/>
      <c r="N821" s="3" t="n"/>
      <c r="O821" s="4" t="n"/>
      <c r="P821" s="5" t="n"/>
      <c r="Q821" s="3" t="n"/>
      <c r="R821" s="4" t="n"/>
      <c r="S821" s="5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6">
        <f>IF(C821=0,0,IF(E821="",B821*D821/100,E821))</f>
        <v/>
      </c>
      <c r="AE821" s="6">
        <f>IF(F821=0,0,IF(H821="",B821*G821/100,H821))</f>
        <v/>
      </c>
      <c r="AF821" s="6">
        <f>IF(I821=0,0,IF(K821="",B821*J821/100,K821))</f>
        <v/>
      </c>
      <c r="AG821" s="6">
        <f>IF(L821=0,0,IF(N821="",B821*M821/100,N821))</f>
        <v/>
      </c>
      <c r="AH821" s="6">
        <f>IF(O821=0,0,IF(Q821="",B821*P821/100,Q821))</f>
        <v/>
      </c>
      <c r="AI821" s="6">
        <f>IF(R821=0,0,IF(T821="",B821*S821/100,T821))</f>
        <v/>
      </c>
      <c r="AJ821" s="6">
        <f>B821*0.035</f>
        <v/>
      </c>
      <c r="AK821" s="6">
        <f>B821*0.065</f>
        <v/>
      </c>
      <c r="AL821" s="6">
        <f>SUM(B821,AD821,AE821,AF821,AG821,AH821,AI821,U821,V821,AJ821,AK821)</f>
        <v/>
      </c>
      <c r="AM821" s="6">
        <f>B821*0.055</f>
        <v/>
      </c>
      <c r="AN821" s="6">
        <f>B821*0.035</f>
        <v/>
      </c>
      <c r="AO821" s="6">
        <f>B821*0.165</f>
        <v/>
      </c>
      <c r="AP821" s="6">
        <f>MAX(0,AL821-AM821-AO821)</f>
        <v/>
      </c>
      <c r="AQ821" s="6">
        <f>IF(AP821&lt;=490,0,IF(AP821&lt;=600,(AP821-490)*0.05,IF(AP821&lt;=730,5.5+(AP821-600)*0.10,IF(AP821&lt;=3896.67,18.5+(AP821-730)*0.175,IF(AP821&lt;=19896.67,572.67+(AP821-3896.67)*0.25,IF(AP821&lt;=50416.67,4572.67+(AP821-19896.67)*0.30,13728.67+(AP821-50416.67)*0.35))))))</f>
        <v/>
      </c>
      <c r="AR821" s="6">
        <f>SUM(AM821,AQ821,W821,X821,Y821,Z821,AA821,AN821,AO821)</f>
        <v/>
      </c>
      <c r="AS821" s="6">
        <f>AL821-AR821</f>
        <v/>
      </c>
      <c r="AT821" s="6">
        <f>AB821-AC821</f>
        <v/>
      </c>
    </row>
    <row r="822">
      <c r="A822" s="2" t="n"/>
      <c r="B822" s="3" t="n"/>
      <c r="C822" s="4" t="n"/>
      <c r="D822" s="5" t="n"/>
      <c r="E822" s="3" t="n"/>
      <c r="F822" s="4" t="n"/>
      <c r="G822" s="5" t="n"/>
      <c r="H822" s="3" t="n"/>
      <c r="I822" s="4" t="n"/>
      <c r="J822" s="5" t="n"/>
      <c r="K822" s="3" t="n"/>
      <c r="L822" s="4" t="n"/>
      <c r="M822" s="5" t="n"/>
      <c r="N822" s="3" t="n"/>
      <c r="O822" s="4" t="n"/>
      <c r="P822" s="5" t="n"/>
      <c r="Q822" s="3" t="n"/>
      <c r="R822" s="4" t="n"/>
      <c r="S822" s="5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6">
        <f>IF(C822=0,0,IF(E822="",B822*D822/100,E822))</f>
        <v/>
      </c>
      <c r="AE822" s="6">
        <f>IF(F822=0,0,IF(H822="",B822*G822/100,H822))</f>
        <v/>
      </c>
      <c r="AF822" s="6">
        <f>IF(I822=0,0,IF(K822="",B822*J822/100,K822))</f>
        <v/>
      </c>
      <c r="AG822" s="6">
        <f>IF(L822=0,0,IF(N822="",B822*M822/100,N822))</f>
        <v/>
      </c>
      <c r="AH822" s="6">
        <f>IF(O822=0,0,IF(Q822="",B822*P822/100,Q822))</f>
        <v/>
      </c>
      <c r="AI822" s="6">
        <f>IF(R822=0,0,IF(T822="",B822*S822/100,T822))</f>
        <v/>
      </c>
      <c r="AJ822" s="6">
        <f>B822*0.035</f>
        <v/>
      </c>
      <c r="AK822" s="6">
        <f>B822*0.065</f>
        <v/>
      </c>
      <c r="AL822" s="6">
        <f>SUM(B822,AD822,AE822,AF822,AG822,AH822,AI822,U822,V822,AJ822,AK822)</f>
        <v/>
      </c>
      <c r="AM822" s="6">
        <f>B822*0.055</f>
        <v/>
      </c>
      <c r="AN822" s="6">
        <f>B822*0.035</f>
        <v/>
      </c>
      <c r="AO822" s="6">
        <f>B822*0.165</f>
        <v/>
      </c>
      <c r="AP822" s="6">
        <f>MAX(0,AL822-AM822-AO822)</f>
        <v/>
      </c>
      <c r="AQ822" s="6">
        <f>IF(AP822&lt;=490,0,IF(AP822&lt;=600,(AP822-490)*0.05,IF(AP822&lt;=730,5.5+(AP822-600)*0.10,IF(AP822&lt;=3896.67,18.5+(AP822-730)*0.175,IF(AP822&lt;=19896.67,572.67+(AP822-3896.67)*0.25,IF(AP822&lt;=50416.67,4572.67+(AP822-19896.67)*0.30,13728.67+(AP822-50416.67)*0.35))))))</f>
        <v/>
      </c>
      <c r="AR822" s="6">
        <f>SUM(AM822,AQ822,W822,X822,Y822,Z822,AA822,AN822,AO822)</f>
        <v/>
      </c>
      <c r="AS822" s="6">
        <f>AL822-AR822</f>
        <v/>
      </c>
      <c r="AT822" s="6">
        <f>AB822-AC822</f>
        <v/>
      </c>
    </row>
    <row r="823">
      <c r="A823" s="2" t="n"/>
      <c r="B823" s="3" t="n"/>
      <c r="C823" s="4" t="n"/>
      <c r="D823" s="5" t="n"/>
      <c r="E823" s="3" t="n"/>
      <c r="F823" s="4" t="n"/>
      <c r="G823" s="5" t="n"/>
      <c r="H823" s="3" t="n"/>
      <c r="I823" s="4" t="n"/>
      <c r="J823" s="5" t="n"/>
      <c r="K823" s="3" t="n"/>
      <c r="L823" s="4" t="n"/>
      <c r="M823" s="5" t="n"/>
      <c r="N823" s="3" t="n"/>
      <c r="O823" s="4" t="n"/>
      <c r="P823" s="5" t="n"/>
      <c r="Q823" s="3" t="n"/>
      <c r="R823" s="4" t="n"/>
      <c r="S823" s="5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6">
        <f>IF(C823=0,0,IF(E823="",B823*D823/100,E823))</f>
        <v/>
      </c>
      <c r="AE823" s="6">
        <f>IF(F823=0,0,IF(H823="",B823*G823/100,H823))</f>
        <v/>
      </c>
      <c r="AF823" s="6">
        <f>IF(I823=0,0,IF(K823="",B823*J823/100,K823))</f>
        <v/>
      </c>
      <c r="AG823" s="6">
        <f>IF(L823=0,0,IF(N823="",B823*M823/100,N823))</f>
        <v/>
      </c>
      <c r="AH823" s="6">
        <f>IF(O823=0,0,IF(Q823="",B823*P823/100,Q823))</f>
        <v/>
      </c>
      <c r="AI823" s="6">
        <f>IF(R823=0,0,IF(T823="",B823*S823/100,T823))</f>
        <v/>
      </c>
      <c r="AJ823" s="6">
        <f>B823*0.035</f>
        <v/>
      </c>
      <c r="AK823" s="6">
        <f>B823*0.065</f>
        <v/>
      </c>
      <c r="AL823" s="6">
        <f>SUM(B823,AD823,AE823,AF823,AG823,AH823,AI823,U823,V823,AJ823,AK823)</f>
        <v/>
      </c>
      <c r="AM823" s="6">
        <f>B823*0.055</f>
        <v/>
      </c>
      <c r="AN823" s="6">
        <f>B823*0.035</f>
        <v/>
      </c>
      <c r="AO823" s="6">
        <f>B823*0.165</f>
        <v/>
      </c>
      <c r="AP823" s="6">
        <f>MAX(0,AL823-AM823-AO823)</f>
        <v/>
      </c>
      <c r="AQ823" s="6">
        <f>IF(AP823&lt;=490,0,IF(AP823&lt;=600,(AP823-490)*0.05,IF(AP823&lt;=730,5.5+(AP823-600)*0.10,IF(AP823&lt;=3896.67,18.5+(AP823-730)*0.175,IF(AP823&lt;=19896.67,572.67+(AP823-3896.67)*0.25,IF(AP823&lt;=50416.67,4572.67+(AP823-19896.67)*0.30,13728.67+(AP823-50416.67)*0.35))))))</f>
        <v/>
      </c>
      <c r="AR823" s="6">
        <f>SUM(AM823,AQ823,W823,X823,Y823,Z823,AA823,AN823,AO823)</f>
        <v/>
      </c>
      <c r="AS823" s="6">
        <f>AL823-AR823</f>
        <v/>
      </c>
      <c r="AT823" s="6">
        <f>AB823-AC823</f>
        <v/>
      </c>
    </row>
    <row r="824">
      <c r="A824" s="2" t="n"/>
      <c r="B824" s="3" t="n"/>
      <c r="C824" s="4" t="n"/>
      <c r="D824" s="5" t="n"/>
      <c r="E824" s="3" t="n"/>
      <c r="F824" s="4" t="n"/>
      <c r="G824" s="5" t="n"/>
      <c r="H824" s="3" t="n"/>
      <c r="I824" s="4" t="n"/>
      <c r="J824" s="5" t="n"/>
      <c r="K824" s="3" t="n"/>
      <c r="L824" s="4" t="n"/>
      <c r="M824" s="5" t="n"/>
      <c r="N824" s="3" t="n"/>
      <c r="O824" s="4" t="n"/>
      <c r="P824" s="5" t="n"/>
      <c r="Q824" s="3" t="n"/>
      <c r="R824" s="4" t="n"/>
      <c r="S824" s="5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6">
        <f>IF(C824=0,0,IF(E824="",B824*D824/100,E824))</f>
        <v/>
      </c>
      <c r="AE824" s="6">
        <f>IF(F824=0,0,IF(H824="",B824*G824/100,H824))</f>
        <v/>
      </c>
      <c r="AF824" s="6">
        <f>IF(I824=0,0,IF(K824="",B824*J824/100,K824))</f>
        <v/>
      </c>
      <c r="AG824" s="6">
        <f>IF(L824=0,0,IF(N824="",B824*M824/100,N824))</f>
        <v/>
      </c>
      <c r="AH824" s="6">
        <f>IF(O824=0,0,IF(Q824="",B824*P824/100,Q824))</f>
        <v/>
      </c>
      <c r="AI824" s="6">
        <f>IF(R824=0,0,IF(T824="",B824*S824/100,T824))</f>
        <v/>
      </c>
      <c r="AJ824" s="6">
        <f>B824*0.035</f>
        <v/>
      </c>
      <c r="AK824" s="6">
        <f>B824*0.065</f>
        <v/>
      </c>
      <c r="AL824" s="6">
        <f>SUM(B824,AD824,AE824,AF824,AG824,AH824,AI824,U824,V824,AJ824,AK824)</f>
        <v/>
      </c>
      <c r="AM824" s="6">
        <f>B824*0.055</f>
        <v/>
      </c>
      <c r="AN824" s="6">
        <f>B824*0.035</f>
        <v/>
      </c>
      <c r="AO824" s="6">
        <f>B824*0.165</f>
        <v/>
      </c>
      <c r="AP824" s="6">
        <f>MAX(0,AL824-AM824-AO824)</f>
        <v/>
      </c>
      <c r="AQ824" s="6">
        <f>IF(AP824&lt;=490,0,IF(AP824&lt;=600,(AP824-490)*0.05,IF(AP824&lt;=730,5.5+(AP824-600)*0.10,IF(AP824&lt;=3896.67,18.5+(AP824-730)*0.175,IF(AP824&lt;=19896.67,572.67+(AP824-3896.67)*0.25,IF(AP824&lt;=50416.67,4572.67+(AP824-19896.67)*0.30,13728.67+(AP824-50416.67)*0.35))))))</f>
        <v/>
      </c>
      <c r="AR824" s="6">
        <f>SUM(AM824,AQ824,W824,X824,Y824,Z824,AA824,AN824,AO824)</f>
        <v/>
      </c>
      <c r="AS824" s="6">
        <f>AL824-AR824</f>
        <v/>
      </c>
      <c r="AT824" s="6">
        <f>AB824-AC824</f>
        <v/>
      </c>
    </row>
    <row r="825">
      <c r="A825" s="2" t="n"/>
      <c r="B825" s="3" t="n"/>
      <c r="C825" s="4" t="n"/>
      <c r="D825" s="5" t="n"/>
      <c r="E825" s="3" t="n"/>
      <c r="F825" s="4" t="n"/>
      <c r="G825" s="5" t="n"/>
      <c r="H825" s="3" t="n"/>
      <c r="I825" s="4" t="n"/>
      <c r="J825" s="5" t="n"/>
      <c r="K825" s="3" t="n"/>
      <c r="L825" s="4" t="n"/>
      <c r="M825" s="5" t="n"/>
      <c r="N825" s="3" t="n"/>
      <c r="O825" s="4" t="n"/>
      <c r="P825" s="5" t="n"/>
      <c r="Q825" s="3" t="n"/>
      <c r="R825" s="4" t="n"/>
      <c r="S825" s="5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6">
        <f>IF(C825=0,0,IF(E825="",B825*D825/100,E825))</f>
        <v/>
      </c>
      <c r="AE825" s="6">
        <f>IF(F825=0,0,IF(H825="",B825*G825/100,H825))</f>
        <v/>
      </c>
      <c r="AF825" s="6">
        <f>IF(I825=0,0,IF(K825="",B825*J825/100,K825))</f>
        <v/>
      </c>
      <c r="AG825" s="6">
        <f>IF(L825=0,0,IF(N825="",B825*M825/100,N825))</f>
        <v/>
      </c>
      <c r="AH825" s="6">
        <f>IF(O825=0,0,IF(Q825="",B825*P825/100,Q825))</f>
        <v/>
      </c>
      <c r="AI825" s="6">
        <f>IF(R825=0,0,IF(T825="",B825*S825/100,T825))</f>
        <v/>
      </c>
      <c r="AJ825" s="6">
        <f>B825*0.035</f>
        <v/>
      </c>
      <c r="AK825" s="6">
        <f>B825*0.065</f>
        <v/>
      </c>
      <c r="AL825" s="6">
        <f>SUM(B825,AD825,AE825,AF825,AG825,AH825,AI825,U825,V825,AJ825,AK825)</f>
        <v/>
      </c>
      <c r="AM825" s="6">
        <f>B825*0.055</f>
        <v/>
      </c>
      <c r="AN825" s="6">
        <f>B825*0.035</f>
        <v/>
      </c>
      <c r="AO825" s="6">
        <f>B825*0.165</f>
        <v/>
      </c>
      <c r="AP825" s="6">
        <f>MAX(0,AL825-AM825-AO825)</f>
        <v/>
      </c>
      <c r="AQ825" s="6">
        <f>IF(AP825&lt;=490,0,IF(AP825&lt;=600,(AP825-490)*0.05,IF(AP825&lt;=730,5.5+(AP825-600)*0.10,IF(AP825&lt;=3896.67,18.5+(AP825-730)*0.175,IF(AP825&lt;=19896.67,572.67+(AP825-3896.67)*0.25,IF(AP825&lt;=50416.67,4572.67+(AP825-19896.67)*0.30,13728.67+(AP825-50416.67)*0.35))))))</f>
        <v/>
      </c>
      <c r="AR825" s="6">
        <f>SUM(AM825,AQ825,W825,X825,Y825,Z825,AA825,AN825,AO825)</f>
        <v/>
      </c>
      <c r="AS825" s="6">
        <f>AL825-AR825</f>
        <v/>
      </c>
      <c r="AT825" s="6">
        <f>AB825-AC825</f>
        <v/>
      </c>
    </row>
    <row r="826">
      <c r="A826" s="2" t="n"/>
      <c r="B826" s="3" t="n"/>
      <c r="C826" s="4" t="n"/>
      <c r="D826" s="5" t="n"/>
      <c r="E826" s="3" t="n"/>
      <c r="F826" s="4" t="n"/>
      <c r="G826" s="5" t="n"/>
      <c r="H826" s="3" t="n"/>
      <c r="I826" s="4" t="n"/>
      <c r="J826" s="5" t="n"/>
      <c r="K826" s="3" t="n"/>
      <c r="L826" s="4" t="n"/>
      <c r="M826" s="5" t="n"/>
      <c r="N826" s="3" t="n"/>
      <c r="O826" s="4" t="n"/>
      <c r="P826" s="5" t="n"/>
      <c r="Q826" s="3" t="n"/>
      <c r="R826" s="4" t="n"/>
      <c r="S826" s="5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6">
        <f>IF(C826=0,0,IF(E826="",B826*D826/100,E826))</f>
        <v/>
      </c>
      <c r="AE826" s="6">
        <f>IF(F826=0,0,IF(H826="",B826*G826/100,H826))</f>
        <v/>
      </c>
      <c r="AF826" s="6">
        <f>IF(I826=0,0,IF(K826="",B826*J826/100,K826))</f>
        <v/>
      </c>
      <c r="AG826" s="6">
        <f>IF(L826=0,0,IF(N826="",B826*M826/100,N826))</f>
        <v/>
      </c>
      <c r="AH826" s="6">
        <f>IF(O826=0,0,IF(Q826="",B826*P826/100,Q826))</f>
        <v/>
      </c>
      <c r="AI826" s="6">
        <f>IF(R826=0,0,IF(T826="",B826*S826/100,T826))</f>
        <v/>
      </c>
      <c r="AJ826" s="6">
        <f>B826*0.035</f>
        <v/>
      </c>
      <c r="AK826" s="6">
        <f>B826*0.065</f>
        <v/>
      </c>
      <c r="AL826" s="6">
        <f>SUM(B826,AD826,AE826,AF826,AG826,AH826,AI826,U826,V826,AJ826,AK826)</f>
        <v/>
      </c>
      <c r="AM826" s="6">
        <f>B826*0.055</f>
        <v/>
      </c>
      <c r="AN826" s="6">
        <f>B826*0.035</f>
        <v/>
      </c>
      <c r="AO826" s="6">
        <f>B826*0.165</f>
        <v/>
      </c>
      <c r="AP826" s="6">
        <f>MAX(0,AL826-AM826-AO826)</f>
        <v/>
      </c>
      <c r="AQ826" s="6">
        <f>IF(AP826&lt;=490,0,IF(AP826&lt;=600,(AP826-490)*0.05,IF(AP826&lt;=730,5.5+(AP826-600)*0.10,IF(AP826&lt;=3896.67,18.5+(AP826-730)*0.175,IF(AP826&lt;=19896.67,572.67+(AP826-3896.67)*0.25,IF(AP826&lt;=50416.67,4572.67+(AP826-19896.67)*0.30,13728.67+(AP826-50416.67)*0.35))))))</f>
        <v/>
      </c>
      <c r="AR826" s="6">
        <f>SUM(AM826,AQ826,W826,X826,Y826,Z826,AA826,AN826,AO826)</f>
        <v/>
      </c>
      <c r="AS826" s="6">
        <f>AL826-AR826</f>
        <v/>
      </c>
      <c r="AT826" s="6">
        <f>AB826-AC826</f>
        <v/>
      </c>
    </row>
    <row r="827">
      <c r="A827" s="2" t="n"/>
      <c r="B827" s="3" t="n"/>
      <c r="C827" s="4" t="n"/>
      <c r="D827" s="5" t="n"/>
      <c r="E827" s="3" t="n"/>
      <c r="F827" s="4" t="n"/>
      <c r="G827" s="5" t="n"/>
      <c r="H827" s="3" t="n"/>
      <c r="I827" s="4" t="n"/>
      <c r="J827" s="5" t="n"/>
      <c r="K827" s="3" t="n"/>
      <c r="L827" s="4" t="n"/>
      <c r="M827" s="5" t="n"/>
      <c r="N827" s="3" t="n"/>
      <c r="O827" s="4" t="n"/>
      <c r="P827" s="5" t="n"/>
      <c r="Q827" s="3" t="n"/>
      <c r="R827" s="4" t="n"/>
      <c r="S827" s="5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6">
        <f>IF(C827=0,0,IF(E827="",B827*D827/100,E827))</f>
        <v/>
      </c>
      <c r="AE827" s="6">
        <f>IF(F827=0,0,IF(H827="",B827*G827/100,H827))</f>
        <v/>
      </c>
      <c r="AF827" s="6">
        <f>IF(I827=0,0,IF(K827="",B827*J827/100,K827))</f>
        <v/>
      </c>
      <c r="AG827" s="6">
        <f>IF(L827=0,0,IF(N827="",B827*M827/100,N827))</f>
        <v/>
      </c>
      <c r="AH827" s="6">
        <f>IF(O827=0,0,IF(Q827="",B827*P827/100,Q827))</f>
        <v/>
      </c>
      <c r="AI827" s="6">
        <f>IF(R827=0,0,IF(T827="",B827*S827/100,T827))</f>
        <v/>
      </c>
      <c r="AJ827" s="6">
        <f>B827*0.035</f>
        <v/>
      </c>
      <c r="AK827" s="6">
        <f>B827*0.065</f>
        <v/>
      </c>
      <c r="AL827" s="6">
        <f>SUM(B827,AD827,AE827,AF827,AG827,AH827,AI827,U827,V827,AJ827,AK827)</f>
        <v/>
      </c>
      <c r="AM827" s="6">
        <f>B827*0.055</f>
        <v/>
      </c>
      <c r="AN827" s="6">
        <f>B827*0.035</f>
        <v/>
      </c>
      <c r="AO827" s="6">
        <f>B827*0.165</f>
        <v/>
      </c>
      <c r="AP827" s="6">
        <f>MAX(0,AL827-AM827-AO827)</f>
        <v/>
      </c>
      <c r="AQ827" s="6">
        <f>IF(AP827&lt;=490,0,IF(AP827&lt;=600,(AP827-490)*0.05,IF(AP827&lt;=730,5.5+(AP827-600)*0.10,IF(AP827&lt;=3896.67,18.5+(AP827-730)*0.175,IF(AP827&lt;=19896.67,572.67+(AP827-3896.67)*0.25,IF(AP827&lt;=50416.67,4572.67+(AP827-19896.67)*0.30,13728.67+(AP827-50416.67)*0.35))))))</f>
        <v/>
      </c>
      <c r="AR827" s="6">
        <f>SUM(AM827,AQ827,W827,X827,Y827,Z827,AA827,AN827,AO827)</f>
        <v/>
      </c>
      <c r="AS827" s="6">
        <f>AL827-AR827</f>
        <v/>
      </c>
      <c r="AT827" s="6">
        <f>AB827-AC827</f>
        <v/>
      </c>
    </row>
    <row r="828">
      <c r="A828" s="2" t="n"/>
      <c r="B828" s="3" t="n"/>
      <c r="C828" s="4" t="n"/>
      <c r="D828" s="5" t="n"/>
      <c r="E828" s="3" t="n"/>
      <c r="F828" s="4" t="n"/>
      <c r="G828" s="5" t="n"/>
      <c r="H828" s="3" t="n"/>
      <c r="I828" s="4" t="n"/>
      <c r="J828" s="5" t="n"/>
      <c r="K828" s="3" t="n"/>
      <c r="L828" s="4" t="n"/>
      <c r="M828" s="5" t="n"/>
      <c r="N828" s="3" t="n"/>
      <c r="O828" s="4" t="n"/>
      <c r="P828" s="5" t="n"/>
      <c r="Q828" s="3" t="n"/>
      <c r="R828" s="4" t="n"/>
      <c r="S828" s="5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6">
        <f>IF(C828=0,0,IF(E828="",B828*D828/100,E828))</f>
        <v/>
      </c>
      <c r="AE828" s="6">
        <f>IF(F828=0,0,IF(H828="",B828*G828/100,H828))</f>
        <v/>
      </c>
      <c r="AF828" s="6">
        <f>IF(I828=0,0,IF(K828="",B828*J828/100,K828))</f>
        <v/>
      </c>
      <c r="AG828" s="6">
        <f>IF(L828=0,0,IF(N828="",B828*M828/100,N828))</f>
        <v/>
      </c>
      <c r="AH828" s="6">
        <f>IF(O828=0,0,IF(Q828="",B828*P828/100,Q828))</f>
        <v/>
      </c>
      <c r="AI828" s="6">
        <f>IF(R828=0,0,IF(T828="",B828*S828/100,T828))</f>
        <v/>
      </c>
      <c r="AJ828" s="6">
        <f>B828*0.035</f>
        <v/>
      </c>
      <c r="AK828" s="6">
        <f>B828*0.065</f>
        <v/>
      </c>
      <c r="AL828" s="6">
        <f>SUM(B828,AD828,AE828,AF828,AG828,AH828,AI828,U828,V828,AJ828,AK828)</f>
        <v/>
      </c>
      <c r="AM828" s="6">
        <f>B828*0.055</f>
        <v/>
      </c>
      <c r="AN828" s="6">
        <f>B828*0.035</f>
        <v/>
      </c>
      <c r="AO828" s="6">
        <f>B828*0.165</f>
        <v/>
      </c>
      <c r="AP828" s="6">
        <f>MAX(0,AL828-AM828-AO828)</f>
        <v/>
      </c>
      <c r="AQ828" s="6">
        <f>IF(AP828&lt;=490,0,IF(AP828&lt;=600,(AP828-490)*0.05,IF(AP828&lt;=730,5.5+(AP828-600)*0.10,IF(AP828&lt;=3896.67,18.5+(AP828-730)*0.175,IF(AP828&lt;=19896.67,572.67+(AP828-3896.67)*0.25,IF(AP828&lt;=50416.67,4572.67+(AP828-19896.67)*0.30,13728.67+(AP828-50416.67)*0.35))))))</f>
        <v/>
      </c>
      <c r="AR828" s="6">
        <f>SUM(AM828,AQ828,W828,X828,Y828,Z828,AA828,AN828,AO828)</f>
        <v/>
      </c>
      <c r="AS828" s="6">
        <f>AL828-AR828</f>
        <v/>
      </c>
      <c r="AT828" s="6">
        <f>AB828-AC828</f>
        <v/>
      </c>
    </row>
    <row r="829">
      <c r="A829" s="2" t="n"/>
      <c r="B829" s="3" t="n"/>
      <c r="C829" s="4" t="n"/>
      <c r="D829" s="5" t="n"/>
      <c r="E829" s="3" t="n"/>
      <c r="F829" s="4" t="n"/>
      <c r="G829" s="5" t="n"/>
      <c r="H829" s="3" t="n"/>
      <c r="I829" s="4" t="n"/>
      <c r="J829" s="5" t="n"/>
      <c r="K829" s="3" t="n"/>
      <c r="L829" s="4" t="n"/>
      <c r="M829" s="5" t="n"/>
      <c r="N829" s="3" t="n"/>
      <c r="O829" s="4" t="n"/>
      <c r="P829" s="5" t="n"/>
      <c r="Q829" s="3" t="n"/>
      <c r="R829" s="4" t="n"/>
      <c r="S829" s="5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6">
        <f>IF(C829=0,0,IF(E829="",B829*D829/100,E829))</f>
        <v/>
      </c>
      <c r="AE829" s="6">
        <f>IF(F829=0,0,IF(H829="",B829*G829/100,H829))</f>
        <v/>
      </c>
      <c r="AF829" s="6">
        <f>IF(I829=0,0,IF(K829="",B829*J829/100,K829))</f>
        <v/>
      </c>
      <c r="AG829" s="6">
        <f>IF(L829=0,0,IF(N829="",B829*M829/100,N829))</f>
        <v/>
      </c>
      <c r="AH829" s="6">
        <f>IF(O829=0,0,IF(Q829="",B829*P829/100,Q829))</f>
        <v/>
      </c>
      <c r="AI829" s="6">
        <f>IF(R829=0,0,IF(T829="",B829*S829/100,T829))</f>
        <v/>
      </c>
      <c r="AJ829" s="6">
        <f>B829*0.035</f>
        <v/>
      </c>
      <c r="AK829" s="6">
        <f>B829*0.065</f>
        <v/>
      </c>
      <c r="AL829" s="6">
        <f>SUM(B829,AD829,AE829,AF829,AG829,AH829,AI829,U829,V829,AJ829,AK829)</f>
        <v/>
      </c>
      <c r="AM829" s="6">
        <f>B829*0.055</f>
        <v/>
      </c>
      <c r="AN829" s="6">
        <f>B829*0.035</f>
        <v/>
      </c>
      <c r="AO829" s="6">
        <f>B829*0.165</f>
        <v/>
      </c>
      <c r="AP829" s="6">
        <f>MAX(0,AL829-AM829-AO829)</f>
        <v/>
      </c>
      <c r="AQ829" s="6">
        <f>IF(AP829&lt;=490,0,IF(AP829&lt;=600,(AP829-490)*0.05,IF(AP829&lt;=730,5.5+(AP829-600)*0.10,IF(AP829&lt;=3896.67,18.5+(AP829-730)*0.175,IF(AP829&lt;=19896.67,572.67+(AP829-3896.67)*0.25,IF(AP829&lt;=50416.67,4572.67+(AP829-19896.67)*0.30,13728.67+(AP829-50416.67)*0.35))))))</f>
        <v/>
      </c>
      <c r="AR829" s="6">
        <f>SUM(AM829,AQ829,W829,X829,Y829,Z829,AA829,AN829,AO829)</f>
        <v/>
      </c>
      <c r="AS829" s="6">
        <f>AL829-AR829</f>
        <v/>
      </c>
      <c r="AT829" s="6">
        <f>AB829-AC829</f>
        <v/>
      </c>
    </row>
    <row r="830">
      <c r="A830" s="2" t="n"/>
      <c r="B830" s="3" t="n"/>
      <c r="C830" s="4" t="n"/>
      <c r="D830" s="5" t="n"/>
      <c r="E830" s="3" t="n"/>
      <c r="F830" s="4" t="n"/>
      <c r="G830" s="5" t="n"/>
      <c r="H830" s="3" t="n"/>
      <c r="I830" s="4" t="n"/>
      <c r="J830" s="5" t="n"/>
      <c r="K830" s="3" t="n"/>
      <c r="L830" s="4" t="n"/>
      <c r="M830" s="5" t="n"/>
      <c r="N830" s="3" t="n"/>
      <c r="O830" s="4" t="n"/>
      <c r="P830" s="5" t="n"/>
      <c r="Q830" s="3" t="n"/>
      <c r="R830" s="4" t="n"/>
      <c r="S830" s="5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6">
        <f>IF(C830=0,0,IF(E830="",B830*D830/100,E830))</f>
        <v/>
      </c>
      <c r="AE830" s="6">
        <f>IF(F830=0,0,IF(H830="",B830*G830/100,H830))</f>
        <v/>
      </c>
      <c r="AF830" s="6">
        <f>IF(I830=0,0,IF(K830="",B830*J830/100,K830))</f>
        <v/>
      </c>
      <c r="AG830" s="6">
        <f>IF(L830=0,0,IF(N830="",B830*M830/100,N830))</f>
        <v/>
      </c>
      <c r="AH830" s="6">
        <f>IF(O830=0,0,IF(Q830="",B830*P830/100,Q830))</f>
        <v/>
      </c>
      <c r="AI830" s="6">
        <f>IF(R830=0,0,IF(T830="",B830*S830/100,T830))</f>
        <v/>
      </c>
      <c r="AJ830" s="6">
        <f>B830*0.035</f>
        <v/>
      </c>
      <c r="AK830" s="6">
        <f>B830*0.065</f>
        <v/>
      </c>
      <c r="AL830" s="6">
        <f>SUM(B830,AD830,AE830,AF830,AG830,AH830,AI830,U830,V830,AJ830,AK830)</f>
        <v/>
      </c>
      <c r="AM830" s="6">
        <f>B830*0.055</f>
        <v/>
      </c>
      <c r="AN830" s="6">
        <f>B830*0.035</f>
        <v/>
      </c>
      <c r="AO830" s="6">
        <f>B830*0.165</f>
        <v/>
      </c>
      <c r="AP830" s="6">
        <f>MAX(0,AL830-AM830-AO830)</f>
        <v/>
      </c>
      <c r="AQ830" s="6">
        <f>IF(AP830&lt;=490,0,IF(AP830&lt;=600,(AP830-490)*0.05,IF(AP830&lt;=730,5.5+(AP830-600)*0.10,IF(AP830&lt;=3896.67,18.5+(AP830-730)*0.175,IF(AP830&lt;=19896.67,572.67+(AP830-3896.67)*0.25,IF(AP830&lt;=50416.67,4572.67+(AP830-19896.67)*0.30,13728.67+(AP830-50416.67)*0.35))))))</f>
        <v/>
      </c>
      <c r="AR830" s="6">
        <f>SUM(AM830,AQ830,W830,X830,Y830,Z830,AA830,AN830,AO830)</f>
        <v/>
      </c>
      <c r="AS830" s="6">
        <f>AL830-AR830</f>
        <v/>
      </c>
      <c r="AT830" s="6">
        <f>AB830-AC830</f>
        <v/>
      </c>
    </row>
    <row r="831">
      <c r="A831" s="2" t="n"/>
      <c r="B831" s="3" t="n"/>
      <c r="C831" s="4" t="n"/>
      <c r="D831" s="5" t="n"/>
      <c r="E831" s="3" t="n"/>
      <c r="F831" s="4" t="n"/>
      <c r="G831" s="5" t="n"/>
      <c r="H831" s="3" t="n"/>
      <c r="I831" s="4" t="n"/>
      <c r="J831" s="5" t="n"/>
      <c r="K831" s="3" t="n"/>
      <c r="L831" s="4" t="n"/>
      <c r="M831" s="5" t="n"/>
      <c r="N831" s="3" t="n"/>
      <c r="O831" s="4" t="n"/>
      <c r="P831" s="5" t="n"/>
      <c r="Q831" s="3" t="n"/>
      <c r="R831" s="4" t="n"/>
      <c r="S831" s="5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6">
        <f>IF(C831=0,0,IF(E831="",B831*D831/100,E831))</f>
        <v/>
      </c>
      <c r="AE831" s="6">
        <f>IF(F831=0,0,IF(H831="",B831*G831/100,H831))</f>
        <v/>
      </c>
      <c r="AF831" s="6">
        <f>IF(I831=0,0,IF(K831="",B831*J831/100,K831))</f>
        <v/>
      </c>
      <c r="AG831" s="6">
        <f>IF(L831=0,0,IF(N831="",B831*M831/100,N831))</f>
        <v/>
      </c>
      <c r="AH831" s="6">
        <f>IF(O831=0,0,IF(Q831="",B831*P831/100,Q831))</f>
        <v/>
      </c>
      <c r="AI831" s="6">
        <f>IF(R831=0,0,IF(T831="",B831*S831/100,T831))</f>
        <v/>
      </c>
      <c r="AJ831" s="6">
        <f>B831*0.035</f>
        <v/>
      </c>
      <c r="AK831" s="6">
        <f>B831*0.065</f>
        <v/>
      </c>
      <c r="AL831" s="6">
        <f>SUM(B831,AD831,AE831,AF831,AG831,AH831,AI831,U831,V831,AJ831,AK831)</f>
        <v/>
      </c>
      <c r="AM831" s="6">
        <f>B831*0.055</f>
        <v/>
      </c>
      <c r="AN831" s="6">
        <f>B831*0.035</f>
        <v/>
      </c>
      <c r="AO831" s="6">
        <f>B831*0.165</f>
        <v/>
      </c>
      <c r="AP831" s="6">
        <f>MAX(0,AL831-AM831-AO831)</f>
        <v/>
      </c>
      <c r="AQ831" s="6">
        <f>IF(AP831&lt;=490,0,IF(AP831&lt;=600,(AP831-490)*0.05,IF(AP831&lt;=730,5.5+(AP831-600)*0.10,IF(AP831&lt;=3896.67,18.5+(AP831-730)*0.175,IF(AP831&lt;=19896.67,572.67+(AP831-3896.67)*0.25,IF(AP831&lt;=50416.67,4572.67+(AP831-19896.67)*0.30,13728.67+(AP831-50416.67)*0.35))))))</f>
        <v/>
      </c>
      <c r="AR831" s="6">
        <f>SUM(AM831,AQ831,W831,X831,Y831,Z831,AA831,AN831,AO831)</f>
        <v/>
      </c>
      <c r="AS831" s="6">
        <f>AL831-AR831</f>
        <v/>
      </c>
      <c r="AT831" s="6">
        <f>AB831-AC831</f>
        <v/>
      </c>
    </row>
    <row r="832">
      <c r="A832" s="2" t="n"/>
      <c r="B832" s="3" t="n"/>
      <c r="C832" s="4" t="n"/>
      <c r="D832" s="5" t="n"/>
      <c r="E832" s="3" t="n"/>
      <c r="F832" s="4" t="n"/>
      <c r="G832" s="5" t="n"/>
      <c r="H832" s="3" t="n"/>
      <c r="I832" s="4" t="n"/>
      <c r="J832" s="5" t="n"/>
      <c r="K832" s="3" t="n"/>
      <c r="L832" s="4" t="n"/>
      <c r="M832" s="5" t="n"/>
      <c r="N832" s="3" t="n"/>
      <c r="O832" s="4" t="n"/>
      <c r="P832" s="5" t="n"/>
      <c r="Q832" s="3" t="n"/>
      <c r="R832" s="4" t="n"/>
      <c r="S832" s="5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6">
        <f>IF(C832=0,0,IF(E832="",B832*D832/100,E832))</f>
        <v/>
      </c>
      <c r="AE832" s="6">
        <f>IF(F832=0,0,IF(H832="",B832*G832/100,H832))</f>
        <v/>
      </c>
      <c r="AF832" s="6">
        <f>IF(I832=0,0,IF(K832="",B832*J832/100,K832))</f>
        <v/>
      </c>
      <c r="AG832" s="6">
        <f>IF(L832=0,0,IF(N832="",B832*M832/100,N832))</f>
        <v/>
      </c>
      <c r="AH832" s="6">
        <f>IF(O832=0,0,IF(Q832="",B832*P832/100,Q832))</f>
        <v/>
      </c>
      <c r="AI832" s="6">
        <f>IF(R832=0,0,IF(T832="",B832*S832/100,T832))</f>
        <v/>
      </c>
      <c r="AJ832" s="6">
        <f>B832*0.035</f>
        <v/>
      </c>
      <c r="AK832" s="6">
        <f>B832*0.065</f>
        <v/>
      </c>
      <c r="AL832" s="6">
        <f>SUM(B832,AD832,AE832,AF832,AG832,AH832,AI832,U832,V832,AJ832,AK832)</f>
        <v/>
      </c>
      <c r="AM832" s="6">
        <f>B832*0.055</f>
        <v/>
      </c>
      <c r="AN832" s="6">
        <f>B832*0.035</f>
        <v/>
      </c>
      <c r="AO832" s="6">
        <f>B832*0.165</f>
        <v/>
      </c>
      <c r="AP832" s="6">
        <f>MAX(0,AL832-AM832-AO832)</f>
        <v/>
      </c>
      <c r="AQ832" s="6">
        <f>IF(AP832&lt;=490,0,IF(AP832&lt;=600,(AP832-490)*0.05,IF(AP832&lt;=730,5.5+(AP832-600)*0.10,IF(AP832&lt;=3896.67,18.5+(AP832-730)*0.175,IF(AP832&lt;=19896.67,572.67+(AP832-3896.67)*0.25,IF(AP832&lt;=50416.67,4572.67+(AP832-19896.67)*0.30,13728.67+(AP832-50416.67)*0.35))))))</f>
        <v/>
      </c>
      <c r="AR832" s="6">
        <f>SUM(AM832,AQ832,W832,X832,Y832,Z832,AA832,AN832,AO832)</f>
        <v/>
      </c>
      <c r="AS832" s="6">
        <f>AL832-AR832</f>
        <v/>
      </c>
      <c r="AT832" s="6">
        <f>AB832-AC832</f>
        <v/>
      </c>
    </row>
    <row r="833">
      <c r="A833" s="2" t="n"/>
      <c r="B833" s="3" t="n"/>
      <c r="C833" s="4" t="n"/>
      <c r="D833" s="5" t="n"/>
      <c r="E833" s="3" t="n"/>
      <c r="F833" s="4" t="n"/>
      <c r="G833" s="5" t="n"/>
      <c r="H833" s="3" t="n"/>
      <c r="I833" s="4" t="n"/>
      <c r="J833" s="5" t="n"/>
      <c r="K833" s="3" t="n"/>
      <c r="L833" s="4" t="n"/>
      <c r="M833" s="5" t="n"/>
      <c r="N833" s="3" t="n"/>
      <c r="O833" s="4" t="n"/>
      <c r="P833" s="5" t="n"/>
      <c r="Q833" s="3" t="n"/>
      <c r="R833" s="4" t="n"/>
      <c r="S833" s="5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6">
        <f>IF(C833=0,0,IF(E833="",B833*D833/100,E833))</f>
        <v/>
      </c>
      <c r="AE833" s="6">
        <f>IF(F833=0,0,IF(H833="",B833*G833/100,H833))</f>
        <v/>
      </c>
      <c r="AF833" s="6">
        <f>IF(I833=0,0,IF(K833="",B833*J833/100,K833))</f>
        <v/>
      </c>
      <c r="AG833" s="6">
        <f>IF(L833=0,0,IF(N833="",B833*M833/100,N833))</f>
        <v/>
      </c>
      <c r="AH833" s="6">
        <f>IF(O833=0,0,IF(Q833="",B833*P833/100,Q833))</f>
        <v/>
      </c>
      <c r="AI833" s="6">
        <f>IF(R833=0,0,IF(T833="",B833*S833/100,T833))</f>
        <v/>
      </c>
      <c r="AJ833" s="6">
        <f>B833*0.035</f>
        <v/>
      </c>
      <c r="AK833" s="6">
        <f>B833*0.065</f>
        <v/>
      </c>
      <c r="AL833" s="6">
        <f>SUM(B833,AD833,AE833,AF833,AG833,AH833,AI833,U833,V833,AJ833,AK833)</f>
        <v/>
      </c>
      <c r="AM833" s="6">
        <f>B833*0.055</f>
        <v/>
      </c>
      <c r="AN833" s="6">
        <f>B833*0.035</f>
        <v/>
      </c>
      <c r="AO833" s="6">
        <f>B833*0.165</f>
        <v/>
      </c>
      <c r="AP833" s="6">
        <f>MAX(0,AL833-AM833-AO833)</f>
        <v/>
      </c>
      <c r="AQ833" s="6">
        <f>IF(AP833&lt;=490,0,IF(AP833&lt;=600,(AP833-490)*0.05,IF(AP833&lt;=730,5.5+(AP833-600)*0.10,IF(AP833&lt;=3896.67,18.5+(AP833-730)*0.175,IF(AP833&lt;=19896.67,572.67+(AP833-3896.67)*0.25,IF(AP833&lt;=50416.67,4572.67+(AP833-19896.67)*0.30,13728.67+(AP833-50416.67)*0.35))))))</f>
        <v/>
      </c>
      <c r="AR833" s="6">
        <f>SUM(AM833,AQ833,W833,X833,Y833,Z833,AA833,AN833,AO833)</f>
        <v/>
      </c>
      <c r="AS833" s="6">
        <f>AL833-AR833</f>
        <v/>
      </c>
      <c r="AT833" s="6">
        <f>AB833-AC833</f>
        <v/>
      </c>
    </row>
    <row r="834">
      <c r="A834" s="2" t="n"/>
      <c r="B834" s="3" t="n"/>
      <c r="C834" s="4" t="n"/>
      <c r="D834" s="5" t="n"/>
      <c r="E834" s="3" t="n"/>
      <c r="F834" s="4" t="n"/>
      <c r="G834" s="5" t="n"/>
      <c r="H834" s="3" t="n"/>
      <c r="I834" s="4" t="n"/>
      <c r="J834" s="5" t="n"/>
      <c r="K834" s="3" t="n"/>
      <c r="L834" s="4" t="n"/>
      <c r="M834" s="5" t="n"/>
      <c r="N834" s="3" t="n"/>
      <c r="O834" s="4" t="n"/>
      <c r="P834" s="5" t="n"/>
      <c r="Q834" s="3" t="n"/>
      <c r="R834" s="4" t="n"/>
      <c r="S834" s="5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6">
        <f>IF(C834=0,0,IF(E834="",B834*D834/100,E834))</f>
        <v/>
      </c>
      <c r="AE834" s="6">
        <f>IF(F834=0,0,IF(H834="",B834*G834/100,H834))</f>
        <v/>
      </c>
      <c r="AF834" s="6">
        <f>IF(I834=0,0,IF(K834="",B834*J834/100,K834))</f>
        <v/>
      </c>
      <c r="AG834" s="6">
        <f>IF(L834=0,0,IF(N834="",B834*M834/100,N834))</f>
        <v/>
      </c>
      <c r="AH834" s="6">
        <f>IF(O834=0,0,IF(Q834="",B834*P834/100,Q834))</f>
        <v/>
      </c>
      <c r="AI834" s="6">
        <f>IF(R834=0,0,IF(T834="",B834*S834/100,T834))</f>
        <v/>
      </c>
      <c r="AJ834" s="6">
        <f>B834*0.035</f>
        <v/>
      </c>
      <c r="AK834" s="6">
        <f>B834*0.065</f>
        <v/>
      </c>
      <c r="AL834" s="6">
        <f>SUM(B834,AD834,AE834,AF834,AG834,AH834,AI834,U834,V834,AJ834,AK834)</f>
        <v/>
      </c>
      <c r="AM834" s="6">
        <f>B834*0.055</f>
        <v/>
      </c>
      <c r="AN834" s="6">
        <f>B834*0.035</f>
        <v/>
      </c>
      <c r="AO834" s="6">
        <f>B834*0.165</f>
        <v/>
      </c>
      <c r="AP834" s="6">
        <f>MAX(0,AL834-AM834-AO834)</f>
        <v/>
      </c>
      <c r="AQ834" s="6">
        <f>IF(AP834&lt;=490,0,IF(AP834&lt;=600,(AP834-490)*0.05,IF(AP834&lt;=730,5.5+(AP834-600)*0.10,IF(AP834&lt;=3896.67,18.5+(AP834-730)*0.175,IF(AP834&lt;=19896.67,572.67+(AP834-3896.67)*0.25,IF(AP834&lt;=50416.67,4572.67+(AP834-19896.67)*0.30,13728.67+(AP834-50416.67)*0.35))))))</f>
        <v/>
      </c>
      <c r="AR834" s="6">
        <f>SUM(AM834,AQ834,W834,X834,Y834,Z834,AA834,AN834,AO834)</f>
        <v/>
      </c>
      <c r="AS834" s="6">
        <f>AL834-AR834</f>
        <v/>
      </c>
      <c r="AT834" s="6">
        <f>AB834-AC834</f>
        <v/>
      </c>
    </row>
    <row r="835">
      <c r="A835" s="2" t="n"/>
      <c r="B835" s="3" t="n"/>
      <c r="C835" s="4" t="n"/>
      <c r="D835" s="5" t="n"/>
      <c r="E835" s="3" t="n"/>
      <c r="F835" s="4" t="n"/>
      <c r="G835" s="5" t="n"/>
      <c r="H835" s="3" t="n"/>
      <c r="I835" s="4" t="n"/>
      <c r="J835" s="5" t="n"/>
      <c r="K835" s="3" t="n"/>
      <c r="L835" s="4" t="n"/>
      <c r="M835" s="5" t="n"/>
      <c r="N835" s="3" t="n"/>
      <c r="O835" s="4" t="n"/>
      <c r="P835" s="5" t="n"/>
      <c r="Q835" s="3" t="n"/>
      <c r="R835" s="4" t="n"/>
      <c r="S835" s="5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6">
        <f>IF(C835=0,0,IF(E835="",B835*D835/100,E835))</f>
        <v/>
      </c>
      <c r="AE835" s="6">
        <f>IF(F835=0,0,IF(H835="",B835*G835/100,H835))</f>
        <v/>
      </c>
      <c r="AF835" s="6">
        <f>IF(I835=0,0,IF(K835="",B835*J835/100,K835))</f>
        <v/>
      </c>
      <c r="AG835" s="6">
        <f>IF(L835=0,0,IF(N835="",B835*M835/100,N835))</f>
        <v/>
      </c>
      <c r="AH835" s="6">
        <f>IF(O835=0,0,IF(Q835="",B835*P835/100,Q835))</f>
        <v/>
      </c>
      <c r="AI835" s="6">
        <f>IF(R835=0,0,IF(T835="",B835*S835/100,T835))</f>
        <v/>
      </c>
      <c r="AJ835" s="6">
        <f>B835*0.035</f>
        <v/>
      </c>
      <c r="AK835" s="6">
        <f>B835*0.065</f>
        <v/>
      </c>
      <c r="AL835" s="6">
        <f>SUM(B835,AD835,AE835,AF835,AG835,AH835,AI835,U835,V835,AJ835,AK835)</f>
        <v/>
      </c>
      <c r="AM835" s="6">
        <f>B835*0.055</f>
        <v/>
      </c>
      <c r="AN835" s="6">
        <f>B835*0.035</f>
        <v/>
      </c>
      <c r="AO835" s="6">
        <f>B835*0.165</f>
        <v/>
      </c>
      <c r="AP835" s="6">
        <f>MAX(0,AL835-AM835-AO835)</f>
        <v/>
      </c>
      <c r="AQ835" s="6">
        <f>IF(AP835&lt;=490,0,IF(AP835&lt;=600,(AP835-490)*0.05,IF(AP835&lt;=730,5.5+(AP835-600)*0.10,IF(AP835&lt;=3896.67,18.5+(AP835-730)*0.175,IF(AP835&lt;=19896.67,572.67+(AP835-3896.67)*0.25,IF(AP835&lt;=50416.67,4572.67+(AP835-19896.67)*0.30,13728.67+(AP835-50416.67)*0.35))))))</f>
        <v/>
      </c>
      <c r="AR835" s="6">
        <f>SUM(AM835,AQ835,W835,X835,Y835,Z835,AA835,AN835,AO835)</f>
        <v/>
      </c>
      <c r="AS835" s="6">
        <f>AL835-AR835</f>
        <v/>
      </c>
      <c r="AT835" s="6">
        <f>AB835-AC835</f>
        <v/>
      </c>
    </row>
    <row r="836">
      <c r="A836" s="2" t="n"/>
      <c r="B836" s="3" t="n"/>
      <c r="C836" s="4" t="n"/>
      <c r="D836" s="5" t="n"/>
      <c r="E836" s="3" t="n"/>
      <c r="F836" s="4" t="n"/>
      <c r="G836" s="5" t="n"/>
      <c r="H836" s="3" t="n"/>
      <c r="I836" s="4" t="n"/>
      <c r="J836" s="5" t="n"/>
      <c r="K836" s="3" t="n"/>
      <c r="L836" s="4" t="n"/>
      <c r="M836" s="5" t="n"/>
      <c r="N836" s="3" t="n"/>
      <c r="O836" s="4" t="n"/>
      <c r="P836" s="5" t="n"/>
      <c r="Q836" s="3" t="n"/>
      <c r="R836" s="4" t="n"/>
      <c r="S836" s="5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6">
        <f>IF(C836=0,0,IF(E836="",B836*D836/100,E836))</f>
        <v/>
      </c>
      <c r="AE836" s="6">
        <f>IF(F836=0,0,IF(H836="",B836*G836/100,H836))</f>
        <v/>
      </c>
      <c r="AF836" s="6">
        <f>IF(I836=0,0,IF(K836="",B836*J836/100,K836))</f>
        <v/>
      </c>
      <c r="AG836" s="6">
        <f>IF(L836=0,0,IF(N836="",B836*M836/100,N836))</f>
        <v/>
      </c>
      <c r="AH836" s="6">
        <f>IF(O836=0,0,IF(Q836="",B836*P836/100,Q836))</f>
        <v/>
      </c>
      <c r="AI836" s="6">
        <f>IF(R836=0,0,IF(T836="",B836*S836/100,T836))</f>
        <v/>
      </c>
      <c r="AJ836" s="6">
        <f>B836*0.035</f>
        <v/>
      </c>
      <c r="AK836" s="6">
        <f>B836*0.065</f>
        <v/>
      </c>
      <c r="AL836" s="6">
        <f>SUM(B836,AD836,AE836,AF836,AG836,AH836,AI836,U836,V836,AJ836,AK836)</f>
        <v/>
      </c>
      <c r="AM836" s="6">
        <f>B836*0.055</f>
        <v/>
      </c>
      <c r="AN836" s="6">
        <f>B836*0.035</f>
        <v/>
      </c>
      <c r="AO836" s="6">
        <f>B836*0.165</f>
        <v/>
      </c>
      <c r="AP836" s="6">
        <f>MAX(0,AL836-AM836-AO836)</f>
        <v/>
      </c>
      <c r="AQ836" s="6">
        <f>IF(AP836&lt;=490,0,IF(AP836&lt;=600,(AP836-490)*0.05,IF(AP836&lt;=730,5.5+(AP836-600)*0.10,IF(AP836&lt;=3896.67,18.5+(AP836-730)*0.175,IF(AP836&lt;=19896.67,572.67+(AP836-3896.67)*0.25,IF(AP836&lt;=50416.67,4572.67+(AP836-19896.67)*0.30,13728.67+(AP836-50416.67)*0.35))))))</f>
        <v/>
      </c>
      <c r="AR836" s="6">
        <f>SUM(AM836,AQ836,W836,X836,Y836,Z836,AA836,AN836,AO836)</f>
        <v/>
      </c>
      <c r="AS836" s="6">
        <f>AL836-AR836</f>
        <v/>
      </c>
      <c r="AT836" s="6">
        <f>AB836-AC836</f>
        <v/>
      </c>
    </row>
    <row r="837">
      <c r="A837" s="2" t="n"/>
      <c r="B837" s="3" t="n"/>
      <c r="C837" s="4" t="n"/>
      <c r="D837" s="5" t="n"/>
      <c r="E837" s="3" t="n"/>
      <c r="F837" s="4" t="n"/>
      <c r="G837" s="5" t="n"/>
      <c r="H837" s="3" t="n"/>
      <c r="I837" s="4" t="n"/>
      <c r="J837" s="5" t="n"/>
      <c r="K837" s="3" t="n"/>
      <c r="L837" s="4" t="n"/>
      <c r="M837" s="5" t="n"/>
      <c r="N837" s="3" t="n"/>
      <c r="O837" s="4" t="n"/>
      <c r="P837" s="5" t="n"/>
      <c r="Q837" s="3" t="n"/>
      <c r="R837" s="4" t="n"/>
      <c r="S837" s="5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6">
        <f>IF(C837=0,0,IF(E837="",B837*D837/100,E837))</f>
        <v/>
      </c>
      <c r="AE837" s="6">
        <f>IF(F837=0,0,IF(H837="",B837*G837/100,H837))</f>
        <v/>
      </c>
      <c r="AF837" s="6">
        <f>IF(I837=0,0,IF(K837="",B837*J837/100,K837))</f>
        <v/>
      </c>
      <c r="AG837" s="6">
        <f>IF(L837=0,0,IF(N837="",B837*M837/100,N837))</f>
        <v/>
      </c>
      <c r="AH837" s="6">
        <f>IF(O837=0,0,IF(Q837="",B837*P837/100,Q837))</f>
        <v/>
      </c>
      <c r="AI837" s="6">
        <f>IF(R837=0,0,IF(T837="",B837*S837/100,T837))</f>
        <v/>
      </c>
      <c r="AJ837" s="6">
        <f>B837*0.035</f>
        <v/>
      </c>
      <c r="AK837" s="6">
        <f>B837*0.065</f>
        <v/>
      </c>
      <c r="AL837" s="6">
        <f>SUM(B837,AD837,AE837,AF837,AG837,AH837,AI837,U837,V837,AJ837,AK837)</f>
        <v/>
      </c>
      <c r="AM837" s="6">
        <f>B837*0.055</f>
        <v/>
      </c>
      <c r="AN837" s="6">
        <f>B837*0.035</f>
        <v/>
      </c>
      <c r="AO837" s="6">
        <f>B837*0.165</f>
        <v/>
      </c>
      <c r="AP837" s="6">
        <f>MAX(0,AL837-AM837-AO837)</f>
        <v/>
      </c>
      <c r="AQ837" s="6">
        <f>IF(AP837&lt;=490,0,IF(AP837&lt;=600,(AP837-490)*0.05,IF(AP837&lt;=730,5.5+(AP837-600)*0.10,IF(AP837&lt;=3896.67,18.5+(AP837-730)*0.175,IF(AP837&lt;=19896.67,572.67+(AP837-3896.67)*0.25,IF(AP837&lt;=50416.67,4572.67+(AP837-19896.67)*0.30,13728.67+(AP837-50416.67)*0.35))))))</f>
        <v/>
      </c>
      <c r="AR837" s="6">
        <f>SUM(AM837,AQ837,W837,X837,Y837,Z837,AA837,AN837,AO837)</f>
        <v/>
      </c>
      <c r="AS837" s="6">
        <f>AL837-AR837</f>
        <v/>
      </c>
      <c r="AT837" s="6">
        <f>AB837-AC837</f>
        <v/>
      </c>
    </row>
    <row r="838">
      <c r="A838" s="2" t="n"/>
      <c r="B838" s="3" t="n"/>
      <c r="C838" s="4" t="n"/>
      <c r="D838" s="5" t="n"/>
      <c r="E838" s="3" t="n"/>
      <c r="F838" s="4" t="n"/>
      <c r="G838" s="5" t="n"/>
      <c r="H838" s="3" t="n"/>
      <c r="I838" s="4" t="n"/>
      <c r="J838" s="5" t="n"/>
      <c r="K838" s="3" t="n"/>
      <c r="L838" s="4" t="n"/>
      <c r="M838" s="5" t="n"/>
      <c r="N838" s="3" t="n"/>
      <c r="O838" s="4" t="n"/>
      <c r="P838" s="5" t="n"/>
      <c r="Q838" s="3" t="n"/>
      <c r="R838" s="4" t="n"/>
      <c r="S838" s="5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6">
        <f>IF(C838=0,0,IF(E838="",B838*D838/100,E838))</f>
        <v/>
      </c>
      <c r="AE838" s="6">
        <f>IF(F838=0,0,IF(H838="",B838*G838/100,H838))</f>
        <v/>
      </c>
      <c r="AF838" s="6">
        <f>IF(I838=0,0,IF(K838="",B838*J838/100,K838))</f>
        <v/>
      </c>
      <c r="AG838" s="6">
        <f>IF(L838=0,0,IF(N838="",B838*M838/100,N838))</f>
        <v/>
      </c>
      <c r="AH838" s="6">
        <f>IF(O838=0,0,IF(Q838="",B838*P838/100,Q838))</f>
        <v/>
      </c>
      <c r="AI838" s="6">
        <f>IF(R838=0,0,IF(T838="",B838*S838/100,T838))</f>
        <v/>
      </c>
      <c r="AJ838" s="6">
        <f>B838*0.035</f>
        <v/>
      </c>
      <c r="AK838" s="6">
        <f>B838*0.065</f>
        <v/>
      </c>
      <c r="AL838" s="6">
        <f>SUM(B838,AD838,AE838,AF838,AG838,AH838,AI838,U838,V838,AJ838,AK838)</f>
        <v/>
      </c>
      <c r="AM838" s="6">
        <f>B838*0.055</f>
        <v/>
      </c>
      <c r="AN838" s="6">
        <f>B838*0.035</f>
        <v/>
      </c>
      <c r="AO838" s="6">
        <f>B838*0.165</f>
        <v/>
      </c>
      <c r="AP838" s="6">
        <f>MAX(0,AL838-AM838-AO838)</f>
        <v/>
      </c>
      <c r="AQ838" s="6">
        <f>IF(AP838&lt;=490,0,IF(AP838&lt;=600,(AP838-490)*0.05,IF(AP838&lt;=730,5.5+(AP838-600)*0.10,IF(AP838&lt;=3896.67,18.5+(AP838-730)*0.175,IF(AP838&lt;=19896.67,572.67+(AP838-3896.67)*0.25,IF(AP838&lt;=50416.67,4572.67+(AP838-19896.67)*0.30,13728.67+(AP838-50416.67)*0.35))))))</f>
        <v/>
      </c>
      <c r="AR838" s="6">
        <f>SUM(AM838,AQ838,W838,X838,Y838,Z838,AA838,AN838,AO838)</f>
        <v/>
      </c>
      <c r="AS838" s="6">
        <f>AL838-AR838</f>
        <v/>
      </c>
      <c r="AT838" s="6">
        <f>AB838-AC838</f>
        <v/>
      </c>
    </row>
    <row r="839">
      <c r="A839" s="2" t="n"/>
      <c r="B839" s="3" t="n"/>
      <c r="C839" s="4" t="n"/>
      <c r="D839" s="5" t="n"/>
      <c r="E839" s="3" t="n"/>
      <c r="F839" s="4" t="n"/>
      <c r="G839" s="5" t="n"/>
      <c r="H839" s="3" t="n"/>
      <c r="I839" s="4" t="n"/>
      <c r="J839" s="5" t="n"/>
      <c r="K839" s="3" t="n"/>
      <c r="L839" s="4" t="n"/>
      <c r="M839" s="5" t="n"/>
      <c r="N839" s="3" t="n"/>
      <c r="O839" s="4" t="n"/>
      <c r="P839" s="5" t="n"/>
      <c r="Q839" s="3" t="n"/>
      <c r="R839" s="4" t="n"/>
      <c r="S839" s="5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6">
        <f>IF(C839=0,0,IF(E839="",B839*D839/100,E839))</f>
        <v/>
      </c>
      <c r="AE839" s="6">
        <f>IF(F839=0,0,IF(H839="",B839*G839/100,H839))</f>
        <v/>
      </c>
      <c r="AF839" s="6">
        <f>IF(I839=0,0,IF(K839="",B839*J839/100,K839))</f>
        <v/>
      </c>
      <c r="AG839" s="6">
        <f>IF(L839=0,0,IF(N839="",B839*M839/100,N839))</f>
        <v/>
      </c>
      <c r="AH839" s="6">
        <f>IF(O839=0,0,IF(Q839="",B839*P839/100,Q839))</f>
        <v/>
      </c>
      <c r="AI839" s="6">
        <f>IF(R839=0,0,IF(T839="",B839*S839/100,T839))</f>
        <v/>
      </c>
      <c r="AJ839" s="6">
        <f>B839*0.035</f>
        <v/>
      </c>
      <c r="AK839" s="6">
        <f>B839*0.065</f>
        <v/>
      </c>
      <c r="AL839" s="6">
        <f>SUM(B839,AD839,AE839,AF839,AG839,AH839,AI839,U839,V839,AJ839,AK839)</f>
        <v/>
      </c>
      <c r="AM839" s="6">
        <f>B839*0.055</f>
        <v/>
      </c>
      <c r="AN839" s="6">
        <f>B839*0.035</f>
        <v/>
      </c>
      <c r="AO839" s="6">
        <f>B839*0.165</f>
        <v/>
      </c>
      <c r="AP839" s="6">
        <f>MAX(0,AL839-AM839-AO839)</f>
        <v/>
      </c>
      <c r="AQ839" s="6">
        <f>IF(AP839&lt;=490,0,IF(AP839&lt;=600,(AP839-490)*0.05,IF(AP839&lt;=730,5.5+(AP839-600)*0.10,IF(AP839&lt;=3896.67,18.5+(AP839-730)*0.175,IF(AP839&lt;=19896.67,572.67+(AP839-3896.67)*0.25,IF(AP839&lt;=50416.67,4572.67+(AP839-19896.67)*0.30,13728.67+(AP839-50416.67)*0.35))))))</f>
        <v/>
      </c>
      <c r="AR839" s="6">
        <f>SUM(AM839,AQ839,W839,X839,Y839,Z839,AA839,AN839,AO839)</f>
        <v/>
      </c>
      <c r="AS839" s="6">
        <f>AL839-AR839</f>
        <v/>
      </c>
      <c r="AT839" s="6">
        <f>AB839-AC839</f>
        <v/>
      </c>
    </row>
    <row r="840">
      <c r="A840" s="2" t="n"/>
      <c r="B840" s="3" t="n"/>
      <c r="C840" s="4" t="n"/>
      <c r="D840" s="5" t="n"/>
      <c r="E840" s="3" t="n"/>
      <c r="F840" s="4" t="n"/>
      <c r="G840" s="5" t="n"/>
      <c r="H840" s="3" t="n"/>
      <c r="I840" s="4" t="n"/>
      <c r="J840" s="5" t="n"/>
      <c r="K840" s="3" t="n"/>
      <c r="L840" s="4" t="n"/>
      <c r="M840" s="5" t="n"/>
      <c r="N840" s="3" t="n"/>
      <c r="O840" s="4" t="n"/>
      <c r="P840" s="5" t="n"/>
      <c r="Q840" s="3" t="n"/>
      <c r="R840" s="4" t="n"/>
      <c r="S840" s="5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6">
        <f>IF(C840=0,0,IF(E840="",B840*D840/100,E840))</f>
        <v/>
      </c>
      <c r="AE840" s="6">
        <f>IF(F840=0,0,IF(H840="",B840*G840/100,H840))</f>
        <v/>
      </c>
      <c r="AF840" s="6">
        <f>IF(I840=0,0,IF(K840="",B840*J840/100,K840))</f>
        <v/>
      </c>
      <c r="AG840" s="6">
        <f>IF(L840=0,0,IF(N840="",B840*M840/100,N840))</f>
        <v/>
      </c>
      <c r="AH840" s="6">
        <f>IF(O840=0,0,IF(Q840="",B840*P840/100,Q840))</f>
        <v/>
      </c>
      <c r="AI840" s="6">
        <f>IF(R840=0,0,IF(T840="",B840*S840/100,T840))</f>
        <v/>
      </c>
      <c r="AJ840" s="6">
        <f>B840*0.035</f>
        <v/>
      </c>
      <c r="AK840" s="6">
        <f>B840*0.065</f>
        <v/>
      </c>
      <c r="AL840" s="6">
        <f>SUM(B840,AD840,AE840,AF840,AG840,AH840,AI840,U840,V840,AJ840,AK840)</f>
        <v/>
      </c>
      <c r="AM840" s="6">
        <f>B840*0.055</f>
        <v/>
      </c>
      <c r="AN840" s="6">
        <f>B840*0.035</f>
        <v/>
      </c>
      <c r="AO840" s="6">
        <f>B840*0.165</f>
        <v/>
      </c>
      <c r="AP840" s="6">
        <f>MAX(0,AL840-AM840-AO840)</f>
        <v/>
      </c>
      <c r="AQ840" s="6">
        <f>IF(AP840&lt;=490,0,IF(AP840&lt;=600,(AP840-490)*0.05,IF(AP840&lt;=730,5.5+(AP840-600)*0.10,IF(AP840&lt;=3896.67,18.5+(AP840-730)*0.175,IF(AP840&lt;=19896.67,572.67+(AP840-3896.67)*0.25,IF(AP840&lt;=50416.67,4572.67+(AP840-19896.67)*0.30,13728.67+(AP840-50416.67)*0.35))))))</f>
        <v/>
      </c>
      <c r="AR840" s="6">
        <f>SUM(AM840,AQ840,W840,X840,Y840,Z840,AA840,AN840,AO840)</f>
        <v/>
      </c>
      <c r="AS840" s="6">
        <f>AL840-AR840</f>
        <v/>
      </c>
      <c r="AT840" s="6">
        <f>AB840-AC840</f>
        <v/>
      </c>
    </row>
    <row r="841">
      <c r="A841" s="2" t="n"/>
      <c r="B841" s="3" t="n"/>
      <c r="C841" s="4" t="n"/>
      <c r="D841" s="5" t="n"/>
      <c r="E841" s="3" t="n"/>
      <c r="F841" s="4" t="n"/>
      <c r="G841" s="5" t="n"/>
      <c r="H841" s="3" t="n"/>
      <c r="I841" s="4" t="n"/>
      <c r="J841" s="5" t="n"/>
      <c r="K841" s="3" t="n"/>
      <c r="L841" s="4" t="n"/>
      <c r="M841" s="5" t="n"/>
      <c r="N841" s="3" t="n"/>
      <c r="O841" s="4" t="n"/>
      <c r="P841" s="5" t="n"/>
      <c r="Q841" s="3" t="n"/>
      <c r="R841" s="4" t="n"/>
      <c r="S841" s="5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6">
        <f>IF(C841=0,0,IF(E841="",B841*D841/100,E841))</f>
        <v/>
      </c>
      <c r="AE841" s="6">
        <f>IF(F841=0,0,IF(H841="",B841*G841/100,H841))</f>
        <v/>
      </c>
      <c r="AF841" s="6">
        <f>IF(I841=0,0,IF(K841="",B841*J841/100,K841))</f>
        <v/>
      </c>
      <c r="AG841" s="6">
        <f>IF(L841=0,0,IF(N841="",B841*M841/100,N841))</f>
        <v/>
      </c>
      <c r="AH841" s="6">
        <f>IF(O841=0,0,IF(Q841="",B841*P841/100,Q841))</f>
        <v/>
      </c>
      <c r="AI841" s="6">
        <f>IF(R841=0,0,IF(T841="",B841*S841/100,T841))</f>
        <v/>
      </c>
      <c r="AJ841" s="6">
        <f>B841*0.035</f>
        <v/>
      </c>
      <c r="AK841" s="6">
        <f>B841*0.065</f>
        <v/>
      </c>
      <c r="AL841" s="6">
        <f>SUM(B841,AD841,AE841,AF841,AG841,AH841,AI841,U841,V841,AJ841,AK841)</f>
        <v/>
      </c>
      <c r="AM841" s="6">
        <f>B841*0.055</f>
        <v/>
      </c>
      <c r="AN841" s="6">
        <f>B841*0.035</f>
        <v/>
      </c>
      <c r="AO841" s="6">
        <f>B841*0.165</f>
        <v/>
      </c>
      <c r="AP841" s="6">
        <f>MAX(0,AL841-AM841-AO841)</f>
        <v/>
      </c>
      <c r="AQ841" s="6">
        <f>IF(AP841&lt;=490,0,IF(AP841&lt;=600,(AP841-490)*0.05,IF(AP841&lt;=730,5.5+(AP841-600)*0.10,IF(AP841&lt;=3896.67,18.5+(AP841-730)*0.175,IF(AP841&lt;=19896.67,572.67+(AP841-3896.67)*0.25,IF(AP841&lt;=50416.67,4572.67+(AP841-19896.67)*0.30,13728.67+(AP841-50416.67)*0.35))))))</f>
        <v/>
      </c>
      <c r="AR841" s="6">
        <f>SUM(AM841,AQ841,W841,X841,Y841,Z841,AA841,AN841,AO841)</f>
        <v/>
      </c>
      <c r="AS841" s="6">
        <f>AL841-AR841</f>
        <v/>
      </c>
      <c r="AT841" s="6">
        <f>AB841-AC841</f>
        <v/>
      </c>
    </row>
    <row r="842">
      <c r="A842" s="2" t="n"/>
      <c r="B842" s="3" t="n"/>
      <c r="C842" s="4" t="n"/>
      <c r="D842" s="5" t="n"/>
      <c r="E842" s="3" t="n"/>
      <c r="F842" s="4" t="n"/>
      <c r="G842" s="5" t="n"/>
      <c r="H842" s="3" t="n"/>
      <c r="I842" s="4" t="n"/>
      <c r="J842" s="5" t="n"/>
      <c r="K842" s="3" t="n"/>
      <c r="L842" s="4" t="n"/>
      <c r="M842" s="5" t="n"/>
      <c r="N842" s="3" t="n"/>
      <c r="O842" s="4" t="n"/>
      <c r="P842" s="5" t="n"/>
      <c r="Q842" s="3" t="n"/>
      <c r="R842" s="4" t="n"/>
      <c r="S842" s="5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6">
        <f>IF(C842=0,0,IF(E842="",B842*D842/100,E842))</f>
        <v/>
      </c>
      <c r="AE842" s="6">
        <f>IF(F842=0,0,IF(H842="",B842*G842/100,H842))</f>
        <v/>
      </c>
      <c r="AF842" s="6">
        <f>IF(I842=0,0,IF(K842="",B842*J842/100,K842))</f>
        <v/>
      </c>
      <c r="AG842" s="6">
        <f>IF(L842=0,0,IF(N842="",B842*M842/100,N842))</f>
        <v/>
      </c>
      <c r="AH842" s="6">
        <f>IF(O842=0,0,IF(Q842="",B842*P842/100,Q842))</f>
        <v/>
      </c>
      <c r="AI842" s="6">
        <f>IF(R842=0,0,IF(T842="",B842*S842/100,T842))</f>
        <v/>
      </c>
      <c r="AJ842" s="6">
        <f>B842*0.035</f>
        <v/>
      </c>
      <c r="AK842" s="6">
        <f>B842*0.065</f>
        <v/>
      </c>
      <c r="AL842" s="6">
        <f>SUM(B842,AD842,AE842,AF842,AG842,AH842,AI842,U842,V842,AJ842,AK842)</f>
        <v/>
      </c>
      <c r="AM842" s="6">
        <f>B842*0.055</f>
        <v/>
      </c>
      <c r="AN842" s="6">
        <f>B842*0.035</f>
        <v/>
      </c>
      <c r="AO842" s="6">
        <f>B842*0.165</f>
        <v/>
      </c>
      <c r="AP842" s="6">
        <f>MAX(0,AL842-AM842-AO842)</f>
        <v/>
      </c>
      <c r="AQ842" s="6">
        <f>IF(AP842&lt;=490,0,IF(AP842&lt;=600,(AP842-490)*0.05,IF(AP842&lt;=730,5.5+(AP842-600)*0.10,IF(AP842&lt;=3896.67,18.5+(AP842-730)*0.175,IF(AP842&lt;=19896.67,572.67+(AP842-3896.67)*0.25,IF(AP842&lt;=50416.67,4572.67+(AP842-19896.67)*0.30,13728.67+(AP842-50416.67)*0.35))))))</f>
        <v/>
      </c>
      <c r="AR842" s="6">
        <f>SUM(AM842,AQ842,W842,X842,Y842,Z842,AA842,AN842,AO842)</f>
        <v/>
      </c>
      <c r="AS842" s="6">
        <f>AL842-AR842</f>
        <v/>
      </c>
      <c r="AT842" s="6">
        <f>AB842-AC842</f>
        <v/>
      </c>
    </row>
    <row r="843">
      <c r="A843" s="2" t="n"/>
      <c r="B843" s="3" t="n"/>
      <c r="C843" s="4" t="n"/>
      <c r="D843" s="5" t="n"/>
      <c r="E843" s="3" t="n"/>
      <c r="F843" s="4" t="n"/>
      <c r="G843" s="5" t="n"/>
      <c r="H843" s="3" t="n"/>
      <c r="I843" s="4" t="n"/>
      <c r="J843" s="5" t="n"/>
      <c r="K843" s="3" t="n"/>
      <c r="L843" s="4" t="n"/>
      <c r="M843" s="5" t="n"/>
      <c r="N843" s="3" t="n"/>
      <c r="O843" s="4" t="n"/>
      <c r="P843" s="5" t="n"/>
      <c r="Q843" s="3" t="n"/>
      <c r="R843" s="4" t="n"/>
      <c r="S843" s="5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6">
        <f>IF(C843=0,0,IF(E843="",B843*D843/100,E843))</f>
        <v/>
      </c>
      <c r="AE843" s="6">
        <f>IF(F843=0,0,IF(H843="",B843*G843/100,H843))</f>
        <v/>
      </c>
      <c r="AF843" s="6">
        <f>IF(I843=0,0,IF(K843="",B843*J843/100,K843))</f>
        <v/>
      </c>
      <c r="AG843" s="6">
        <f>IF(L843=0,0,IF(N843="",B843*M843/100,N843))</f>
        <v/>
      </c>
      <c r="AH843" s="6">
        <f>IF(O843=0,0,IF(Q843="",B843*P843/100,Q843))</f>
        <v/>
      </c>
      <c r="AI843" s="6">
        <f>IF(R843=0,0,IF(T843="",B843*S843/100,T843))</f>
        <v/>
      </c>
      <c r="AJ843" s="6">
        <f>B843*0.035</f>
        <v/>
      </c>
      <c r="AK843" s="6">
        <f>B843*0.065</f>
        <v/>
      </c>
      <c r="AL843" s="6">
        <f>SUM(B843,AD843,AE843,AF843,AG843,AH843,AI843,U843,V843,AJ843,AK843)</f>
        <v/>
      </c>
      <c r="AM843" s="6">
        <f>B843*0.055</f>
        <v/>
      </c>
      <c r="AN843" s="6">
        <f>B843*0.035</f>
        <v/>
      </c>
      <c r="AO843" s="6">
        <f>B843*0.165</f>
        <v/>
      </c>
      <c r="AP843" s="6">
        <f>MAX(0,AL843-AM843-AO843)</f>
        <v/>
      </c>
      <c r="AQ843" s="6">
        <f>IF(AP843&lt;=490,0,IF(AP843&lt;=600,(AP843-490)*0.05,IF(AP843&lt;=730,5.5+(AP843-600)*0.10,IF(AP843&lt;=3896.67,18.5+(AP843-730)*0.175,IF(AP843&lt;=19896.67,572.67+(AP843-3896.67)*0.25,IF(AP843&lt;=50416.67,4572.67+(AP843-19896.67)*0.30,13728.67+(AP843-50416.67)*0.35))))))</f>
        <v/>
      </c>
      <c r="AR843" s="6">
        <f>SUM(AM843,AQ843,W843,X843,Y843,Z843,AA843,AN843,AO843)</f>
        <v/>
      </c>
      <c r="AS843" s="6">
        <f>AL843-AR843</f>
        <v/>
      </c>
      <c r="AT843" s="6">
        <f>AB843-AC843</f>
        <v/>
      </c>
    </row>
    <row r="844">
      <c r="A844" s="2" t="n"/>
      <c r="B844" s="3" t="n"/>
      <c r="C844" s="4" t="n"/>
      <c r="D844" s="5" t="n"/>
      <c r="E844" s="3" t="n"/>
      <c r="F844" s="4" t="n"/>
      <c r="G844" s="5" t="n"/>
      <c r="H844" s="3" t="n"/>
      <c r="I844" s="4" t="n"/>
      <c r="J844" s="5" t="n"/>
      <c r="K844" s="3" t="n"/>
      <c r="L844" s="4" t="n"/>
      <c r="M844" s="5" t="n"/>
      <c r="N844" s="3" t="n"/>
      <c r="O844" s="4" t="n"/>
      <c r="P844" s="5" t="n"/>
      <c r="Q844" s="3" t="n"/>
      <c r="R844" s="4" t="n"/>
      <c r="S844" s="5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6">
        <f>IF(C844=0,0,IF(E844="",B844*D844/100,E844))</f>
        <v/>
      </c>
      <c r="AE844" s="6">
        <f>IF(F844=0,0,IF(H844="",B844*G844/100,H844))</f>
        <v/>
      </c>
      <c r="AF844" s="6">
        <f>IF(I844=0,0,IF(K844="",B844*J844/100,K844))</f>
        <v/>
      </c>
      <c r="AG844" s="6">
        <f>IF(L844=0,0,IF(N844="",B844*M844/100,N844))</f>
        <v/>
      </c>
      <c r="AH844" s="6">
        <f>IF(O844=0,0,IF(Q844="",B844*P844/100,Q844))</f>
        <v/>
      </c>
      <c r="AI844" s="6">
        <f>IF(R844=0,0,IF(T844="",B844*S844/100,T844))</f>
        <v/>
      </c>
      <c r="AJ844" s="6">
        <f>B844*0.035</f>
        <v/>
      </c>
      <c r="AK844" s="6">
        <f>B844*0.065</f>
        <v/>
      </c>
      <c r="AL844" s="6">
        <f>SUM(B844,AD844,AE844,AF844,AG844,AH844,AI844,U844,V844,AJ844,AK844)</f>
        <v/>
      </c>
      <c r="AM844" s="6">
        <f>B844*0.055</f>
        <v/>
      </c>
      <c r="AN844" s="6">
        <f>B844*0.035</f>
        <v/>
      </c>
      <c r="AO844" s="6">
        <f>B844*0.165</f>
        <v/>
      </c>
      <c r="AP844" s="6">
        <f>MAX(0,AL844-AM844-AO844)</f>
        <v/>
      </c>
      <c r="AQ844" s="6">
        <f>IF(AP844&lt;=490,0,IF(AP844&lt;=600,(AP844-490)*0.05,IF(AP844&lt;=730,5.5+(AP844-600)*0.10,IF(AP844&lt;=3896.67,18.5+(AP844-730)*0.175,IF(AP844&lt;=19896.67,572.67+(AP844-3896.67)*0.25,IF(AP844&lt;=50416.67,4572.67+(AP844-19896.67)*0.30,13728.67+(AP844-50416.67)*0.35))))))</f>
        <v/>
      </c>
      <c r="AR844" s="6">
        <f>SUM(AM844,AQ844,W844,X844,Y844,Z844,AA844,AN844,AO844)</f>
        <v/>
      </c>
      <c r="AS844" s="6">
        <f>AL844-AR844</f>
        <v/>
      </c>
      <c r="AT844" s="6">
        <f>AB844-AC844</f>
        <v/>
      </c>
    </row>
    <row r="845">
      <c r="A845" s="2" t="n"/>
      <c r="B845" s="3" t="n"/>
      <c r="C845" s="4" t="n"/>
      <c r="D845" s="5" t="n"/>
      <c r="E845" s="3" t="n"/>
      <c r="F845" s="4" t="n"/>
      <c r="G845" s="5" t="n"/>
      <c r="H845" s="3" t="n"/>
      <c r="I845" s="4" t="n"/>
      <c r="J845" s="5" t="n"/>
      <c r="K845" s="3" t="n"/>
      <c r="L845" s="4" t="n"/>
      <c r="M845" s="5" t="n"/>
      <c r="N845" s="3" t="n"/>
      <c r="O845" s="4" t="n"/>
      <c r="P845" s="5" t="n"/>
      <c r="Q845" s="3" t="n"/>
      <c r="R845" s="4" t="n"/>
      <c r="S845" s="5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6">
        <f>IF(C845=0,0,IF(E845="",B845*D845/100,E845))</f>
        <v/>
      </c>
      <c r="AE845" s="6">
        <f>IF(F845=0,0,IF(H845="",B845*G845/100,H845))</f>
        <v/>
      </c>
      <c r="AF845" s="6">
        <f>IF(I845=0,0,IF(K845="",B845*J845/100,K845))</f>
        <v/>
      </c>
      <c r="AG845" s="6">
        <f>IF(L845=0,0,IF(N845="",B845*M845/100,N845))</f>
        <v/>
      </c>
      <c r="AH845" s="6">
        <f>IF(O845=0,0,IF(Q845="",B845*P845/100,Q845))</f>
        <v/>
      </c>
      <c r="AI845" s="6">
        <f>IF(R845=0,0,IF(T845="",B845*S845/100,T845))</f>
        <v/>
      </c>
      <c r="AJ845" s="6">
        <f>B845*0.035</f>
        <v/>
      </c>
      <c r="AK845" s="6">
        <f>B845*0.065</f>
        <v/>
      </c>
      <c r="AL845" s="6">
        <f>SUM(B845,AD845,AE845,AF845,AG845,AH845,AI845,U845,V845,AJ845,AK845)</f>
        <v/>
      </c>
      <c r="AM845" s="6">
        <f>B845*0.055</f>
        <v/>
      </c>
      <c r="AN845" s="6">
        <f>B845*0.035</f>
        <v/>
      </c>
      <c r="AO845" s="6">
        <f>B845*0.165</f>
        <v/>
      </c>
      <c r="AP845" s="6">
        <f>MAX(0,AL845-AM845-AO845)</f>
        <v/>
      </c>
      <c r="AQ845" s="6">
        <f>IF(AP845&lt;=490,0,IF(AP845&lt;=600,(AP845-490)*0.05,IF(AP845&lt;=730,5.5+(AP845-600)*0.10,IF(AP845&lt;=3896.67,18.5+(AP845-730)*0.175,IF(AP845&lt;=19896.67,572.67+(AP845-3896.67)*0.25,IF(AP845&lt;=50416.67,4572.67+(AP845-19896.67)*0.30,13728.67+(AP845-50416.67)*0.35))))))</f>
        <v/>
      </c>
      <c r="AR845" s="6">
        <f>SUM(AM845,AQ845,W845,X845,Y845,Z845,AA845,AN845,AO845)</f>
        <v/>
      </c>
      <c r="AS845" s="6">
        <f>AL845-AR845</f>
        <v/>
      </c>
      <c r="AT845" s="6">
        <f>AB845-AC845</f>
        <v/>
      </c>
    </row>
    <row r="846">
      <c r="A846" s="2" t="n"/>
      <c r="B846" s="3" t="n"/>
      <c r="C846" s="4" t="n"/>
      <c r="D846" s="5" t="n"/>
      <c r="E846" s="3" t="n"/>
      <c r="F846" s="4" t="n"/>
      <c r="G846" s="5" t="n"/>
      <c r="H846" s="3" t="n"/>
      <c r="I846" s="4" t="n"/>
      <c r="J846" s="5" t="n"/>
      <c r="K846" s="3" t="n"/>
      <c r="L846" s="4" t="n"/>
      <c r="M846" s="5" t="n"/>
      <c r="N846" s="3" t="n"/>
      <c r="O846" s="4" t="n"/>
      <c r="P846" s="5" t="n"/>
      <c r="Q846" s="3" t="n"/>
      <c r="R846" s="4" t="n"/>
      <c r="S846" s="5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6">
        <f>IF(C846=0,0,IF(E846="",B846*D846/100,E846))</f>
        <v/>
      </c>
      <c r="AE846" s="6">
        <f>IF(F846=0,0,IF(H846="",B846*G846/100,H846))</f>
        <v/>
      </c>
      <c r="AF846" s="6">
        <f>IF(I846=0,0,IF(K846="",B846*J846/100,K846))</f>
        <v/>
      </c>
      <c r="AG846" s="6">
        <f>IF(L846=0,0,IF(N846="",B846*M846/100,N846))</f>
        <v/>
      </c>
      <c r="AH846" s="6">
        <f>IF(O846=0,0,IF(Q846="",B846*P846/100,Q846))</f>
        <v/>
      </c>
      <c r="AI846" s="6">
        <f>IF(R846=0,0,IF(T846="",B846*S846/100,T846))</f>
        <v/>
      </c>
      <c r="AJ846" s="6">
        <f>B846*0.035</f>
        <v/>
      </c>
      <c r="AK846" s="6">
        <f>B846*0.065</f>
        <v/>
      </c>
      <c r="AL846" s="6">
        <f>SUM(B846,AD846,AE846,AF846,AG846,AH846,AI846,U846,V846,AJ846,AK846)</f>
        <v/>
      </c>
      <c r="AM846" s="6">
        <f>B846*0.055</f>
        <v/>
      </c>
      <c r="AN846" s="6">
        <f>B846*0.035</f>
        <v/>
      </c>
      <c r="AO846" s="6">
        <f>B846*0.165</f>
        <v/>
      </c>
      <c r="AP846" s="6">
        <f>MAX(0,AL846-AM846-AO846)</f>
        <v/>
      </c>
      <c r="AQ846" s="6">
        <f>IF(AP846&lt;=490,0,IF(AP846&lt;=600,(AP846-490)*0.05,IF(AP846&lt;=730,5.5+(AP846-600)*0.10,IF(AP846&lt;=3896.67,18.5+(AP846-730)*0.175,IF(AP846&lt;=19896.67,572.67+(AP846-3896.67)*0.25,IF(AP846&lt;=50416.67,4572.67+(AP846-19896.67)*0.30,13728.67+(AP846-50416.67)*0.35))))))</f>
        <v/>
      </c>
      <c r="AR846" s="6">
        <f>SUM(AM846,AQ846,W846,X846,Y846,Z846,AA846,AN846,AO846)</f>
        <v/>
      </c>
      <c r="AS846" s="6">
        <f>AL846-AR846</f>
        <v/>
      </c>
      <c r="AT846" s="6">
        <f>AB846-AC846</f>
        <v/>
      </c>
    </row>
    <row r="847">
      <c r="A847" s="2" t="n"/>
      <c r="B847" s="3" t="n"/>
      <c r="C847" s="4" t="n"/>
      <c r="D847" s="5" t="n"/>
      <c r="E847" s="3" t="n"/>
      <c r="F847" s="4" t="n"/>
      <c r="G847" s="5" t="n"/>
      <c r="H847" s="3" t="n"/>
      <c r="I847" s="4" t="n"/>
      <c r="J847" s="5" t="n"/>
      <c r="K847" s="3" t="n"/>
      <c r="L847" s="4" t="n"/>
      <c r="M847" s="5" t="n"/>
      <c r="N847" s="3" t="n"/>
      <c r="O847" s="4" t="n"/>
      <c r="P847" s="5" t="n"/>
      <c r="Q847" s="3" t="n"/>
      <c r="R847" s="4" t="n"/>
      <c r="S847" s="5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6">
        <f>IF(C847=0,0,IF(E847="",B847*D847/100,E847))</f>
        <v/>
      </c>
      <c r="AE847" s="6">
        <f>IF(F847=0,0,IF(H847="",B847*G847/100,H847))</f>
        <v/>
      </c>
      <c r="AF847" s="6">
        <f>IF(I847=0,0,IF(K847="",B847*J847/100,K847))</f>
        <v/>
      </c>
      <c r="AG847" s="6">
        <f>IF(L847=0,0,IF(N847="",B847*M847/100,N847))</f>
        <v/>
      </c>
      <c r="AH847" s="6">
        <f>IF(O847=0,0,IF(Q847="",B847*P847/100,Q847))</f>
        <v/>
      </c>
      <c r="AI847" s="6">
        <f>IF(R847=0,0,IF(T847="",B847*S847/100,T847))</f>
        <v/>
      </c>
      <c r="AJ847" s="6">
        <f>B847*0.035</f>
        <v/>
      </c>
      <c r="AK847" s="6">
        <f>B847*0.065</f>
        <v/>
      </c>
      <c r="AL847" s="6">
        <f>SUM(B847,AD847,AE847,AF847,AG847,AH847,AI847,U847,V847,AJ847,AK847)</f>
        <v/>
      </c>
      <c r="AM847" s="6">
        <f>B847*0.055</f>
        <v/>
      </c>
      <c r="AN847" s="6">
        <f>B847*0.035</f>
        <v/>
      </c>
      <c r="AO847" s="6">
        <f>B847*0.165</f>
        <v/>
      </c>
      <c r="AP847" s="6">
        <f>MAX(0,AL847-AM847-AO847)</f>
        <v/>
      </c>
      <c r="AQ847" s="6">
        <f>IF(AP847&lt;=490,0,IF(AP847&lt;=600,(AP847-490)*0.05,IF(AP847&lt;=730,5.5+(AP847-600)*0.10,IF(AP847&lt;=3896.67,18.5+(AP847-730)*0.175,IF(AP847&lt;=19896.67,572.67+(AP847-3896.67)*0.25,IF(AP847&lt;=50416.67,4572.67+(AP847-19896.67)*0.30,13728.67+(AP847-50416.67)*0.35))))))</f>
        <v/>
      </c>
      <c r="AR847" s="6">
        <f>SUM(AM847,AQ847,W847,X847,Y847,Z847,AA847,AN847,AO847)</f>
        <v/>
      </c>
      <c r="AS847" s="6">
        <f>AL847-AR847</f>
        <v/>
      </c>
      <c r="AT847" s="6">
        <f>AB847-AC847</f>
        <v/>
      </c>
    </row>
    <row r="848">
      <c r="A848" s="2" t="n"/>
      <c r="B848" s="3" t="n"/>
      <c r="C848" s="4" t="n"/>
      <c r="D848" s="5" t="n"/>
      <c r="E848" s="3" t="n"/>
      <c r="F848" s="4" t="n"/>
      <c r="G848" s="5" t="n"/>
      <c r="H848" s="3" t="n"/>
      <c r="I848" s="4" t="n"/>
      <c r="J848" s="5" t="n"/>
      <c r="K848" s="3" t="n"/>
      <c r="L848" s="4" t="n"/>
      <c r="M848" s="5" t="n"/>
      <c r="N848" s="3" t="n"/>
      <c r="O848" s="4" t="n"/>
      <c r="P848" s="5" t="n"/>
      <c r="Q848" s="3" t="n"/>
      <c r="R848" s="4" t="n"/>
      <c r="S848" s="5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6">
        <f>IF(C848=0,0,IF(E848="",B848*D848/100,E848))</f>
        <v/>
      </c>
      <c r="AE848" s="6">
        <f>IF(F848=0,0,IF(H848="",B848*G848/100,H848))</f>
        <v/>
      </c>
      <c r="AF848" s="6">
        <f>IF(I848=0,0,IF(K848="",B848*J848/100,K848))</f>
        <v/>
      </c>
      <c r="AG848" s="6">
        <f>IF(L848=0,0,IF(N848="",B848*M848/100,N848))</f>
        <v/>
      </c>
      <c r="AH848" s="6">
        <f>IF(O848=0,0,IF(Q848="",B848*P848/100,Q848))</f>
        <v/>
      </c>
      <c r="AI848" s="6">
        <f>IF(R848=0,0,IF(T848="",B848*S848/100,T848))</f>
        <v/>
      </c>
      <c r="AJ848" s="6">
        <f>B848*0.035</f>
        <v/>
      </c>
      <c r="AK848" s="6">
        <f>B848*0.065</f>
        <v/>
      </c>
      <c r="AL848" s="6">
        <f>SUM(B848,AD848,AE848,AF848,AG848,AH848,AI848,U848,V848,AJ848,AK848)</f>
        <v/>
      </c>
      <c r="AM848" s="6">
        <f>B848*0.055</f>
        <v/>
      </c>
      <c r="AN848" s="6">
        <f>B848*0.035</f>
        <v/>
      </c>
      <c r="AO848" s="6">
        <f>B848*0.165</f>
        <v/>
      </c>
      <c r="AP848" s="6">
        <f>MAX(0,AL848-AM848-AO848)</f>
        <v/>
      </c>
      <c r="AQ848" s="6">
        <f>IF(AP848&lt;=490,0,IF(AP848&lt;=600,(AP848-490)*0.05,IF(AP848&lt;=730,5.5+(AP848-600)*0.10,IF(AP848&lt;=3896.67,18.5+(AP848-730)*0.175,IF(AP848&lt;=19896.67,572.67+(AP848-3896.67)*0.25,IF(AP848&lt;=50416.67,4572.67+(AP848-19896.67)*0.30,13728.67+(AP848-50416.67)*0.35))))))</f>
        <v/>
      </c>
      <c r="AR848" s="6">
        <f>SUM(AM848,AQ848,W848,X848,Y848,Z848,AA848,AN848,AO848)</f>
        <v/>
      </c>
      <c r="AS848" s="6">
        <f>AL848-AR848</f>
        <v/>
      </c>
      <c r="AT848" s="6">
        <f>AB848-AC848</f>
        <v/>
      </c>
    </row>
    <row r="849">
      <c r="A849" s="2" t="n"/>
      <c r="B849" s="3" t="n"/>
      <c r="C849" s="4" t="n"/>
      <c r="D849" s="5" t="n"/>
      <c r="E849" s="3" t="n"/>
      <c r="F849" s="4" t="n"/>
      <c r="G849" s="5" t="n"/>
      <c r="H849" s="3" t="n"/>
      <c r="I849" s="4" t="n"/>
      <c r="J849" s="5" t="n"/>
      <c r="K849" s="3" t="n"/>
      <c r="L849" s="4" t="n"/>
      <c r="M849" s="5" t="n"/>
      <c r="N849" s="3" t="n"/>
      <c r="O849" s="4" t="n"/>
      <c r="P849" s="5" t="n"/>
      <c r="Q849" s="3" t="n"/>
      <c r="R849" s="4" t="n"/>
      <c r="S849" s="5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6">
        <f>IF(C849=0,0,IF(E849="",B849*D849/100,E849))</f>
        <v/>
      </c>
      <c r="AE849" s="6">
        <f>IF(F849=0,0,IF(H849="",B849*G849/100,H849))</f>
        <v/>
      </c>
      <c r="AF849" s="6">
        <f>IF(I849=0,0,IF(K849="",B849*J849/100,K849))</f>
        <v/>
      </c>
      <c r="AG849" s="6">
        <f>IF(L849=0,0,IF(N849="",B849*M849/100,N849))</f>
        <v/>
      </c>
      <c r="AH849" s="6">
        <f>IF(O849=0,0,IF(Q849="",B849*P849/100,Q849))</f>
        <v/>
      </c>
      <c r="AI849" s="6">
        <f>IF(R849=0,0,IF(T849="",B849*S849/100,T849))</f>
        <v/>
      </c>
      <c r="AJ849" s="6">
        <f>B849*0.035</f>
        <v/>
      </c>
      <c r="AK849" s="6">
        <f>B849*0.065</f>
        <v/>
      </c>
      <c r="AL849" s="6">
        <f>SUM(B849,AD849,AE849,AF849,AG849,AH849,AI849,U849,V849,AJ849,AK849)</f>
        <v/>
      </c>
      <c r="AM849" s="6">
        <f>B849*0.055</f>
        <v/>
      </c>
      <c r="AN849" s="6">
        <f>B849*0.035</f>
        <v/>
      </c>
      <c r="AO849" s="6">
        <f>B849*0.165</f>
        <v/>
      </c>
      <c r="AP849" s="6">
        <f>MAX(0,AL849-AM849-AO849)</f>
        <v/>
      </c>
      <c r="AQ849" s="6">
        <f>IF(AP849&lt;=490,0,IF(AP849&lt;=600,(AP849-490)*0.05,IF(AP849&lt;=730,5.5+(AP849-600)*0.10,IF(AP849&lt;=3896.67,18.5+(AP849-730)*0.175,IF(AP849&lt;=19896.67,572.67+(AP849-3896.67)*0.25,IF(AP849&lt;=50416.67,4572.67+(AP849-19896.67)*0.30,13728.67+(AP849-50416.67)*0.35))))))</f>
        <v/>
      </c>
      <c r="AR849" s="6">
        <f>SUM(AM849,AQ849,W849,X849,Y849,Z849,AA849,AN849,AO849)</f>
        <v/>
      </c>
      <c r="AS849" s="6">
        <f>AL849-AR849</f>
        <v/>
      </c>
      <c r="AT849" s="6">
        <f>AB849-AC849</f>
        <v/>
      </c>
    </row>
    <row r="850">
      <c r="A850" s="2" t="n"/>
      <c r="B850" s="3" t="n"/>
      <c r="C850" s="4" t="n"/>
      <c r="D850" s="5" t="n"/>
      <c r="E850" s="3" t="n"/>
      <c r="F850" s="4" t="n"/>
      <c r="G850" s="5" t="n"/>
      <c r="H850" s="3" t="n"/>
      <c r="I850" s="4" t="n"/>
      <c r="J850" s="5" t="n"/>
      <c r="K850" s="3" t="n"/>
      <c r="L850" s="4" t="n"/>
      <c r="M850" s="5" t="n"/>
      <c r="N850" s="3" t="n"/>
      <c r="O850" s="4" t="n"/>
      <c r="P850" s="5" t="n"/>
      <c r="Q850" s="3" t="n"/>
      <c r="R850" s="4" t="n"/>
      <c r="S850" s="5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6">
        <f>IF(C850=0,0,IF(E850="",B850*D850/100,E850))</f>
        <v/>
      </c>
      <c r="AE850" s="6">
        <f>IF(F850=0,0,IF(H850="",B850*G850/100,H850))</f>
        <v/>
      </c>
      <c r="AF850" s="6">
        <f>IF(I850=0,0,IF(K850="",B850*J850/100,K850))</f>
        <v/>
      </c>
      <c r="AG850" s="6">
        <f>IF(L850=0,0,IF(N850="",B850*M850/100,N850))</f>
        <v/>
      </c>
      <c r="AH850" s="6">
        <f>IF(O850=0,0,IF(Q850="",B850*P850/100,Q850))</f>
        <v/>
      </c>
      <c r="AI850" s="6">
        <f>IF(R850=0,0,IF(T850="",B850*S850/100,T850))</f>
        <v/>
      </c>
      <c r="AJ850" s="6">
        <f>B850*0.035</f>
        <v/>
      </c>
      <c r="AK850" s="6">
        <f>B850*0.065</f>
        <v/>
      </c>
      <c r="AL850" s="6">
        <f>SUM(B850,AD850,AE850,AF850,AG850,AH850,AI850,U850,V850,AJ850,AK850)</f>
        <v/>
      </c>
      <c r="AM850" s="6">
        <f>B850*0.055</f>
        <v/>
      </c>
      <c r="AN850" s="6">
        <f>B850*0.035</f>
        <v/>
      </c>
      <c r="AO850" s="6">
        <f>B850*0.165</f>
        <v/>
      </c>
      <c r="AP850" s="6">
        <f>MAX(0,AL850-AM850-AO850)</f>
        <v/>
      </c>
      <c r="AQ850" s="6">
        <f>IF(AP850&lt;=490,0,IF(AP850&lt;=600,(AP850-490)*0.05,IF(AP850&lt;=730,5.5+(AP850-600)*0.10,IF(AP850&lt;=3896.67,18.5+(AP850-730)*0.175,IF(AP850&lt;=19896.67,572.67+(AP850-3896.67)*0.25,IF(AP850&lt;=50416.67,4572.67+(AP850-19896.67)*0.30,13728.67+(AP850-50416.67)*0.35))))))</f>
        <v/>
      </c>
      <c r="AR850" s="6">
        <f>SUM(AM850,AQ850,W850,X850,Y850,Z850,AA850,AN850,AO850)</f>
        <v/>
      </c>
      <c r="AS850" s="6">
        <f>AL850-AR850</f>
        <v/>
      </c>
      <c r="AT850" s="6">
        <f>AB850-AC850</f>
        <v/>
      </c>
    </row>
    <row r="851">
      <c r="A851" s="2" t="n"/>
      <c r="B851" s="3" t="n"/>
      <c r="C851" s="4" t="n"/>
      <c r="D851" s="5" t="n"/>
      <c r="E851" s="3" t="n"/>
      <c r="F851" s="4" t="n"/>
      <c r="G851" s="5" t="n"/>
      <c r="H851" s="3" t="n"/>
      <c r="I851" s="4" t="n"/>
      <c r="J851" s="5" t="n"/>
      <c r="K851" s="3" t="n"/>
      <c r="L851" s="4" t="n"/>
      <c r="M851" s="5" t="n"/>
      <c r="N851" s="3" t="n"/>
      <c r="O851" s="4" t="n"/>
      <c r="P851" s="5" t="n"/>
      <c r="Q851" s="3" t="n"/>
      <c r="R851" s="4" t="n"/>
      <c r="S851" s="5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6">
        <f>IF(C851=0,0,IF(E851="",B851*D851/100,E851))</f>
        <v/>
      </c>
      <c r="AE851" s="6">
        <f>IF(F851=0,0,IF(H851="",B851*G851/100,H851))</f>
        <v/>
      </c>
      <c r="AF851" s="6">
        <f>IF(I851=0,0,IF(K851="",B851*J851/100,K851))</f>
        <v/>
      </c>
      <c r="AG851" s="6">
        <f>IF(L851=0,0,IF(N851="",B851*M851/100,N851))</f>
        <v/>
      </c>
      <c r="AH851" s="6">
        <f>IF(O851=0,0,IF(Q851="",B851*P851/100,Q851))</f>
        <v/>
      </c>
      <c r="AI851" s="6">
        <f>IF(R851=0,0,IF(T851="",B851*S851/100,T851))</f>
        <v/>
      </c>
      <c r="AJ851" s="6">
        <f>B851*0.035</f>
        <v/>
      </c>
      <c r="AK851" s="6">
        <f>B851*0.065</f>
        <v/>
      </c>
      <c r="AL851" s="6">
        <f>SUM(B851,AD851,AE851,AF851,AG851,AH851,AI851,U851,V851,AJ851,AK851)</f>
        <v/>
      </c>
      <c r="AM851" s="6">
        <f>B851*0.055</f>
        <v/>
      </c>
      <c r="AN851" s="6">
        <f>B851*0.035</f>
        <v/>
      </c>
      <c r="AO851" s="6">
        <f>B851*0.165</f>
        <v/>
      </c>
      <c r="AP851" s="6">
        <f>MAX(0,AL851-AM851-AO851)</f>
        <v/>
      </c>
      <c r="AQ851" s="6">
        <f>IF(AP851&lt;=490,0,IF(AP851&lt;=600,(AP851-490)*0.05,IF(AP851&lt;=730,5.5+(AP851-600)*0.10,IF(AP851&lt;=3896.67,18.5+(AP851-730)*0.175,IF(AP851&lt;=19896.67,572.67+(AP851-3896.67)*0.25,IF(AP851&lt;=50416.67,4572.67+(AP851-19896.67)*0.30,13728.67+(AP851-50416.67)*0.35))))))</f>
        <v/>
      </c>
      <c r="AR851" s="6">
        <f>SUM(AM851,AQ851,W851,X851,Y851,Z851,AA851,AN851,AO851)</f>
        <v/>
      </c>
      <c r="AS851" s="6">
        <f>AL851-AR851</f>
        <v/>
      </c>
      <c r="AT851" s="6">
        <f>AB851-AC851</f>
        <v/>
      </c>
    </row>
    <row r="852">
      <c r="A852" s="2" t="n"/>
      <c r="B852" s="3" t="n"/>
      <c r="C852" s="4" t="n"/>
      <c r="D852" s="5" t="n"/>
      <c r="E852" s="3" t="n"/>
      <c r="F852" s="4" t="n"/>
      <c r="G852" s="5" t="n"/>
      <c r="H852" s="3" t="n"/>
      <c r="I852" s="4" t="n"/>
      <c r="J852" s="5" t="n"/>
      <c r="K852" s="3" t="n"/>
      <c r="L852" s="4" t="n"/>
      <c r="M852" s="5" t="n"/>
      <c r="N852" s="3" t="n"/>
      <c r="O852" s="4" t="n"/>
      <c r="P852" s="5" t="n"/>
      <c r="Q852" s="3" t="n"/>
      <c r="R852" s="4" t="n"/>
      <c r="S852" s="5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6">
        <f>IF(C852=0,0,IF(E852="",B852*D852/100,E852))</f>
        <v/>
      </c>
      <c r="AE852" s="6">
        <f>IF(F852=0,0,IF(H852="",B852*G852/100,H852))</f>
        <v/>
      </c>
      <c r="AF852" s="6">
        <f>IF(I852=0,0,IF(K852="",B852*J852/100,K852))</f>
        <v/>
      </c>
      <c r="AG852" s="6">
        <f>IF(L852=0,0,IF(N852="",B852*M852/100,N852))</f>
        <v/>
      </c>
      <c r="AH852" s="6">
        <f>IF(O852=0,0,IF(Q852="",B852*P852/100,Q852))</f>
        <v/>
      </c>
      <c r="AI852" s="6">
        <f>IF(R852=0,0,IF(T852="",B852*S852/100,T852))</f>
        <v/>
      </c>
      <c r="AJ852" s="6">
        <f>B852*0.035</f>
        <v/>
      </c>
      <c r="AK852" s="6">
        <f>B852*0.065</f>
        <v/>
      </c>
      <c r="AL852" s="6">
        <f>SUM(B852,AD852,AE852,AF852,AG852,AH852,AI852,U852,V852,AJ852,AK852)</f>
        <v/>
      </c>
      <c r="AM852" s="6">
        <f>B852*0.055</f>
        <v/>
      </c>
      <c r="AN852" s="6">
        <f>B852*0.035</f>
        <v/>
      </c>
      <c r="AO852" s="6">
        <f>B852*0.165</f>
        <v/>
      </c>
      <c r="AP852" s="6">
        <f>MAX(0,AL852-AM852-AO852)</f>
        <v/>
      </c>
      <c r="AQ852" s="6">
        <f>IF(AP852&lt;=490,0,IF(AP852&lt;=600,(AP852-490)*0.05,IF(AP852&lt;=730,5.5+(AP852-600)*0.10,IF(AP852&lt;=3896.67,18.5+(AP852-730)*0.175,IF(AP852&lt;=19896.67,572.67+(AP852-3896.67)*0.25,IF(AP852&lt;=50416.67,4572.67+(AP852-19896.67)*0.30,13728.67+(AP852-50416.67)*0.35))))))</f>
        <v/>
      </c>
      <c r="AR852" s="6">
        <f>SUM(AM852,AQ852,W852,X852,Y852,Z852,AA852,AN852,AO852)</f>
        <v/>
      </c>
      <c r="AS852" s="6">
        <f>AL852-AR852</f>
        <v/>
      </c>
      <c r="AT852" s="6">
        <f>AB852-AC852</f>
        <v/>
      </c>
    </row>
    <row r="853">
      <c r="A853" s="2" t="n"/>
      <c r="B853" s="3" t="n"/>
      <c r="C853" s="4" t="n"/>
      <c r="D853" s="5" t="n"/>
      <c r="E853" s="3" t="n"/>
      <c r="F853" s="4" t="n"/>
      <c r="G853" s="5" t="n"/>
      <c r="H853" s="3" t="n"/>
      <c r="I853" s="4" t="n"/>
      <c r="J853" s="5" t="n"/>
      <c r="K853" s="3" t="n"/>
      <c r="L853" s="4" t="n"/>
      <c r="M853" s="5" t="n"/>
      <c r="N853" s="3" t="n"/>
      <c r="O853" s="4" t="n"/>
      <c r="P853" s="5" t="n"/>
      <c r="Q853" s="3" t="n"/>
      <c r="R853" s="4" t="n"/>
      <c r="S853" s="5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6">
        <f>IF(C853=0,0,IF(E853="",B853*D853/100,E853))</f>
        <v/>
      </c>
      <c r="AE853" s="6">
        <f>IF(F853=0,0,IF(H853="",B853*G853/100,H853))</f>
        <v/>
      </c>
      <c r="AF853" s="6">
        <f>IF(I853=0,0,IF(K853="",B853*J853/100,K853))</f>
        <v/>
      </c>
      <c r="AG853" s="6">
        <f>IF(L853=0,0,IF(N853="",B853*M853/100,N853))</f>
        <v/>
      </c>
      <c r="AH853" s="6">
        <f>IF(O853=0,0,IF(Q853="",B853*P853/100,Q853))</f>
        <v/>
      </c>
      <c r="AI853" s="6">
        <f>IF(R853=0,0,IF(T853="",B853*S853/100,T853))</f>
        <v/>
      </c>
      <c r="AJ853" s="6">
        <f>B853*0.035</f>
        <v/>
      </c>
      <c r="AK853" s="6">
        <f>B853*0.065</f>
        <v/>
      </c>
      <c r="AL853" s="6">
        <f>SUM(B853,AD853,AE853,AF853,AG853,AH853,AI853,U853,V853,AJ853,AK853)</f>
        <v/>
      </c>
      <c r="AM853" s="6">
        <f>B853*0.055</f>
        <v/>
      </c>
      <c r="AN853" s="6">
        <f>B853*0.035</f>
        <v/>
      </c>
      <c r="AO853" s="6">
        <f>B853*0.165</f>
        <v/>
      </c>
      <c r="AP853" s="6">
        <f>MAX(0,AL853-AM853-AO853)</f>
        <v/>
      </c>
      <c r="AQ853" s="6">
        <f>IF(AP853&lt;=490,0,IF(AP853&lt;=600,(AP853-490)*0.05,IF(AP853&lt;=730,5.5+(AP853-600)*0.10,IF(AP853&lt;=3896.67,18.5+(AP853-730)*0.175,IF(AP853&lt;=19896.67,572.67+(AP853-3896.67)*0.25,IF(AP853&lt;=50416.67,4572.67+(AP853-19896.67)*0.30,13728.67+(AP853-50416.67)*0.35))))))</f>
        <v/>
      </c>
      <c r="AR853" s="6">
        <f>SUM(AM853,AQ853,W853,X853,Y853,Z853,AA853,AN853,AO853)</f>
        <v/>
      </c>
      <c r="AS853" s="6">
        <f>AL853-AR853</f>
        <v/>
      </c>
      <c r="AT853" s="6">
        <f>AB853-AC853</f>
        <v/>
      </c>
    </row>
    <row r="854">
      <c r="A854" s="2" t="n"/>
      <c r="B854" s="3" t="n"/>
      <c r="C854" s="4" t="n"/>
      <c r="D854" s="5" t="n"/>
      <c r="E854" s="3" t="n"/>
      <c r="F854" s="4" t="n"/>
      <c r="G854" s="5" t="n"/>
      <c r="H854" s="3" t="n"/>
      <c r="I854" s="4" t="n"/>
      <c r="J854" s="5" t="n"/>
      <c r="K854" s="3" t="n"/>
      <c r="L854" s="4" t="n"/>
      <c r="M854" s="5" t="n"/>
      <c r="N854" s="3" t="n"/>
      <c r="O854" s="4" t="n"/>
      <c r="P854" s="5" t="n"/>
      <c r="Q854" s="3" t="n"/>
      <c r="R854" s="4" t="n"/>
      <c r="S854" s="5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6">
        <f>IF(C854=0,0,IF(E854="",B854*D854/100,E854))</f>
        <v/>
      </c>
      <c r="AE854" s="6">
        <f>IF(F854=0,0,IF(H854="",B854*G854/100,H854))</f>
        <v/>
      </c>
      <c r="AF854" s="6">
        <f>IF(I854=0,0,IF(K854="",B854*J854/100,K854))</f>
        <v/>
      </c>
      <c r="AG854" s="6">
        <f>IF(L854=0,0,IF(N854="",B854*M854/100,N854))</f>
        <v/>
      </c>
      <c r="AH854" s="6">
        <f>IF(O854=0,0,IF(Q854="",B854*P854/100,Q854))</f>
        <v/>
      </c>
      <c r="AI854" s="6">
        <f>IF(R854=0,0,IF(T854="",B854*S854/100,T854))</f>
        <v/>
      </c>
      <c r="AJ854" s="6">
        <f>B854*0.035</f>
        <v/>
      </c>
      <c r="AK854" s="6">
        <f>B854*0.065</f>
        <v/>
      </c>
      <c r="AL854" s="6">
        <f>SUM(B854,AD854,AE854,AF854,AG854,AH854,AI854,U854,V854,AJ854,AK854)</f>
        <v/>
      </c>
      <c r="AM854" s="6">
        <f>B854*0.055</f>
        <v/>
      </c>
      <c r="AN854" s="6">
        <f>B854*0.035</f>
        <v/>
      </c>
      <c r="AO854" s="6">
        <f>B854*0.165</f>
        <v/>
      </c>
      <c r="AP854" s="6">
        <f>MAX(0,AL854-AM854-AO854)</f>
        <v/>
      </c>
      <c r="AQ854" s="6">
        <f>IF(AP854&lt;=490,0,IF(AP854&lt;=600,(AP854-490)*0.05,IF(AP854&lt;=730,5.5+(AP854-600)*0.10,IF(AP854&lt;=3896.67,18.5+(AP854-730)*0.175,IF(AP854&lt;=19896.67,572.67+(AP854-3896.67)*0.25,IF(AP854&lt;=50416.67,4572.67+(AP854-19896.67)*0.30,13728.67+(AP854-50416.67)*0.35))))))</f>
        <v/>
      </c>
      <c r="AR854" s="6">
        <f>SUM(AM854,AQ854,W854,X854,Y854,Z854,AA854,AN854,AO854)</f>
        <v/>
      </c>
      <c r="AS854" s="6">
        <f>AL854-AR854</f>
        <v/>
      </c>
      <c r="AT854" s="6">
        <f>AB854-AC854</f>
        <v/>
      </c>
    </row>
    <row r="855">
      <c r="A855" s="2" t="n"/>
      <c r="B855" s="3" t="n"/>
      <c r="C855" s="4" t="n"/>
      <c r="D855" s="5" t="n"/>
      <c r="E855" s="3" t="n"/>
      <c r="F855" s="4" t="n"/>
      <c r="G855" s="5" t="n"/>
      <c r="H855" s="3" t="n"/>
      <c r="I855" s="4" t="n"/>
      <c r="J855" s="5" t="n"/>
      <c r="K855" s="3" t="n"/>
      <c r="L855" s="4" t="n"/>
      <c r="M855" s="5" t="n"/>
      <c r="N855" s="3" t="n"/>
      <c r="O855" s="4" t="n"/>
      <c r="P855" s="5" t="n"/>
      <c r="Q855" s="3" t="n"/>
      <c r="R855" s="4" t="n"/>
      <c r="S855" s="5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6">
        <f>IF(C855=0,0,IF(E855="",B855*D855/100,E855))</f>
        <v/>
      </c>
      <c r="AE855" s="6">
        <f>IF(F855=0,0,IF(H855="",B855*G855/100,H855))</f>
        <v/>
      </c>
      <c r="AF855" s="6">
        <f>IF(I855=0,0,IF(K855="",B855*J855/100,K855))</f>
        <v/>
      </c>
      <c r="AG855" s="6">
        <f>IF(L855=0,0,IF(N855="",B855*M855/100,N855))</f>
        <v/>
      </c>
      <c r="AH855" s="6">
        <f>IF(O855=0,0,IF(Q855="",B855*P855/100,Q855))</f>
        <v/>
      </c>
      <c r="AI855" s="6">
        <f>IF(R855=0,0,IF(T855="",B855*S855/100,T855))</f>
        <v/>
      </c>
      <c r="AJ855" s="6">
        <f>B855*0.035</f>
        <v/>
      </c>
      <c r="AK855" s="6">
        <f>B855*0.065</f>
        <v/>
      </c>
      <c r="AL855" s="6">
        <f>SUM(B855,AD855,AE855,AF855,AG855,AH855,AI855,U855,V855,AJ855,AK855)</f>
        <v/>
      </c>
      <c r="AM855" s="6">
        <f>B855*0.055</f>
        <v/>
      </c>
      <c r="AN855" s="6">
        <f>B855*0.035</f>
        <v/>
      </c>
      <c r="AO855" s="6">
        <f>B855*0.165</f>
        <v/>
      </c>
      <c r="AP855" s="6">
        <f>MAX(0,AL855-AM855-AO855)</f>
        <v/>
      </c>
      <c r="AQ855" s="6">
        <f>IF(AP855&lt;=490,0,IF(AP855&lt;=600,(AP855-490)*0.05,IF(AP855&lt;=730,5.5+(AP855-600)*0.10,IF(AP855&lt;=3896.67,18.5+(AP855-730)*0.175,IF(AP855&lt;=19896.67,572.67+(AP855-3896.67)*0.25,IF(AP855&lt;=50416.67,4572.67+(AP855-19896.67)*0.30,13728.67+(AP855-50416.67)*0.35))))))</f>
        <v/>
      </c>
      <c r="AR855" s="6">
        <f>SUM(AM855,AQ855,W855,X855,Y855,Z855,AA855,AN855,AO855)</f>
        <v/>
      </c>
      <c r="AS855" s="6">
        <f>AL855-AR855</f>
        <v/>
      </c>
      <c r="AT855" s="6">
        <f>AB855-AC855</f>
        <v/>
      </c>
    </row>
    <row r="856">
      <c r="A856" s="2" t="n"/>
      <c r="B856" s="3" t="n"/>
      <c r="C856" s="4" t="n"/>
      <c r="D856" s="5" t="n"/>
      <c r="E856" s="3" t="n"/>
      <c r="F856" s="4" t="n"/>
      <c r="G856" s="5" t="n"/>
      <c r="H856" s="3" t="n"/>
      <c r="I856" s="4" t="n"/>
      <c r="J856" s="5" t="n"/>
      <c r="K856" s="3" t="n"/>
      <c r="L856" s="4" t="n"/>
      <c r="M856" s="5" t="n"/>
      <c r="N856" s="3" t="n"/>
      <c r="O856" s="4" t="n"/>
      <c r="P856" s="5" t="n"/>
      <c r="Q856" s="3" t="n"/>
      <c r="R856" s="4" t="n"/>
      <c r="S856" s="5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6">
        <f>IF(C856=0,0,IF(E856="",B856*D856/100,E856))</f>
        <v/>
      </c>
      <c r="AE856" s="6">
        <f>IF(F856=0,0,IF(H856="",B856*G856/100,H856))</f>
        <v/>
      </c>
      <c r="AF856" s="6">
        <f>IF(I856=0,0,IF(K856="",B856*J856/100,K856))</f>
        <v/>
      </c>
      <c r="AG856" s="6">
        <f>IF(L856=0,0,IF(N856="",B856*M856/100,N856))</f>
        <v/>
      </c>
      <c r="AH856" s="6">
        <f>IF(O856=0,0,IF(Q856="",B856*P856/100,Q856))</f>
        <v/>
      </c>
      <c r="AI856" s="6">
        <f>IF(R856=0,0,IF(T856="",B856*S856/100,T856))</f>
        <v/>
      </c>
      <c r="AJ856" s="6">
        <f>B856*0.035</f>
        <v/>
      </c>
      <c r="AK856" s="6">
        <f>B856*0.065</f>
        <v/>
      </c>
      <c r="AL856" s="6">
        <f>SUM(B856,AD856,AE856,AF856,AG856,AH856,AI856,U856,V856,AJ856,AK856)</f>
        <v/>
      </c>
      <c r="AM856" s="6">
        <f>B856*0.055</f>
        <v/>
      </c>
      <c r="AN856" s="6">
        <f>B856*0.035</f>
        <v/>
      </c>
      <c r="AO856" s="6">
        <f>B856*0.165</f>
        <v/>
      </c>
      <c r="AP856" s="6">
        <f>MAX(0,AL856-AM856-AO856)</f>
        <v/>
      </c>
      <c r="AQ856" s="6">
        <f>IF(AP856&lt;=490,0,IF(AP856&lt;=600,(AP856-490)*0.05,IF(AP856&lt;=730,5.5+(AP856-600)*0.10,IF(AP856&lt;=3896.67,18.5+(AP856-730)*0.175,IF(AP856&lt;=19896.67,572.67+(AP856-3896.67)*0.25,IF(AP856&lt;=50416.67,4572.67+(AP856-19896.67)*0.30,13728.67+(AP856-50416.67)*0.35))))))</f>
        <v/>
      </c>
      <c r="AR856" s="6">
        <f>SUM(AM856,AQ856,W856,X856,Y856,Z856,AA856,AN856,AO856)</f>
        <v/>
      </c>
      <c r="AS856" s="6">
        <f>AL856-AR856</f>
        <v/>
      </c>
      <c r="AT856" s="6">
        <f>AB856-AC856</f>
        <v/>
      </c>
    </row>
    <row r="857">
      <c r="A857" s="2" t="n"/>
      <c r="B857" s="3" t="n"/>
      <c r="C857" s="4" t="n"/>
      <c r="D857" s="5" t="n"/>
      <c r="E857" s="3" t="n"/>
      <c r="F857" s="4" t="n"/>
      <c r="G857" s="5" t="n"/>
      <c r="H857" s="3" t="n"/>
      <c r="I857" s="4" t="n"/>
      <c r="J857" s="5" t="n"/>
      <c r="K857" s="3" t="n"/>
      <c r="L857" s="4" t="n"/>
      <c r="M857" s="5" t="n"/>
      <c r="N857" s="3" t="n"/>
      <c r="O857" s="4" t="n"/>
      <c r="P857" s="5" t="n"/>
      <c r="Q857" s="3" t="n"/>
      <c r="R857" s="4" t="n"/>
      <c r="S857" s="5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6">
        <f>IF(C857=0,0,IF(E857="",B857*D857/100,E857))</f>
        <v/>
      </c>
      <c r="AE857" s="6">
        <f>IF(F857=0,0,IF(H857="",B857*G857/100,H857))</f>
        <v/>
      </c>
      <c r="AF857" s="6">
        <f>IF(I857=0,0,IF(K857="",B857*J857/100,K857))</f>
        <v/>
      </c>
      <c r="AG857" s="6">
        <f>IF(L857=0,0,IF(N857="",B857*M857/100,N857))</f>
        <v/>
      </c>
      <c r="AH857" s="6">
        <f>IF(O857=0,0,IF(Q857="",B857*P857/100,Q857))</f>
        <v/>
      </c>
      <c r="AI857" s="6">
        <f>IF(R857=0,0,IF(T857="",B857*S857/100,T857))</f>
        <v/>
      </c>
      <c r="AJ857" s="6">
        <f>B857*0.035</f>
        <v/>
      </c>
      <c r="AK857" s="6">
        <f>B857*0.065</f>
        <v/>
      </c>
      <c r="AL857" s="6">
        <f>SUM(B857,AD857,AE857,AF857,AG857,AH857,AI857,U857,V857,AJ857,AK857)</f>
        <v/>
      </c>
      <c r="AM857" s="6">
        <f>B857*0.055</f>
        <v/>
      </c>
      <c r="AN857" s="6">
        <f>B857*0.035</f>
        <v/>
      </c>
      <c r="AO857" s="6">
        <f>B857*0.165</f>
        <v/>
      </c>
      <c r="AP857" s="6">
        <f>MAX(0,AL857-AM857-AO857)</f>
        <v/>
      </c>
      <c r="AQ857" s="6">
        <f>IF(AP857&lt;=490,0,IF(AP857&lt;=600,(AP857-490)*0.05,IF(AP857&lt;=730,5.5+(AP857-600)*0.10,IF(AP857&lt;=3896.67,18.5+(AP857-730)*0.175,IF(AP857&lt;=19896.67,572.67+(AP857-3896.67)*0.25,IF(AP857&lt;=50416.67,4572.67+(AP857-19896.67)*0.30,13728.67+(AP857-50416.67)*0.35))))))</f>
        <v/>
      </c>
      <c r="AR857" s="6">
        <f>SUM(AM857,AQ857,W857,X857,Y857,Z857,AA857,AN857,AO857)</f>
        <v/>
      </c>
      <c r="AS857" s="6">
        <f>AL857-AR857</f>
        <v/>
      </c>
      <c r="AT857" s="6">
        <f>AB857-AC857</f>
        <v/>
      </c>
    </row>
    <row r="858">
      <c r="A858" s="2" t="n"/>
      <c r="B858" s="3" t="n"/>
      <c r="C858" s="4" t="n"/>
      <c r="D858" s="5" t="n"/>
      <c r="E858" s="3" t="n"/>
      <c r="F858" s="4" t="n"/>
      <c r="G858" s="5" t="n"/>
      <c r="H858" s="3" t="n"/>
      <c r="I858" s="4" t="n"/>
      <c r="J858" s="5" t="n"/>
      <c r="K858" s="3" t="n"/>
      <c r="L858" s="4" t="n"/>
      <c r="M858" s="5" t="n"/>
      <c r="N858" s="3" t="n"/>
      <c r="O858" s="4" t="n"/>
      <c r="P858" s="5" t="n"/>
      <c r="Q858" s="3" t="n"/>
      <c r="R858" s="4" t="n"/>
      <c r="S858" s="5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6">
        <f>IF(C858=0,0,IF(E858="",B858*D858/100,E858))</f>
        <v/>
      </c>
      <c r="AE858" s="6">
        <f>IF(F858=0,0,IF(H858="",B858*G858/100,H858))</f>
        <v/>
      </c>
      <c r="AF858" s="6">
        <f>IF(I858=0,0,IF(K858="",B858*J858/100,K858))</f>
        <v/>
      </c>
      <c r="AG858" s="6">
        <f>IF(L858=0,0,IF(N858="",B858*M858/100,N858))</f>
        <v/>
      </c>
      <c r="AH858" s="6">
        <f>IF(O858=0,0,IF(Q858="",B858*P858/100,Q858))</f>
        <v/>
      </c>
      <c r="AI858" s="6">
        <f>IF(R858=0,0,IF(T858="",B858*S858/100,T858))</f>
        <v/>
      </c>
      <c r="AJ858" s="6">
        <f>B858*0.035</f>
        <v/>
      </c>
      <c r="AK858" s="6">
        <f>B858*0.065</f>
        <v/>
      </c>
      <c r="AL858" s="6">
        <f>SUM(B858,AD858,AE858,AF858,AG858,AH858,AI858,U858,V858,AJ858,AK858)</f>
        <v/>
      </c>
      <c r="AM858" s="6">
        <f>B858*0.055</f>
        <v/>
      </c>
      <c r="AN858" s="6">
        <f>B858*0.035</f>
        <v/>
      </c>
      <c r="AO858" s="6">
        <f>B858*0.165</f>
        <v/>
      </c>
      <c r="AP858" s="6">
        <f>MAX(0,AL858-AM858-AO858)</f>
        <v/>
      </c>
      <c r="AQ858" s="6">
        <f>IF(AP858&lt;=490,0,IF(AP858&lt;=600,(AP858-490)*0.05,IF(AP858&lt;=730,5.5+(AP858-600)*0.10,IF(AP858&lt;=3896.67,18.5+(AP858-730)*0.175,IF(AP858&lt;=19896.67,572.67+(AP858-3896.67)*0.25,IF(AP858&lt;=50416.67,4572.67+(AP858-19896.67)*0.30,13728.67+(AP858-50416.67)*0.35))))))</f>
        <v/>
      </c>
      <c r="AR858" s="6">
        <f>SUM(AM858,AQ858,W858,X858,Y858,Z858,AA858,AN858,AO858)</f>
        <v/>
      </c>
      <c r="AS858" s="6">
        <f>AL858-AR858</f>
        <v/>
      </c>
      <c r="AT858" s="6">
        <f>AB858-AC858</f>
        <v/>
      </c>
    </row>
    <row r="859">
      <c r="A859" s="2" t="n"/>
      <c r="B859" s="3" t="n"/>
      <c r="C859" s="4" t="n"/>
      <c r="D859" s="5" t="n"/>
      <c r="E859" s="3" t="n"/>
      <c r="F859" s="4" t="n"/>
      <c r="G859" s="5" t="n"/>
      <c r="H859" s="3" t="n"/>
      <c r="I859" s="4" t="n"/>
      <c r="J859" s="5" t="n"/>
      <c r="K859" s="3" t="n"/>
      <c r="L859" s="4" t="n"/>
      <c r="M859" s="5" t="n"/>
      <c r="N859" s="3" t="n"/>
      <c r="O859" s="4" t="n"/>
      <c r="P859" s="5" t="n"/>
      <c r="Q859" s="3" t="n"/>
      <c r="R859" s="4" t="n"/>
      <c r="S859" s="5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6">
        <f>IF(C859=0,0,IF(E859="",B859*D859/100,E859))</f>
        <v/>
      </c>
      <c r="AE859" s="6">
        <f>IF(F859=0,0,IF(H859="",B859*G859/100,H859))</f>
        <v/>
      </c>
      <c r="AF859" s="6">
        <f>IF(I859=0,0,IF(K859="",B859*J859/100,K859))</f>
        <v/>
      </c>
      <c r="AG859" s="6">
        <f>IF(L859=0,0,IF(N859="",B859*M859/100,N859))</f>
        <v/>
      </c>
      <c r="AH859" s="6">
        <f>IF(O859=0,0,IF(Q859="",B859*P859/100,Q859))</f>
        <v/>
      </c>
      <c r="AI859" s="6">
        <f>IF(R859=0,0,IF(T859="",B859*S859/100,T859))</f>
        <v/>
      </c>
      <c r="AJ859" s="6">
        <f>B859*0.035</f>
        <v/>
      </c>
      <c r="AK859" s="6">
        <f>B859*0.065</f>
        <v/>
      </c>
      <c r="AL859" s="6">
        <f>SUM(B859,AD859,AE859,AF859,AG859,AH859,AI859,U859,V859,AJ859,AK859)</f>
        <v/>
      </c>
      <c r="AM859" s="6">
        <f>B859*0.055</f>
        <v/>
      </c>
      <c r="AN859" s="6">
        <f>B859*0.035</f>
        <v/>
      </c>
      <c r="AO859" s="6">
        <f>B859*0.165</f>
        <v/>
      </c>
      <c r="AP859" s="6">
        <f>MAX(0,AL859-AM859-AO859)</f>
        <v/>
      </c>
      <c r="AQ859" s="6">
        <f>IF(AP859&lt;=490,0,IF(AP859&lt;=600,(AP859-490)*0.05,IF(AP859&lt;=730,5.5+(AP859-600)*0.10,IF(AP859&lt;=3896.67,18.5+(AP859-730)*0.175,IF(AP859&lt;=19896.67,572.67+(AP859-3896.67)*0.25,IF(AP859&lt;=50416.67,4572.67+(AP859-19896.67)*0.30,13728.67+(AP859-50416.67)*0.35))))))</f>
        <v/>
      </c>
      <c r="AR859" s="6">
        <f>SUM(AM859,AQ859,W859,X859,Y859,Z859,AA859,AN859,AO859)</f>
        <v/>
      </c>
      <c r="AS859" s="6">
        <f>AL859-AR859</f>
        <v/>
      </c>
      <c r="AT859" s="6">
        <f>AB859-AC859</f>
        <v/>
      </c>
    </row>
    <row r="860">
      <c r="A860" s="2" t="n"/>
      <c r="B860" s="3" t="n"/>
      <c r="C860" s="4" t="n"/>
      <c r="D860" s="5" t="n"/>
      <c r="E860" s="3" t="n"/>
      <c r="F860" s="4" t="n"/>
      <c r="G860" s="5" t="n"/>
      <c r="H860" s="3" t="n"/>
      <c r="I860" s="4" t="n"/>
      <c r="J860" s="5" t="n"/>
      <c r="K860" s="3" t="n"/>
      <c r="L860" s="4" t="n"/>
      <c r="M860" s="5" t="n"/>
      <c r="N860" s="3" t="n"/>
      <c r="O860" s="4" t="n"/>
      <c r="P860" s="5" t="n"/>
      <c r="Q860" s="3" t="n"/>
      <c r="R860" s="4" t="n"/>
      <c r="S860" s="5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6">
        <f>IF(C860=0,0,IF(E860="",B860*D860/100,E860))</f>
        <v/>
      </c>
      <c r="AE860" s="6">
        <f>IF(F860=0,0,IF(H860="",B860*G860/100,H860))</f>
        <v/>
      </c>
      <c r="AF860" s="6">
        <f>IF(I860=0,0,IF(K860="",B860*J860/100,K860))</f>
        <v/>
      </c>
      <c r="AG860" s="6">
        <f>IF(L860=0,0,IF(N860="",B860*M860/100,N860))</f>
        <v/>
      </c>
      <c r="AH860" s="6">
        <f>IF(O860=0,0,IF(Q860="",B860*P860/100,Q860))</f>
        <v/>
      </c>
      <c r="AI860" s="6">
        <f>IF(R860=0,0,IF(T860="",B860*S860/100,T860))</f>
        <v/>
      </c>
      <c r="AJ860" s="6">
        <f>B860*0.035</f>
        <v/>
      </c>
      <c r="AK860" s="6">
        <f>B860*0.065</f>
        <v/>
      </c>
      <c r="AL860" s="6">
        <f>SUM(B860,AD860,AE860,AF860,AG860,AH860,AI860,U860,V860,AJ860,AK860)</f>
        <v/>
      </c>
      <c r="AM860" s="6">
        <f>B860*0.055</f>
        <v/>
      </c>
      <c r="AN860" s="6">
        <f>B860*0.035</f>
        <v/>
      </c>
      <c r="AO860" s="6">
        <f>B860*0.165</f>
        <v/>
      </c>
      <c r="AP860" s="6">
        <f>MAX(0,AL860-AM860-AO860)</f>
        <v/>
      </c>
      <c r="AQ860" s="6">
        <f>IF(AP860&lt;=490,0,IF(AP860&lt;=600,(AP860-490)*0.05,IF(AP860&lt;=730,5.5+(AP860-600)*0.10,IF(AP860&lt;=3896.67,18.5+(AP860-730)*0.175,IF(AP860&lt;=19896.67,572.67+(AP860-3896.67)*0.25,IF(AP860&lt;=50416.67,4572.67+(AP860-19896.67)*0.30,13728.67+(AP860-50416.67)*0.35))))))</f>
        <v/>
      </c>
      <c r="AR860" s="6">
        <f>SUM(AM860,AQ860,W860,X860,Y860,Z860,AA860,AN860,AO860)</f>
        <v/>
      </c>
      <c r="AS860" s="6">
        <f>AL860-AR860</f>
        <v/>
      </c>
      <c r="AT860" s="6">
        <f>AB860-AC860</f>
        <v/>
      </c>
    </row>
    <row r="861">
      <c r="A861" s="2" t="n"/>
      <c r="B861" s="3" t="n"/>
      <c r="C861" s="4" t="n"/>
      <c r="D861" s="5" t="n"/>
      <c r="E861" s="3" t="n"/>
      <c r="F861" s="4" t="n"/>
      <c r="G861" s="5" t="n"/>
      <c r="H861" s="3" t="n"/>
      <c r="I861" s="4" t="n"/>
      <c r="J861" s="5" t="n"/>
      <c r="K861" s="3" t="n"/>
      <c r="L861" s="4" t="n"/>
      <c r="M861" s="5" t="n"/>
      <c r="N861" s="3" t="n"/>
      <c r="O861" s="4" t="n"/>
      <c r="P861" s="5" t="n"/>
      <c r="Q861" s="3" t="n"/>
      <c r="R861" s="4" t="n"/>
      <c r="S861" s="5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6">
        <f>IF(C861=0,0,IF(E861="",B861*D861/100,E861))</f>
        <v/>
      </c>
      <c r="AE861" s="6">
        <f>IF(F861=0,0,IF(H861="",B861*G861/100,H861))</f>
        <v/>
      </c>
      <c r="AF861" s="6">
        <f>IF(I861=0,0,IF(K861="",B861*J861/100,K861))</f>
        <v/>
      </c>
      <c r="AG861" s="6">
        <f>IF(L861=0,0,IF(N861="",B861*M861/100,N861))</f>
        <v/>
      </c>
      <c r="AH861" s="6">
        <f>IF(O861=0,0,IF(Q861="",B861*P861/100,Q861))</f>
        <v/>
      </c>
      <c r="AI861" s="6">
        <f>IF(R861=0,0,IF(T861="",B861*S861/100,T861))</f>
        <v/>
      </c>
      <c r="AJ861" s="6">
        <f>B861*0.035</f>
        <v/>
      </c>
      <c r="AK861" s="6">
        <f>B861*0.065</f>
        <v/>
      </c>
      <c r="AL861" s="6">
        <f>SUM(B861,AD861,AE861,AF861,AG861,AH861,AI861,U861,V861,AJ861,AK861)</f>
        <v/>
      </c>
      <c r="AM861" s="6">
        <f>B861*0.055</f>
        <v/>
      </c>
      <c r="AN861" s="6">
        <f>B861*0.035</f>
        <v/>
      </c>
      <c r="AO861" s="6">
        <f>B861*0.165</f>
        <v/>
      </c>
      <c r="AP861" s="6">
        <f>MAX(0,AL861-AM861-AO861)</f>
        <v/>
      </c>
      <c r="AQ861" s="6">
        <f>IF(AP861&lt;=490,0,IF(AP861&lt;=600,(AP861-490)*0.05,IF(AP861&lt;=730,5.5+(AP861-600)*0.10,IF(AP861&lt;=3896.67,18.5+(AP861-730)*0.175,IF(AP861&lt;=19896.67,572.67+(AP861-3896.67)*0.25,IF(AP861&lt;=50416.67,4572.67+(AP861-19896.67)*0.30,13728.67+(AP861-50416.67)*0.35))))))</f>
        <v/>
      </c>
      <c r="AR861" s="6">
        <f>SUM(AM861,AQ861,W861,X861,Y861,Z861,AA861,AN861,AO861)</f>
        <v/>
      </c>
      <c r="AS861" s="6">
        <f>AL861-AR861</f>
        <v/>
      </c>
      <c r="AT861" s="6">
        <f>AB861-AC861</f>
        <v/>
      </c>
    </row>
    <row r="862">
      <c r="A862" s="2" t="n"/>
      <c r="B862" s="3" t="n"/>
      <c r="C862" s="4" t="n"/>
      <c r="D862" s="5" t="n"/>
      <c r="E862" s="3" t="n"/>
      <c r="F862" s="4" t="n"/>
      <c r="G862" s="5" t="n"/>
      <c r="H862" s="3" t="n"/>
      <c r="I862" s="4" t="n"/>
      <c r="J862" s="5" t="n"/>
      <c r="K862" s="3" t="n"/>
      <c r="L862" s="4" t="n"/>
      <c r="M862" s="5" t="n"/>
      <c r="N862" s="3" t="n"/>
      <c r="O862" s="4" t="n"/>
      <c r="P862" s="5" t="n"/>
      <c r="Q862" s="3" t="n"/>
      <c r="R862" s="4" t="n"/>
      <c r="S862" s="5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6">
        <f>IF(C862=0,0,IF(E862="",B862*D862/100,E862))</f>
        <v/>
      </c>
      <c r="AE862" s="6">
        <f>IF(F862=0,0,IF(H862="",B862*G862/100,H862))</f>
        <v/>
      </c>
      <c r="AF862" s="6">
        <f>IF(I862=0,0,IF(K862="",B862*J862/100,K862))</f>
        <v/>
      </c>
      <c r="AG862" s="6">
        <f>IF(L862=0,0,IF(N862="",B862*M862/100,N862))</f>
        <v/>
      </c>
      <c r="AH862" s="6">
        <f>IF(O862=0,0,IF(Q862="",B862*P862/100,Q862))</f>
        <v/>
      </c>
      <c r="AI862" s="6">
        <f>IF(R862=0,0,IF(T862="",B862*S862/100,T862))</f>
        <v/>
      </c>
      <c r="AJ862" s="6">
        <f>B862*0.035</f>
        <v/>
      </c>
      <c r="AK862" s="6">
        <f>B862*0.065</f>
        <v/>
      </c>
      <c r="AL862" s="6">
        <f>SUM(B862,AD862,AE862,AF862,AG862,AH862,AI862,U862,V862,AJ862,AK862)</f>
        <v/>
      </c>
      <c r="AM862" s="6">
        <f>B862*0.055</f>
        <v/>
      </c>
      <c r="AN862" s="6">
        <f>B862*0.035</f>
        <v/>
      </c>
      <c r="AO862" s="6">
        <f>B862*0.165</f>
        <v/>
      </c>
      <c r="AP862" s="6">
        <f>MAX(0,AL862-AM862-AO862)</f>
        <v/>
      </c>
      <c r="AQ862" s="6">
        <f>IF(AP862&lt;=490,0,IF(AP862&lt;=600,(AP862-490)*0.05,IF(AP862&lt;=730,5.5+(AP862-600)*0.10,IF(AP862&lt;=3896.67,18.5+(AP862-730)*0.175,IF(AP862&lt;=19896.67,572.67+(AP862-3896.67)*0.25,IF(AP862&lt;=50416.67,4572.67+(AP862-19896.67)*0.30,13728.67+(AP862-50416.67)*0.35))))))</f>
        <v/>
      </c>
      <c r="AR862" s="6">
        <f>SUM(AM862,AQ862,W862,X862,Y862,Z862,AA862,AN862,AO862)</f>
        <v/>
      </c>
      <c r="AS862" s="6">
        <f>AL862-AR862</f>
        <v/>
      </c>
      <c r="AT862" s="6">
        <f>AB862-AC862</f>
        <v/>
      </c>
    </row>
    <row r="863">
      <c r="A863" s="2" t="n"/>
      <c r="B863" s="3" t="n"/>
      <c r="C863" s="4" t="n"/>
      <c r="D863" s="5" t="n"/>
      <c r="E863" s="3" t="n"/>
      <c r="F863" s="4" t="n"/>
      <c r="G863" s="5" t="n"/>
      <c r="H863" s="3" t="n"/>
      <c r="I863" s="4" t="n"/>
      <c r="J863" s="5" t="n"/>
      <c r="K863" s="3" t="n"/>
      <c r="L863" s="4" t="n"/>
      <c r="M863" s="5" t="n"/>
      <c r="N863" s="3" t="n"/>
      <c r="O863" s="4" t="n"/>
      <c r="P863" s="5" t="n"/>
      <c r="Q863" s="3" t="n"/>
      <c r="R863" s="4" t="n"/>
      <c r="S863" s="5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6">
        <f>IF(C863=0,0,IF(E863="",B863*D863/100,E863))</f>
        <v/>
      </c>
      <c r="AE863" s="6">
        <f>IF(F863=0,0,IF(H863="",B863*G863/100,H863))</f>
        <v/>
      </c>
      <c r="AF863" s="6">
        <f>IF(I863=0,0,IF(K863="",B863*J863/100,K863))</f>
        <v/>
      </c>
      <c r="AG863" s="6">
        <f>IF(L863=0,0,IF(N863="",B863*M863/100,N863))</f>
        <v/>
      </c>
      <c r="AH863" s="6">
        <f>IF(O863=0,0,IF(Q863="",B863*P863/100,Q863))</f>
        <v/>
      </c>
      <c r="AI863" s="6">
        <f>IF(R863=0,0,IF(T863="",B863*S863/100,T863))</f>
        <v/>
      </c>
      <c r="AJ863" s="6">
        <f>B863*0.035</f>
        <v/>
      </c>
      <c r="AK863" s="6">
        <f>B863*0.065</f>
        <v/>
      </c>
      <c r="AL863" s="6">
        <f>SUM(B863,AD863,AE863,AF863,AG863,AH863,AI863,U863,V863,AJ863,AK863)</f>
        <v/>
      </c>
      <c r="AM863" s="6">
        <f>B863*0.055</f>
        <v/>
      </c>
      <c r="AN863" s="6">
        <f>B863*0.035</f>
        <v/>
      </c>
      <c r="AO863" s="6">
        <f>B863*0.165</f>
        <v/>
      </c>
      <c r="AP863" s="6">
        <f>MAX(0,AL863-AM863-AO863)</f>
        <v/>
      </c>
      <c r="AQ863" s="6">
        <f>IF(AP863&lt;=490,0,IF(AP863&lt;=600,(AP863-490)*0.05,IF(AP863&lt;=730,5.5+(AP863-600)*0.10,IF(AP863&lt;=3896.67,18.5+(AP863-730)*0.175,IF(AP863&lt;=19896.67,572.67+(AP863-3896.67)*0.25,IF(AP863&lt;=50416.67,4572.67+(AP863-19896.67)*0.30,13728.67+(AP863-50416.67)*0.35))))))</f>
        <v/>
      </c>
      <c r="AR863" s="6">
        <f>SUM(AM863,AQ863,W863,X863,Y863,Z863,AA863,AN863,AO863)</f>
        <v/>
      </c>
      <c r="AS863" s="6">
        <f>AL863-AR863</f>
        <v/>
      </c>
      <c r="AT863" s="6">
        <f>AB863-AC863</f>
        <v/>
      </c>
    </row>
    <row r="864">
      <c r="A864" s="2" t="n"/>
      <c r="B864" s="3" t="n"/>
      <c r="C864" s="4" t="n"/>
      <c r="D864" s="5" t="n"/>
      <c r="E864" s="3" t="n"/>
      <c r="F864" s="4" t="n"/>
      <c r="G864" s="5" t="n"/>
      <c r="H864" s="3" t="n"/>
      <c r="I864" s="4" t="n"/>
      <c r="J864" s="5" t="n"/>
      <c r="K864" s="3" t="n"/>
      <c r="L864" s="4" t="n"/>
      <c r="M864" s="5" t="n"/>
      <c r="N864" s="3" t="n"/>
      <c r="O864" s="4" t="n"/>
      <c r="P864" s="5" t="n"/>
      <c r="Q864" s="3" t="n"/>
      <c r="R864" s="4" t="n"/>
      <c r="S864" s="5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6">
        <f>IF(C864=0,0,IF(E864="",B864*D864/100,E864))</f>
        <v/>
      </c>
      <c r="AE864" s="6">
        <f>IF(F864=0,0,IF(H864="",B864*G864/100,H864))</f>
        <v/>
      </c>
      <c r="AF864" s="6">
        <f>IF(I864=0,0,IF(K864="",B864*J864/100,K864))</f>
        <v/>
      </c>
      <c r="AG864" s="6">
        <f>IF(L864=0,0,IF(N864="",B864*M864/100,N864))</f>
        <v/>
      </c>
      <c r="AH864" s="6">
        <f>IF(O864=0,0,IF(Q864="",B864*P864/100,Q864))</f>
        <v/>
      </c>
      <c r="AI864" s="6">
        <f>IF(R864=0,0,IF(T864="",B864*S864/100,T864))</f>
        <v/>
      </c>
      <c r="AJ864" s="6">
        <f>B864*0.035</f>
        <v/>
      </c>
      <c r="AK864" s="6">
        <f>B864*0.065</f>
        <v/>
      </c>
      <c r="AL864" s="6">
        <f>SUM(B864,AD864,AE864,AF864,AG864,AH864,AI864,U864,V864,AJ864,AK864)</f>
        <v/>
      </c>
      <c r="AM864" s="6">
        <f>B864*0.055</f>
        <v/>
      </c>
      <c r="AN864" s="6">
        <f>B864*0.035</f>
        <v/>
      </c>
      <c r="AO864" s="6">
        <f>B864*0.165</f>
        <v/>
      </c>
      <c r="AP864" s="6">
        <f>MAX(0,AL864-AM864-AO864)</f>
        <v/>
      </c>
      <c r="AQ864" s="6">
        <f>IF(AP864&lt;=490,0,IF(AP864&lt;=600,(AP864-490)*0.05,IF(AP864&lt;=730,5.5+(AP864-600)*0.10,IF(AP864&lt;=3896.67,18.5+(AP864-730)*0.175,IF(AP864&lt;=19896.67,572.67+(AP864-3896.67)*0.25,IF(AP864&lt;=50416.67,4572.67+(AP864-19896.67)*0.30,13728.67+(AP864-50416.67)*0.35))))))</f>
        <v/>
      </c>
      <c r="AR864" s="6">
        <f>SUM(AM864,AQ864,W864,X864,Y864,Z864,AA864,AN864,AO864)</f>
        <v/>
      </c>
      <c r="AS864" s="6">
        <f>AL864-AR864</f>
        <v/>
      </c>
      <c r="AT864" s="6">
        <f>AB864-AC864</f>
        <v/>
      </c>
    </row>
    <row r="865">
      <c r="A865" s="2" t="n"/>
      <c r="B865" s="3" t="n"/>
      <c r="C865" s="4" t="n"/>
      <c r="D865" s="5" t="n"/>
      <c r="E865" s="3" t="n"/>
      <c r="F865" s="4" t="n"/>
      <c r="G865" s="5" t="n"/>
      <c r="H865" s="3" t="n"/>
      <c r="I865" s="4" t="n"/>
      <c r="J865" s="5" t="n"/>
      <c r="K865" s="3" t="n"/>
      <c r="L865" s="4" t="n"/>
      <c r="M865" s="5" t="n"/>
      <c r="N865" s="3" t="n"/>
      <c r="O865" s="4" t="n"/>
      <c r="P865" s="5" t="n"/>
      <c r="Q865" s="3" t="n"/>
      <c r="R865" s="4" t="n"/>
      <c r="S865" s="5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6">
        <f>IF(C865=0,0,IF(E865="",B865*D865/100,E865))</f>
        <v/>
      </c>
      <c r="AE865" s="6">
        <f>IF(F865=0,0,IF(H865="",B865*G865/100,H865))</f>
        <v/>
      </c>
      <c r="AF865" s="6">
        <f>IF(I865=0,0,IF(K865="",B865*J865/100,K865))</f>
        <v/>
      </c>
      <c r="AG865" s="6">
        <f>IF(L865=0,0,IF(N865="",B865*M865/100,N865))</f>
        <v/>
      </c>
      <c r="AH865" s="6">
        <f>IF(O865=0,0,IF(Q865="",B865*P865/100,Q865))</f>
        <v/>
      </c>
      <c r="AI865" s="6">
        <f>IF(R865=0,0,IF(T865="",B865*S865/100,T865))</f>
        <v/>
      </c>
      <c r="AJ865" s="6">
        <f>B865*0.035</f>
        <v/>
      </c>
      <c r="AK865" s="6">
        <f>B865*0.065</f>
        <v/>
      </c>
      <c r="AL865" s="6">
        <f>SUM(B865,AD865,AE865,AF865,AG865,AH865,AI865,U865,V865,AJ865,AK865)</f>
        <v/>
      </c>
      <c r="AM865" s="6">
        <f>B865*0.055</f>
        <v/>
      </c>
      <c r="AN865" s="6">
        <f>B865*0.035</f>
        <v/>
      </c>
      <c r="AO865" s="6">
        <f>B865*0.165</f>
        <v/>
      </c>
      <c r="AP865" s="6">
        <f>MAX(0,AL865-AM865-AO865)</f>
        <v/>
      </c>
      <c r="AQ865" s="6">
        <f>IF(AP865&lt;=490,0,IF(AP865&lt;=600,(AP865-490)*0.05,IF(AP865&lt;=730,5.5+(AP865-600)*0.10,IF(AP865&lt;=3896.67,18.5+(AP865-730)*0.175,IF(AP865&lt;=19896.67,572.67+(AP865-3896.67)*0.25,IF(AP865&lt;=50416.67,4572.67+(AP865-19896.67)*0.30,13728.67+(AP865-50416.67)*0.35))))))</f>
        <v/>
      </c>
      <c r="AR865" s="6">
        <f>SUM(AM865,AQ865,W865,X865,Y865,Z865,AA865,AN865,AO865)</f>
        <v/>
      </c>
      <c r="AS865" s="6">
        <f>AL865-AR865</f>
        <v/>
      </c>
      <c r="AT865" s="6">
        <f>AB865-AC865</f>
        <v/>
      </c>
    </row>
    <row r="866">
      <c r="A866" s="2" t="n"/>
      <c r="B866" s="3" t="n"/>
      <c r="C866" s="4" t="n"/>
      <c r="D866" s="5" t="n"/>
      <c r="E866" s="3" t="n"/>
      <c r="F866" s="4" t="n"/>
      <c r="G866" s="5" t="n"/>
      <c r="H866" s="3" t="n"/>
      <c r="I866" s="4" t="n"/>
      <c r="J866" s="5" t="n"/>
      <c r="K866" s="3" t="n"/>
      <c r="L866" s="4" t="n"/>
      <c r="M866" s="5" t="n"/>
      <c r="N866" s="3" t="n"/>
      <c r="O866" s="4" t="n"/>
      <c r="P866" s="5" t="n"/>
      <c r="Q866" s="3" t="n"/>
      <c r="R866" s="4" t="n"/>
      <c r="S866" s="5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6">
        <f>IF(C866=0,0,IF(E866="",B866*D866/100,E866))</f>
        <v/>
      </c>
      <c r="AE866" s="6">
        <f>IF(F866=0,0,IF(H866="",B866*G866/100,H866))</f>
        <v/>
      </c>
      <c r="AF866" s="6">
        <f>IF(I866=0,0,IF(K866="",B866*J866/100,K866))</f>
        <v/>
      </c>
      <c r="AG866" s="6">
        <f>IF(L866=0,0,IF(N866="",B866*M866/100,N866))</f>
        <v/>
      </c>
      <c r="AH866" s="6">
        <f>IF(O866=0,0,IF(Q866="",B866*P866/100,Q866))</f>
        <v/>
      </c>
      <c r="AI866" s="6">
        <f>IF(R866=0,0,IF(T866="",B866*S866/100,T866))</f>
        <v/>
      </c>
      <c r="AJ866" s="6">
        <f>B866*0.035</f>
        <v/>
      </c>
      <c r="AK866" s="6">
        <f>B866*0.065</f>
        <v/>
      </c>
      <c r="AL866" s="6">
        <f>SUM(B866,AD866,AE866,AF866,AG866,AH866,AI866,U866,V866,AJ866,AK866)</f>
        <v/>
      </c>
      <c r="AM866" s="6">
        <f>B866*0.055</f>
        <v/>
      </c>
      <c r="AN866" s="6">
        <f>B866*0.035</f>
        <v/>
      </c>
      <c r="AO866" s="6">
        <f>B866*0.165</f>
        <v/>
      </c>
      <c r="AP866" s="6">
        <f>MAX(0,AL866-AM866-AO866)</f>
        <v/>
      </c>
      <c r="AQ866" s="6">
        <f>IF(AP866&lt;=490,0,IF(AP866&lt;=600,(AP866-490)*0.05,IF(AP866&lt;=730,5.5+(AP866-600)*0.10,IF(AP866&lt;=3896.67,18.5+(AP866-730)*0.175,IF(AP866&lt;=19896.67,572.67+(AP866-3896.67)*0.25,IF(AP866&lt;=50416.67,4572.67+(AP866-19896.67)*0.30,13728.67+(AP866-50416.67)*0.35))))))</f>
        <v/>
      </c>
      <c r="AR866" s="6">
        <f>SUM(AM866,AQ866,W866,X866,Y866,Z866,AA866,AN866,AO866)</f>
        <v/>
      </c>
      <c r="AS866" s="6">
        <f>AL866-AR866</f>
        <v/>
      </c>
      <c r="AT866" s="6">
        <f>AB866-AC866</f>
        <v/>
      </c>
    </row>
    <row r="867">
      <c r="A867" s="2" t="n"/>
      <c r="B867" s="3" t="n"/>
      <c r="C867" s="4" t="n"/>
      <c r="D867" s="5" t="n"/>
      <c r="E867" s="3" t="n"/>
      <c r="F867" s="4" t="n"/>
      <c r="G867" s="5" t="n"/>
      <c r="H867" s="3" t="n"/>
      <c r="I867" s="4" t="n"/>
      <c r="J867" s="5" t="n"/>
      <c r="K867" s="3" t="n"/>
      <c r="L867" s="4" t="n"/>
      <c r="M867" s="5" t="n"/>
      <c r="N867" s="3" t="n"/>
      <c r="O867" s="4" t="n"/>
      <c r="P867" s="5" t="n"/>
      <c r="Q867" s="3" t="n"/>
      <c r="R867" s="4" t="n"/>
      <c r="S867" s="5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6">
        <f>IF(C867=0,0,IF(E867="",B867*D867/100,E867))</f>
        <v/>
      </c>
      <c r="AE867" s="6">
        <f>IF(F867=0,0,IF(H867="",B867*G867/100,H867))</f>
        <v/>
      </c>
      <c r="AF867" s="6">
        <f>IF(I867=0,0,IF(K867="",B867*J867/100,K867))</f>
        <v/>
      </c>
      <c r="AG867" s="6">
        <f>IF(L867=0,0,IF(N867="",B867*M867/100,N867))</f>
        <v/>
      </c>
      <c r="AH867" s="6">
        <f>IF(O867=0,0,IF(Q867="",B867*P867/100,Q867))</f>
        <v/>
      </c>
      <c r="AI867" s="6">
        <f>IF(R867=0,0,IF(T867="",B867*S867/100,T867))</f>
        <v/>
      </c>
      <c r="AJ867" s="6">
        <f>B867*0.035</f>
        <v/>
      </c>
      <c r="AK867" s="6">
        <f>B867*0.065</f>
        <v/>
      </c>
      <c r="AL867" s="6">
        <f>SUM(B867,AD867,AE867,AF867,AG867,AH867,AI867,U867,V867,AJ867,AK867)</f>
        <v/>
      </c>
      <c r="AM867" s="6">
        <f>B867*0.055</f>
        <v/>
      </c>
      <c r="AN867" s="6">
        <f>B867*0.035</f>
        <v/>
      </c>
      <c r="AO867" s="6">
        <f>B867*0.165</f>
        <v/>
      </c>
      <c r="AP867" s="6">
        <f>MAX(0,AL867-AM867-AO867)</f>
        <v/>
      </c>
      <c r="AQ867" s="6">
        <f>IF(AP867&lt;=490,0,IF(AP867&lt;=600,(AP867-490)*0.05,IF(AP867&lt;=730,5.5+(AP867-600)*0.10,IF(AP867&lt;=3896.67,18.5+(AP867-730)*0.175,IF(AP867&lt;=19896.67,572.67+(AP867-3896.67)*0.25,IF(AP867&lt;=50416.67,4572.67+(AP867-19896.67)*0.30,13728.67+(AP867-50416.67)*0.35))))))</f>
        <v/>
      </c>
      <c r="AR867" s="6">
        <f>SUM(AM867,AQ867,W867,X867,Y867,Z867,AA867,AN867,AO867)</f>
        <v/>
      </c>
      <c r="AS867" s="6">
        <f>AL867-AR867</f>
        <v/>
      </c>
      <c r="AT867" s="6">
        <f>AB867-AC867</f>
        <v/>
      </c>
    </row>
    <row r="868">
      <c r="A868" s="2" t="n"/>
      <c r="B868" s="3" t="n"/>
      <c r="C868" s="4" t="n"/>
      <c r="D868" s="5" t="n"/>
      <c r="E868" s="3" t="n"/>
      <c r="F868" s="4" t="n"/>
      <c r="G868" s="5" t="n"/>
      <c r="H868" s="3" t="n"/>
      <c r="I868" s="4" t="n"/>
      <c r="J868" s="5" t="n"/>
      <c r="K868" s="3" t="n"/>
      <c r="L868" s="4" t="n"/>
      <c r="M868" s="5" t="n"/>
      <c r="N868" s="3" t="n"/>
      <c r="O868" s="4" t="n"/>
      <c r="P868" s="5" t="n"/>
      <c r="Q868" s="3" t="n"/>
      <c r="R868" s="4" t="n"/>
      <c r="S868" s="5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6">
        <f>IF(C868=0,0,IF(E868="",B868*D868/100,E868))</f>
        <v/>
      </c>
      <c r="AE868" s="6">
        <f>IF(F868=0,0,IF(H868="",B868*G868/100,H868))</f>
        <v/>
      </c>
      <c r="AF868" s="6">
        <f>IF(I868=0,0,IF(K868="",B868*J868/100,K868))</f>
        <v/>
      </c>
      <c r="AG868" s="6">
        <f>IF(L868=0,0,IF(N868="",B868*M868/100,N868))</f>
        <v/>
      </c>
      <c r="AH868" s="6">
        <f>IF(O868=0,0,IF(Q868="",B868*P868/100,Q868))</f>
        <v/>
      </c>
      <c r="AI868" s="6">
        <f>IF(R868=0,0,IF(T868="",B868*S868/100,T868))</f>
        <v/>
      </c>
      <c r="AJ868" s="6">
        <f>B868*0.035</f>
        <v/>
      </c>
      <c r="AK868" s="6">
        <f>B868*0.065</f>
        <v/>
      </c>
      <c r="AL868" s="6">
        <f>SUM(B868,AD868,AE868,AF868,AG868,AH868,AI868,U868,V868,AJ868,AK868)</f>
        <v/>
      </c>
      <c r="AM868" s="6">
        <f>B868*0.055</f>
        <v/>
      </c>
      <c r="AN868" s="6">
        <f>B868*0.035</f>
        <v/>
      </c>
      <c r="AO868" s="6">
        <f>B868*0.165</f>
        <v/>
      </c>
      <c r="AP868" s="6">
        <f>MAX(0,AL868-AM868-AO868)</f>
        <v/>
      </c>
      <c r="AQ868" s="6">
        <f>IF(AP868&lt;=490,0,IF(AP868&lt;=600,(AP868-490)*0.05,IF(AP868&lt;=730,5.5+(AP868-600)*0.10,IF(AP868&lt;=3896.67,18.5+(AP868-730)*0.175,IF(AP868&lt;=19896.67,572.67+(AP868-3896.67)*0.25,IF(AP868&lt;=50416.67,4572.67+(AP868-19896.67)*0.30,13728.67+(AP868-50416.67)*0.35))))))</f>
        <v/>
      </c>
      <c r="AR868" s="6">
        <f>SUM(AM868,AQ868,W868,X868,Y868,Z868,AA868,AN868,AO868)</f>
        <v/>
      </c>
      <c r="AS868" s="6">
        <f>AL868-AR868</f>
        <v/>
      </c>
      <c r="AT868" s="6">
        <f>AB868-AC868</f>
        <v/>
      </c>
    </row>
    <row r="869">
      <c r="A869" s="2" t="n"/>
      <c r="B869" s="3" t="n"/>
      <c r="C869" s="4" t="n"/>
      <c r="D869" s="5" t="n"/>
      <c r="E869" s="3" t="n"/>
      <c r="F869" s="4" t="n"/>
      <c r="G869" s="5" t="n"/>
      <c r="H869" s="3" t="n"/>
      <c r="I869" s="4" t="n"/>
      <c r="J869" s="5" t="n"/>
      <c r="K869" s="3" t="n"/>
      <c r="L869" s="4" t="n"/>
      <c r="M869" s="5" t="n"/>
      <c r="N869" s="3" t="n"/>
      <c r="O869" s="4" t="n"/>
      <c r="P869" s="5" t="n"/>
      <c r="Q869" s="3" t="n"/>
      <c r="R869" s="4" t="n"/>
      <c r="S869" s="5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6">
        <f>IF(C869=0,0,IF(E869="",B869*D869/100,E869))</f>
        <v/>
      </c>
      <c r="AE869" s="6">
        <f>IF(F869=0,0,IF(H869="",B869*G869/100,H869))</f>
        <v/>
      </c>
      <c r="AF869" s="6">
        <f>IF(I869=0,0,IF(K869="",B869*J869/100,K869))</f>
        <v/>
      </c>
      <c r="AG869" s="6">
        <f>IF(L869=0,0,IF(N869="",B869*M869/100,N869))</f>
        <v/>
      </c>
      <c r="AH869" s="6">
        <f>IF(O869=0,0,IF(Q869="",B869*P869/100,Q869))</f>
        <v/>
      </c>
      <c r="AI869" s="6">
        <f>IF(R869=0,0,IF(T869="",B869*S869/100,T869))</f>
        <v/>
      </c>
      <c r="AJ869" s="6">
        <f>B869*0.035</f>
        <v/>
      </c>
      <c r="AK869" s="6">
        <f>B869*0.065</f>
        <v/>
      </c>
      <c r="AL869" s="6">
        <f>SUM(B869,AD869,AE869,AF869,AG869,AH869,AI869,U869,V869,AJ869,AK869)</f>
        <v/>
      </c>
      <c r="AM869" s="6">
        <f>B869*0.055</f>
        <v/>
      </c>
      <c r="AN869" s="6">
        <f>B869*0.035</f>
        <v/>
      </c>
      <c r="AO869" s="6">
        <f>B869*0.165</f>
        <v/>
      </c>
      <c r="AP869" s="6">
        <f>MAX(0,AL869-AM869-AO869)</f>
        <v/>
      </c>
      <c r="AQ869" s="6">
        <f>IF(AP869&lt;=490,0,IF(AP869&lt;=600,(AP869-490)*0.05,IF(AP869&lt;=730,5.5+(AP869-600)*0.10,IF(AP869&lt;=3896.67,18.5+(AP869-730)*0.175,IF(AP869&lt;=19896.67,572.67+(AP869-3896.67)*0.25,IF(AP869&lt;=50416.67,4572.67+(AP869-19896.67)*0.30,13728.67+(AP869-50416.67)*0.35))))))</f>
        <v/>
      </c>
      <c r="AR869" s="6">
        <f>SUM(AM869,AQ869,W869,X869,Y869,Z869,AA869,AN869,AO869)</f>
        <v/>
      </c>
      <c r="AS869" s="6">
        <f>AL869-AR869</f>
        <v/>
      </c>
      <c r="AT869" s="6">
        <f>AB869-AC869</f>
        <v/>
      </c>
    </row>
    <row r="870">
      <c r="A870" s="2" t="n"/>
      <c r="B870" s="3" t="n"/>
      <c r="C870" s="4" t="n"/>
      <c r="D870" s="5" t="n"/>
      <c r="E870" s="3" t="n"/>
      <c r="F870" s="4" t="n"/>
      <c r="G870" s="5" t="n"/>
      <c r="H870" s="3" t="n"/>
      <c r="I870" s="4" t="n"/>
      <c r="J870" s="5" t="n"/>
      <c r="K870" s="3" t="n"/>
      <c r="L870" s="4" t="n"/>
      <c r="M870" s="5" t="n"/>
      <c r="N870" s="3" t="n"/>
      <c r="O870" s="4" t="n"/>
      <c r="P870" s="5" t="n"/>
      <c r="Q870" s="3" t="n"/>
      <c r="R870" s="4" t="n"/>
      <c r="S870" s="5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6">
        <f>IF(C870=0,0,IF(E870="",B870*D870/100,E870))</f>
        <v/>
      </c>
      <c r="AE870" s="6">
        <f>IF(F870=0,0,IF(H870="",B870*G870/100,H870))</f>
        <v/>
      </c>
      <c r="AF870" s="6">
        <f>IF(I870=0,0,IF(K870="",B870*J870/100,K870))</f>
        <v/>
      </c>
      <c r="AG870" s="6">
        <f>IF(L870=0,0,IF(N870="",B870*M870/100,N870))</f>
        <v/>
      </c>
      <c r="AH870" s="6">
        <f>IF(O870=0,0,IF(Q870="",B870*P870/100,Q870))</f>
        <v/>
      </c>
      <c r="AI870" s="6">
        <f>IF(R870=0,0,IF(T870="",B870*S870/100,T870))</f>
        <v/>
      </c>
      <c r="AJ870" s="6">
        <f>B870*0.035</f>
        <v/>
      </c>
      <c r="AK870" s="6">
        <f>B870*0.065</f>
        <v/>
      </c>
      <c r="AL870" s="6">
        <f>SUM(B870,AD870,AE870,AF870,AG870,AH870,AI870,U870,V870,AJ870,AK870)</f>
        <v/>
      </c>
      <c r="AM870" s="6">
        <f>B870*0.055</f>
        <v/>
      </c>
      <c r="AN870" s="6">
        <f>B870*0.035</f>
        <v/>
      </c>
      <c r="AO870" s="6">
        <f>B870*0.165</f>
        <v/>
      </c>
      <c r="AP870" s="6">
        <f>MAX(0,AL870-AM870-AO870)</f>
        <v/>
      </c>
      <c r="AQ870" s="6">
        <f>IF(AP870&lt;=490,0,IF(AP870&lt;=600,(AP870-490)*0.05,IF(AP870&lt;=730,5.5+(AP870-600)*0.10,IF(AP870&lt;=3896.67,18.5+(AP870-730)*0.175,IF(AP870&lt;=19896.67,572.67+(AP870-3896.67)*0.25,IF(AP870&lt;=50416.67,4572.67+(AP870-19896.67)*0.30,13728.67+(AP870-50416.67)*0.35))))))</f>
        <v/>
      </c>
      <c r="AR870" s="6">
        <f>SUM(AM870,AQ870,W870,X870,Y870,Z870,AA870,AN870,AO870)</f>
        <v/>
      </c>
      <c r="AS870" s="6">
        <f>AL870-AR870</f>
        <v/>
      </c>
      <c r="AT870" s="6">
        <f>AB870-AC870</f>
        <v/>
      </c>
    </row>
    <row r="871">
      <c r="A871" s="2" t="n"/>
      <c r="B871" s="3" t="n"/>
      <c r="C871" s="4" t="n"/>
      <c r="D871" s="5" t="n"/>
      <c r="E871" s="3" t="n"/>
      <c r="F871" s="4" t="n"/>
      <c r="G871" s="5" t="n"/>
      <c r="H871" s="3" t="n"/>
      <c r="I871" s="4" t="n"/>
      <c r="J871" s="5" t="n"/>
      <c r="K871" s="3" t="n"/>
      <c r="L871" s="4" t="n"/>
      <c r="M871" s="5" t="n"/>
      <c r="N871" s="3" t="n"/>
      <c r="O871" s="4" t="n"/>
      <c r="P871" s="5" t="n"/>
      <c r="Q871" s="3" t="n"/>
      <c r="R871" s="4" t="n"/>
      <c r="S871" s="5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6">
        <f>IF(C871=0,0,IF(E871="",B871*D871/100,E871))</f>
        <v/>
      </c>
      <c r="AE871" s="6">
        <f>IF(F871=0,0,IF(H871="",B871*G871/100,H871))</f>
        <v/>
      </c>
      <c r="AF871" s="6">
        <f>IF(I871=0,0,IF(K871="",B871*J871/100,K871))</f>
        <v/>
      </c>
      <c r="AG871" s="6">
        <f>IF(L871=0,0,IF(N871="",B871*M871/100,N871))</f>
        <v/>
      </c>
      <c r="AH871" s="6">
        <f>IF(O871=0,0,IF(Q871="",B871*P871/100,Q871))</f>
        <v/>
      </c>
      <c r="AI871" s="6">
        <f>IF(R871=0,0,IF(T871="",B871*S871/100,T871))</f>
        <v/>
      </c>
      <c r="AJ871" s="6">
        <f>B871*0.035</f>
        <v/>
      </c>
      <c r="AK871" s="6">
        <f>B871*0.065</f>
        <v/>
      </c>
      <c r="AL871" s="6">
        <f>SUM(B871,AD871,AE871,AF871,AG871,AH871,AI871,U871,V871,AJ871,AK871)</f>
        <v/>
      </c>
      <c r="AM871" s="6">
        <f>B871*0.055</f>
        <v/>
      </c>
      <c r="AN871" s="6">
        <f>B871*0.035</f>
        <v/>
      </c>
      <c r="AO871" s="6">
        <f>B871*0.165</f>
        <v/>
      </c>
      <c r="AP871" s="6">
        <f>MAX(0,AL871-AM871-AO871)</f>
        <v/>
      </c>
      <c r="AQ871" s="6">
        <f>IF(AP871&lt;=490,0,IF(AP871&lt;=600,(AP871-490)*0.05,IF(AP871&lt;=730,5.5+(AP871-600)*0.10,IF(AP871&lt;=3896.67,18.5+(AP871-730)*0.175,IF(AP871&lt;=19896.67,572.67+(AP871-3896.67)*0.25,IF(AP871&lt;=50416.67,4572.67+(AP871-19896.67)*0.30,13728.67+(AP871-50416.67)*0.35))))))</f>
        <v/>
      </c>
      <c r="AR871" s="6">
        <f>SUM(AM871,AQ871,W871,X871,Y871,Z871,AA871,AN871,AO871)</f>
        <v/>
      </c>
      <c r="AS871" s="6">
        <f>AL871-AR871</f>
        <v/>
      </c>
      <c r="AT871" s="6">
        <f>AB871-AC871</f>
        <v/>
      </c>
    </row>
    <row r="872">
      <c r="A872" s="2" t="n"/>
      <c r="B872" s="3" t="n"/>
      <c r="C872" s="4" t="n"/>
      <c r="D872" s="5" t="n"/>
      <c r="E872" s="3" t="n"/>
      <c r="F872" s="4" t="n"/>
      <c r="G872" s="5" t="n"/>
      <c r="H872" s="3" t="n"/>
      <c r="I872" s="4" t="n"/>
      <c r="J872" s="5" t="n"/>
      <c r="K872" s="3" t="n"/>
      <c r="L872" s="4" t="n"/>
      <c r="M872" s="5" t="n"/>
      <c r="N872" s="3" t="n"/>
      <c r="O872" s="4" t="n"/>
      <c r="P872" s="5" t="n"/>
      <c r="Q872" s="3" t="n"/>
      <c r="R872" s="4" t="n"/>
      <c r="S872" s="5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6">
        <f>IF(C872=0,0,IF(E872="",B872*D872/100,E872))</f>
        <v/>
      </c>
      <c r="AE872" s="6">
        <f>IF(F872=0,0,IF(H872="",B872*G872/100,H872))</f>
        <v/>
      </c>
      <c r="AF872" s="6">
        <f>IF(I872=0,0,IF(K872="",B872*J872/100,K872))</f>
        <v/>
      </c>
      <c r="AG872" s="6">
        <f>IF(L872=0,0,IF(N872="",B872*M872/100,N872))</f>
        <v/>
      </c>
      <c r="AH872" s="6">
        <f>IF(O872=0,0,IF(Q872="",B872*P872/100,Q872))</f>
        <v/>
      </c>
      <c r="AI872" s="6">
        <f>IF(R872=0,0,IF(T872="",B872*S872/100,T872))</f>
        <v/>
      </c>
      <c r="AJ872" s="6">
        <f>B872*0.035</f>
        <v/>
      </c>
      <c r="AK872" s="6">
        <f>B872*0.065</f>
        <v/>
      </c>
      <c r="AL872" s="6">
        <f>SUM(B872,AD872,AE872,AF872,AG872,AH872,AI872,U872,V872,AJ872,AK872)</f>
        <v/>
      </c>
      <c r="AM872" s="6">
        <f>B872*0.055</f>
        <v/>
      </c>
      <c r="AN872" s="6">
        <f>B872*0.035</f>
        <v/>
      </c>
      <c r="AO872" s="6">
        <f>B872*0.165</f>
        <v/>
      </c>
      <c r="AP872" s="6">
        <f>MAX(0,AL872-AM872-AO872)</f>
        <v/>
      </c>
      <c r="AQ872" s="6">
        <f>IF(AP872&lt;=490,0,IF(AP872&lt;=600,(AP872-490)*0.05,IF(AP872&lt;=730,5.5+(AP872-600)*0.10,IF(AP872&lt;=3896.67,18.5+(AP872-730)*0.175,IF(AP872&lt;=19896.67,572.67+(AP872-3896.67)*0.25,IF(AP872&lt;=50416.67,4572.67+(AP872-19896.67)*0.30,13728.67+(AP872-50416.67)*0.35))))))</f>
        <v/>
      </c>
      <c r="AR872" s="6">
        <f>SUM(AM872,AQ872,W872,X872,Y872,Z872,AA872,AN872,AO872)</f>
        <v/>
      </c>
      <c r="AS872" s="6">
        <f>AL872-AR872</f>
        <v/>
      </c>
      <c r="AT872" s="6">
        <f>AB872-AC872</f>
        <v/>
      </c>
    </row>
    <row r="873">
      <c r="A873" s="2" t="n"/>
      <c r="B873" s="3" t="n"/>
      <c r="C873" s="4" t="n"/>
      <c r="D873" s="5" t="n"/>
      <c r="E873" s="3" t="n"/>
      <c r="F873" s="4" t="n"/>
      <c r="G873" s="5" t="n"/>
      <c r="H873" s="3" t="n"/>
      <c r="I873" s="4" t="n"/>
      <c r="J873" s="5" t="n"/>
      <c r="K873" s="3" t="n"/>
      <c r="L873" s="4" t="n"/>
      <c r="M873" s="5" t="n"/>
      <c r="N873" s="3" t="n"/>
      <c r="O873" s="4" t="n"/>
      <c r="P873" s="5" t="n"/>
      <c r="Q873" s="3" t="n"/>
      <c r="R873" s="4" t="n"/>
      <c r="S873" s="5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6">
        <f>IF(C873=0,0,IF(E873="",B873*D873/100,E873))</f>
        <v/>
      </c>
      <c r="AE873" s="6">
        <f>IF(F873=0,0,IF(H873="",B873*G873/100,H873))</f>
        <v/>
      </c>
      <c r="AF873" s="6">
        <f>IF(I873=0,0,IF(K873="",B873*J873/100,K873))</f>
        <v/>
      </c>
      <c r="AG873" s="6">
        <f>IF(L873=0,0,IF(N873="",B873*M873/100,N873))</f>
        <v/>
      </c>
      <c r="AH873" s="6">
        <f>IF(O873=0,0,IF(Q873="",B873*P873/100,Q873))</f>
        <v/>
      </c>
      <c r="AI873" s="6">
        <f>IF(R873=0,0,IF(T873="",B873*S873/100,T873))</f>
        <v/>
      </c>
      <c r="AJ873" s="6">
        <f>B873*0.035</f>
        <v/>
      </c>
      <c r="AK873" s="6">
        <f>B873*0.065</f>
        <v/>
      </c>
      <c r="AL873" s="6">
        <f>SUM(B873,AD873,AE873,AF873,AG873,AH873,AI873,U873,V873,AJ873,AK873)</f>
        <v/>
      </c>
      <c r="AM873" s="6">
        <f>B873*0.055</f>
        <v/>
      </c>
      <c r="AN873" s="6">
        <f>B873*0.035</f>
        <v/>
      </c>
      <c r="AO873" s="6">
        <f>B873*0.165</f>
        <v/>
      </c>
      <c r="AP873" s="6">
        <f>MAX(0,AL873-AM873-AO873)</f>
        <v/>
      </c>
      <c r="AQ873" s="6">
        <f>IF(AP873&lt;=490,0,IF(AP873&lt;=600,(AP873-490)*0.05,IF(AP873&lt;=730,5.5+(AP873-600)*0.10,IF(AP873&lt;=3896.67,18.5+(AP873-730)*0.175,IF(AP873&lt;=19896.67,572.67+(AP873-3896.67)*0.25,IF(AP873&lt;=50416.67,4572.67+(AP873-19896.67)*0.30,13728.67+(AP873-50416.67)*0.35))))))</f>
        <v/>
      </c>
      <c r="AR873" s="6">
        <f>SUM(AM873,AQ873,W873,X873,Y873,Z873,AA873,AN873,AO873)</f>
        <v/>
      </c>
      <c r="AS873" s="6">
        <f>AL873-AR873</f>
        <v/>
      </c>
      <c r="AT873" s="6">
        <f>AB873-AC873</f>
        <v/>
      </c>
    </row>
    <row r="874">
      <c r="A874" s="2" t="n"/>
      <c r="B874" s="3" t="n"/>
      <c r="C874" s="4" t="n"/>
      <c r="D874" s="5" t="n"/>
      <c r="E874" s="3" t="n"/>
      <c r="F874" s="4" t="n"/>
      <c r="G874" s="5" t="n"/>
      <c r="H874" s="3" t="n"/>
      <c r="I874" s="4" t="n"/>
      <c r="J874" s="5" t="n"/>
      <c r="K874" s="3" t="n"/>
      <c r="L874" s="4" t="n"/>
      <c r="M874" s="5" t="n"/>
      <c r="N874" s="3" t="n"/>
      <c r="O874" s="4" t="n"/>
      <c r="P874" s="5" t="n"/>
      <c r="Q874" s="3" t="n"/>
      <c r="R874" s="4" t="n"/>
      <c r="S874" s="5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6">
        <f>IF(C874=0,0,IF(E874="",B874*D874/100,E874))</f>
        <v/>
      </c>
      <c r="AE874" s="6">
        <f>IF(F874=0,0,IF(H874="",B874*G874/100,H874))</f>
        <v/>
      </c>
      <c r="AF874" s="6">
        <f>IF(I874=0,0,IF(K874="",B874*J874/100,K874))</f>
        <v/>
      </c>
      <c r="AG874" s="6">
        <f>IF(L874=0,0,IF(N874="",B874*M874/100,N874))</f>
        <v/>
      </c>
      <c r="AH874" s="6">
        <f>IF(O874=0,0,IF(Q874="",B874*P874/100,Q874))</f>
        <v/>
      </c>
      <c r="AI874" s="6">
        <f>IF(R874=0,0,IF(T874="",B874*S874/100,T874))</f>
        <v/>
      </c>
      <c r="AJ874" s="6">
        <f>B874*0.035</f>
        <v/>
      </c>
      <c r="AK874" s="6">
        <f>B874*0.065</f>
        <v/>
      </c>
      <c r="AL874" s="6">
        <f>SUM(B874,AD874,AE874,AF874,AG874,AH874,AI874,U874,V874,AJ874,AK874)</f>
        <v/>
      </c>
      <c r="AM874" s="6">
        <f>B874*0.055</f>
        <v/>
      </c>
      <c r="AN874" s="6">
        <f>B874*0.035</f>
        <v/>
      </c>
      <c r="AO874" s="6">
        <f>B874*0.165</f>
        <v/>
      </c>
      <c r="AP874" s="6">
        <f>MAX(0,AL874-AM874-AO874)</f>
        <v/>
      </c>
      <c r="AQ874" s="6">
        <f>IF(AP874&lt;=490,0,IF(AP874&lt;=600,(AP874-490)*0.05,IF(AP874&lt;=730,5.5+(AP874-600)*0.10,IF(AP874&lt;=3896.67,18.5+(AP874-730)*0.175,IF(AP874&lt;=19896.67,572.67+(AP874-3896.67)*0.25,IF(AP874&lt;=50416.67,4572.67+(AP874-19896.67)*0.30,13728.67+(AP874-50416.67)*0.35))))))</f>
        <v/>
      </c>
      <c r="AR874" s="6">
        <f>SUM(AM874,AQ874,W874,X874,Y874,Z874,AA874,AN874,AO874)</f>
        <v/>
      </c>
      <c r="AS874" s="6">
        <f>AL874-AR874</f>
        <v/>
      </c>
      <c r="AT874" s="6">
        <f>AB874-AC874</f>
        <v/>
      </c>
    </row>
    <row r="875">
      <c r="A875" s="2" t="n"/>
      <c r="B875" s="3" t="n"/>
      <c r="C875" s="4" t="n"/>
      <c r="D875" s="5" t="n"/>
      <c r="E875" s="3" t="n"/>
      <c r="F875" s="4" t="n"/>
      <c r="G875" s="5" t="n"/>
      <c r="H875" s="3" t="n"/>
      <c r="I875" s="4" t="n"/>
      <c r="J875" s="5" t="n"/>
      <c r="K875" s="3" t="n"/>
      <c r="L875" s="4" t="n"/>
      <c r="M875" s="5" t="n"/>
      <c r="N875" s="3" t="n"/>
      <c r="O875" s="4" t="n"/>
      <c r="P875" s="5" t="n"/>
      <c r="Q875" s="3" t="n"/>
      <c r="R875" s="4" t="n"/>
      <c r="S875" s="5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6">
        <f>IF(C875=0,0,IF(E875="",B875*D875/100,E875))</f>
        <v/>
      </c>
      <c r="AE875" s="6">
        <f>IF(F875=0,0,IF(H875="",B875*G875/100,H875))</f>
        <v/>
      </c>
      <c r="AF875" s="6">
        <f>IF(I875=0,0,IF(K875="",B875*J875/100,K875))</f>
        <v/>
      </c>
      <c r="AG875" s="6">
        <f>IF(L875=0,0,IF(N875="",B875*M875/100,N875))</f>
        <v/>
      </c>
      <c r="AH875" s="6">
        <f>IF(O875=0,0,IF(Q875="",B875*P875/100,Q875))</f>
        <v/>
      </c>
      <c r="AI875" s="6">
        <f>IF(R875=0,0,IF(T875="",B875*S875/100,T875))</f>
        <v/>
      </c>
      <c r="AJ875" s="6">
        <f>B875*0.035</f>
        <v/>
      </c>
      <c r="AK875" s="6">
        <f>B875*0.065</f>
        <v/>
      </c>
      <c r="AL875" s="6">
        <f>SUM(B875,AD875,AE875,AF875,AG875,AH875,AI875,U875,V875,AJ875,AK875)</f>
        <v/>
      </c>
      <c r="AM875" s="6">
        <f>B875*0.055</f>
        <v/>
      </c>
      <c r="AN875" s="6">
        <f>B875*0.035</f>
        <v/>
      </c>
      <c r="AO875" s="6">
        <f>B875*0.165</f>
        <v/>
      </c>
      <c r="AP875" s="6">
        <f>MAX(0,AL875-AM875-AO875)</f>
        <v/>
      </c>
      <c r="AQ875" s="6">
        <f>IF(AP875&lt;=490,0,IF(AP875&lt;=600,(AP875-490)*0.05,IF(AP875&lt;=730,5.5+(AP875-600)*0.10,IF(AP875&lt;=3896.67,18.5+(AP875-730)*0.175,IF(AP875&lt;=19896.67,572.67+(AP875-3896.67)*0.25,IF(AP875&lt;=50416.67,4572.67+(AP875-19896.67)*0.30,13728.67+(AP875-50416.67)*0.35))))))</f>
        <v/>
      </c>
      <c r="AR875" s="6">
        <f>SUM(AM875,AQ875,W875,X875,Y875,Z875,AA875,AN875,AO875)</f>
        <v/>
      </c>
      <c r="AS875" s="6">
        <f>AL875-AR875</f>
        <v/>
      </c>
      <c r="AT875" s="6">
        <f>AB875-AC875</f>
        <v/>
      </c>
    </row>
    <row r="876">
      <c r="A876" s="2" t="n"/>
      <c r="B876" s="3" t="n"/>
      <c r="C876" s="4" t="n"/>
      <c r="D876" s="5" t="n"/>
      <c r="E876" s="3" t="n"/>
      <c r="F876" s="4" t="n"/>
      <c r="G876" s="5" t="n"/>
      <c r="H876" s="3" t="n"/>
      <c r="I876" s="4" t="n"/>
      <c r="J876" s="5" t="n"/>
      <c r="K876" s="3" t="n"/>
      <c r="L876" s="4" t="n"/>
      <c r="M876" s="5" t="n"/>
      <c r="N876" s="3" t="n"/>
      <c r="O876" s="4" t="n"/>
      <c r="P876" s="5" t="n"/>
      <c r="Q876" s="3" t="n"/>
      <c r="R876" s="4" t="n"/>
      <c r="S876" s="5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6">
        <f>IF(C876=0,0,IF(E876="",B876*D876/100,E876))</f>
        <v/>
      </c>
      <c r="AE876" s="6">
        <f>IF(F876=0,0,IF(H876="",B876*G876/100,H876))</f>
        <v/>
      </c>
      <c r="AF876" s="6">
        <f>IF(I876=0,0,IF(K876="",B876*J876/100,K876))</f>
        <v/>
      </c>
      <c r="AG876" s="6">
        <f>IF(L876=0,0,IF(N876="",B876*M876/100,N876))</f>
        <v/>
      </c>
      <c r="AH876" s="6">
        <f>IF(O876=0,0,IF(Q876="",B876*P876/100,Q876))</f>
        <v/>
      </c>
      <c r="AI876" s="6">
        <f>IF(R876=0,0,IF(T876="",B876*S876/100,T876))</f>
        <v/>
      </c>
      <c r="AJ876" s="6">
        <f>B876*0.035</f>
        <v/>
      </c>
      <c r="AK876" s="6">
        <f>B876*0.065</f>
        <v/>
      </c>
      <c r="AL876" s="6">
        <f>SUM(B876,AD876,AE876,AF876,AG876,AH876,AI876,U876,V876,AJ876,AK876)</f>
        <v/>
      </c>
      <c r="AM876" s="6">
        <f>B876*0.055</f>
        <v/>
      </c>
      <c r="AN876" s="6">
        <f>B876*0.035</f>
        <v/>
      </c>
      <c r="AO876" s="6">
        <f>B876*0.165</f>
        <v/>
      </c>
      <c r="AP876" s="6">
        <f>MAX(0,AL876-AM876-AO876)</f>
        <v/>
      </c>
      <c r="AQ876" s="6">
        <f>IF(AP876&lt;=490,0,IF(AP876&lt;=600,(AP876-490)*0.05,IF(AP876&lt;=730,5.5+(AP876-600)*0.10,IF(AP876&lt;=3896.67,18.5+(AP876-730)*0.175,IF(AP876&lt;=19896.67,572.67+(AP876-3896.67)*0.25,IF(AP876&lt;=50416.67,4572.67+(AP876-19896.67)*0.30,13728.67+(AP876-50416.67)*0.35))))))</f>
        <v/>
      </c>
      <c r="AR876" s="6">
        <f>SUM(AM876,AQ876,W876,X876,Y876,Z876,AA876,AN876,AO876)</f>
        <v/>
      </c>
      <c r="AS876" s="6">
        <f>AL876-AR876</f>
        <v/>
      </c>
      <c r="AT876" s="6">
        <f>AB876-AC876</f>
        <v/>
      </c>
    </row>
    <row r="877">
      <c r="A877" s="2" t="n"/>
      <c r="B877" s="3" t="n"/>
      <c r="C877" s="4" t="n"/>
      <c r="D877" s="5" t="n"/>
      <c r="E877" s="3" t="n"/>
      <c r="F877" s="4" t="n"/>
      <c r="G877" s="5" t="n"/>
      <c r="H877" s="3" t="n"/>
      <c r="I877" s="4" t="n"/>
      <c r="J877" s="5" t="n"/>
      <c r="K877" s="3" t="n"/>
      <c r="L877" s="4" t="n"/>
      <c r="M877" s="5" t="n"/>
      <c r="N877" s="3" t="n"/>
      <c r="O877" s="4" t="n"/>
      <c r="P877" s="5" t="n"/>
      <c r="Q877" s="3" t="n"/>
      <c r="R877" s="4" t="n"/>
      <c r="S877" s="5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6">
        <f>IF(C877=0,0,IF(E877="",B877*D877/100,E877))</f>
        <v/>
      </c>
      <c r="AE877" s="6">
        <f>IF(F877=0,0,IF(H877="",B877*G877/100,H877))</f>
        <v/>
      </c>
      <c r="AF877" s="6">
        <f>IF(I877=0,0,IF(K877="",B877*J877/100,K877))</f>
        <v/>
      </c>
      <c r="AG877" s="6">
        <f>IF(L877=0,0,IF(N877="",B877*M877/100,N877))</f>
        <v/>
      </c>
      <c r="AH877" s="6">
        <f>IF(O877=0,0,IF(Q877="",B877*P877/100,Q877))</f>
        <v/>
      </c>
      <c r="AI877" s="6">
        <f>IF(R877=0,0,IF(T877="",B877*S877/100,T877))</f>
        <v/>
      </c>
      <c r="AJ877" s="6">
        <f>B877*0.035</f>
        <v/>
      </c>
      <c r="AK877" s="6">
        <f>B877*0.065</f>
        <v/>
      </c>
      <c r="AL877" s="6">
        <f>SUM(B877,AD877,AE877,AF877,AG877,AH877,AI877,U877,V877,AJ877,AK877)</f>
        <v/>
      </c>
      <c r="AM877" s="6">
        <f>B877*0.055</f>
        <v/>
      </c>
      <c r="AN877" s="6">
        <f>B877*0.035</f>
        <v/>
      </c>
      <c r="AO877" s="6">
        <f>B877*0.165</f>
        <v/>
      </c>
      <c r="AP877" s="6">
        <f>MAX(0,AL877-AM877-AO877)</f>
        <v/>
      </c>
      <c r="AQ877" s="6">
        <f>IF(AP877&lt;=490,0,IF(AP877&lt;=600,(AP877-490)*0.05,IF(AP877&lt;=730,5.5+(AP877-600)*0.10,IF(AP877&lt;=3896.67,18.5+(AP877-730)*0.175,IF(AP877&lt;=19896.67,572.67+(AP877-3896.67)*0.25,IF(AP877&lt;=50416.67,4572.67+(AP877-19896.67)*0.30,13728.67+(AP877-50416.67)*0.35))))))</f>
        <v/>
      </c>
      <c r="AR877" s="6">
        <f>SUM(AM877,AQ877,W877,X877,Y877,Z877,AA877,AN877,AO877)</f>
        <v/>
      </c>
      <c r="AS877" s="6">
        <f>AL877-AR877</f>
        <v/>
      </c>
      <c r="AT877" s="6">
        <f>AB877-AC877</f>
        <v/>
      </c>
    </row>
    <row r="878">
      <c r="A878" s="2" t="n"/>
      <c r="B878" s="3" t="n"/>
      <c r="C878" s="4" t="n"/>
      <c r="D878" s="5" t="n"/>
      <c r="E878" s="3" t="n"/>
      <c r="F878" s="4" t="n"/>
      <c r="G878" s="5" t="n"/>
      <c r="H878" s="3" t="n"/>
      <c r="I878" s="4" t="n"/>
      <c r="J878" s="5" t="n"/>
      <c r="K878" s="3" t="n"/>
      <c r="L878" s="4" t="n"/>
      <c r="M878" s="5" t="n"/>
      <c r="N878" s="3" t="n"/>
      <c r="O878" s="4" t="n"/>
      <c r="P878" s="5" t="n"/>
      <c r="Q878" s="3" t="n"/>
      <c r="R878" s="4" t="n"/>
      <c r="S878" s="5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6">
        <f>IF(C878=0,0,IF(E878="",B878*D878/100,E878))</f>
        <v/>
      </c>
      <c r="AE878" s="6">
        <f>IF(F878=0,0,IF(H878="",B878*G878/100,H878))</f>
        <v/>
      </c>
      <c r="AF878" s="6">
        <f>IF(I878=0,0,IF(K878="",B878*J878/100,K878))</f>
        <v/>
      </c>
      <c r="AG878" s="6">
        <f>IF(L878=0,0,IF(N878="",B878*M878/100,N878))</f>
        <v/>
      </c>
      <c r="AH878" s="6">
        <f>IF(O878=0,0,IF(Q878="",B878*P878/100,Q878))</f>
        <v/>
      </c>
      <c r="AI878" s="6">
        <f>IF(R878=0,0,IF(T878="",B878*S878/100,T878))</f>
        <v/>
      </c>
      <c r="AJ878" s="6">
        <f>B878*0.035</f>
        <v/>
      </c>
      <c r="AK878" s="6">
        <f>B878*0.065</f>
        <v/>
      </c>
      <c r="AL878" s="6">
        <f>SUM(B878,AD878,AE878,AF878,AG878,AH878,AI878,U878,V878,AJ878,AK878)</f>
        <v/>
      </c>
      <c r="AM878" s="6">
        <f>B878*0.055</f>
        <v/>
      </c>
      <c r="AN878" s="6">
        <f>B878*0.035</f>
        <v/>
      </c>
      <c r="AO878" s="6">
        <f>B878*0.165</f>
        <v/>
      </c>
      <c r="AP878" s="6">
        <f>MAX(0,AL878-AM878-AO878)</f>
        <v/>
      </c>
      <c r="AQ878" s="6">
        <f>IF(AP878&lt;=490,0,IF(AP878&lt;=600,(AP878-490)*0.05,IF(AP878&lt;=730,5.5+(AP878-600)*0.10,IF(AP878&lt;=3896.67,18.5+(AP878-730)*0.175,IF(AP878&lt;=19896.67,572.67+(AP878-3896.67)*0.25,IF(AP878&lt;=50416.67,4572.67+(AP878-19896.67)*0.30,13728.67+(AP878-50416.67)*0.35))))))</f>
        <v/>
      </c>
      <c r="AR878" s="6">
        <f>SUM(AM878,AQ878,W878,X878,Y878,Z878,AA878,AN878,AO878)</f>
        <v/>
      </c>
      <c r="AS878" s="6">
        <f>AL878-AR878</f>
        <v/>
      </c>
      <c r="AT878" s="6">
        <f>AB878-AC878</f>
        <v/>
      </c>
    </row>
    <row r="879">
      <c r="A879" s="2" t="n"/>
      <c r="B879" s="3" t="n"/>
      <c r="C879" s="4" t="n"/>
      <c r="D879" s="5" t="n"/>
      <c r="E879" s="3" t="n"/>
      <c r="F879" s="4" t="n"/>
      <c r="G879" s="5" t="n"/>
      <c r="H879" s="3" t="n"/>
      <c r="I879" s="4" t="n"/>
      <c r="J879" s="5" t="n"/>
      <c r="K879" s="3" t="n"/>
      <c r="L879" s="4" t="n"/>
      <c r="M879" s="5" t="n"/>
      <c r="N879" s="3" t="n"/>
      <c r="O879" s="4" t="n"/>
      <c r="P879" s="5" t="n"/>
      <c r="Q879" s="3" t="n"/>
      <c r="R879" s="4" t="n"/>
      <c r="S879" s="5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6">
        <f>IF(C879=0,0,IF(E879="",B879*D879/100,E879))</f>
        <v/>
      </c>
      <c r="AE879" s="6">
        <f>IF(F879=0,0,IF(H879="",B879*G879/100,H879))</f>
        <v/>
      </c>
      <c r="AF879" s="6">
        <f>IF(I879=0,0,IF(K879="",B879*J879/100,K879))</f>
        <v/>
      </c>
      <c r="AG879" s="6">
        <f>IF(L879=0,0,IF(N879="",B879*M879/100,N879))</f>
        <v/>
      </c>
      <c r="AH879" s="6">
        <f>IF(O879=0,0,IF(Q879="",B879*P879/100,Q879))</f>
        <v/>
      </c>
      <c r="AI879" s="6">
        <f>IF(R879=0,0,IF(T879="",B879*S879/100,T879))</f>
        <v/>
      </c>
      <c r="AJ879" s="6">
        <f>B879*0.035</f>
        <v/>
      </c>
      <c r="AK879" s="6">
        <f>B879*0.065</f>
        <v/>
      </c>
      <c r="AL879" s="6">
        <f>SUM(B879,AD879,AE879,AF879,AG879,AH879,AI879,U879,V879,AJ879,AK879)</f>
        <v/>
      </c>
      <c r="AM879" s="6">
        <f>B879*0.055</f>
        <v/>
      </c>
      <c r="AN879" s="6">
        <f>B879*0.035</f>
        <v/>
      </c>
      <c r="AO879" s="6">
        <f>B879*0.165</f>
        <v/>
      </c>
      <c r="AP879" s="6">
        <f>MAX(0,AL879-AM879-AO879)</f>
        <v/>
      </c>
      <c r="AQ879" s="6">
        <f>IF(AP879&lt;=490,0,IF(AP879&lt;=600,(AP879-490)*0.05,IF(AP879&lt;=730,5.5+(AP879-600)*0.10,IF(AP879&lt;=3896.67,18.5+(AP879-730)*0.175,IF(AP879&lt;=19896.67,572.67+(AP879-3896.67)*0.25,IF(AP879&lt;=50416.67,4572.67+(AP879-19896.67)*0.30,13728.67+(AP879-50416.67)*0.35))))))</f>
        <v/>
      </c>
      <c r="AR879" s="6">
        <f>SUM(AM879,AQ879,W879,X879,Y879,Z879,AA879,AN879,AO879)</f>
        <v/>
      </c>
      <c r="AS879" s="6">
        <f>AL879-AR879</f>
        <v/>
      </c>
      <c r="AT879" s="6">
        <f>AB879-AC879</f>
        <v/>
      </c>
    </row>
    <row r="880">
      <c r="A880" s="2" t="n"/>
      <c r="B880" s="3" t="n"/>
      <c r="C880" s="4" t="n"/>
      <c r="D880" s="5" t="n"/>
      <c r="E880" s="3" t="n"/>
      <c r="F880" s="4" t="n"/>
      <c r="G880" s="5" t="n"/>
      <c r="H880" s="3" t="n"/>
      <c r="I880" s="4" t="n"/>
      <c r="J880" s="5" t="n"/>
      <c r="K880" s="3" t="n"/>
      <c r="L880" s="4" t="n"/>
      <c r="M880" s="5" t="n"/>
      <c r="N880" s="3" t="n"/>
      <c r="O880" s="4" t="n"/>
      <c r="P880" s="5" t="n"/>
      <c r="Q880" s="3" t="n"/>
      <c r="R880" s="4" t="n"/>
      <c r="S880" s="5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6">
        <f>IF(C880=0,0,IF(E880="",B880*D880/100,E880))</f>
        <v/>
      </c>
      <c r="AE880" s="6">
        <f>IF(F880=0,0,IF(H880="",B880*G880/100,H880))</f>
        <v/>
      </c>
      <c r="AF880" s="6">
        <f>IF(I880=0,0,IF(K880="",B880*J880/100,K880))</f>
        <v/>
      </c>
      <c r="AG880" s="6">
        <f>IF(L880=0,0,IF(N880="",B880*M880/100,N880))</f>
        <v/>
      </c>
      <c r="AH880" s="6">
        <f>IF(O880=0,0,IF(Q880="",B880*P880/100,Q880))</f>
        <v/>
      </c>
      <c r="AI880" s="6">
        <f>IF(R880=0,0,IF(T880="",B880*S880/100,T880))</f>
        <v/>
      </c>
      <c r="AJ880" s="6">
        <f>B880*0.035</f>
        <v/>
      </c>
      <c r="AK880" s="6">
        <f>B880*0.065</f>
        <v/>
      </c>
      <c r="AL880" s="6">
        <f>SUM(B880,AD880,AE880,AF880,AG880,AH880,AI880,U880,V880,AJ880,AK880)</f>
        <v/>
      </c>
      <c r="AM880" s="6">
        <f>B880*0.055</f>
        <v/>
      </c>
      <c r="AN880" s="6">
        <f>B880*0.035</f>
        <v/>
      </c>
      <c r="AO880" s="6">
        <f>B880*0.165</f>
        <v/>
      </c>
      <c r="AP880" s="6">
        <f>MAX(0,AL880-AM880-AO880)</f>
        <v/>
      </c>
      <c r="AQ880" s="6">
        <f>IF(AP880&lt;=490,0,IF(AP880&lt;=600,(AP880-490)*0.05,IF(AP880&lt;=730,5.5+(AP880-600)*0.10,IF(AP880&lt;=3896.67,18.5+(AP880-730)*0.175,IF(AP880&lt;=19896.67,572.67+(AP880-3896.67)*0.25,IF(AP880&lt;=50416.67,4572.67+(AP880-19896.67)*0.30,13728.67+(AP880-50416.67)*0.35))))))</f>
        <v/>
      </c>
      <c r="AR880" s="6">
        <f>SUM(AM880,AQ880,W880,X880,Y880,Z880,AA880,AN880,AO880)</f>
        <v/>
      </c>
      <c r="AS880" s="6">
        <f>AL880-AR880</f>
        <v/>
      </c>
      <c r="AT880" s="6">
        <f>AB880-AC880</f>
        <v/>
      </c>
    </row>
    <row r="881">
      <c r="A881" s="2" t="n"/>
      <c r="B881" s="3" t="n"/>
      <c r="C881" s="4" t="n"/>
      <c r="D881" s="5" t="n"/>
      <c r="E881" s="3" t="n"/>
      <c r="F881" s="4" t="n"/>
      <c r="G881" s="5" t="n"/>
      <c r="H881" s="3" t="n"/>
      <c r="I881" s="4" t="n"/>
      <c r="J881" s="5" t="n"/>
      <c r="K881" s="3" t="n"/>
      <c r="L881" s="4" t="n"/>
      <c r="M881" s="5" t="n"/>
      <c r="N881" s="3" t="n"/>
      <c r="O881" s="4" t="n"/>
      <c r="P881" s="5" t="n"/>
      <c r="Q881" s="3" t="n"/>
      <c r="R881" s="4" t="n"/>
      <c r="S881" s="5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6">
        <f>IF(C881=0,0,IF(E881="",B881*D881/100,E881))</f>
        <v/>
      </c>
      <c r="AE881" s="6">
        <f>IF(F881=0,0,IF(H881="",B881*G881/100,H881))</f>
        <v/>
      </c>
      <c r="AF881" s="6">
        <f>IF(I881=0,0,IF(K881="",B881*J881/100,K881))</f>
        <v/>
      </c>
      <c r="AG881" s="6">
        <f>IF(L881=0,0,IF(N881="",B881*M881/100,N881))</f>
        <v/>
      </c>
      <c r="AH881" s="6">
        <f>IF(O881=0,0,IF(Q881="",B881*P881/100,Q881))</f>
        <v/>
      </c>
      <c r="AI881" s="6">
        <f>IF(R881=0,0,IF(T881="",B881*S881/100,T881))</f>
        <v/>
      </c>
      <c r="AJ881" s="6">
        <f>B881*0.035</f>
        <v/>
      </c>
      <c r="AK881" s="6">
        <f>B881*0.065</f>
        <v/>
      </c>
      <c r="AL881" s="6">
        <f>SUM(B881,AD881,AE881,AF881,AG881,AH881,AI881,U881,V881,AJ881,AK881)</f>
        <v/>
      </c>
      <c r="AM881" s="6">
        <f>B881*0.055</f>
        <v/>
      </c>
      <c r="AN881" s="6">
        <f>B881*0.035</f>
        <v/>
      </c>
      <c r="AO881" s="6">
        <f>B881*0.165</f>
        <v/>
      </c>
      <c r="AP881" s="6">
        <f>MAX(0,AL881-AM881-AO881)</f>
        <v/>
      </c>
      <c r="AQ881" s="6">
        <f>IF(AP881&lt;=490,0,IF(AP881&lt;=600,(AP881-490)*0.05,IF(AP881&lt;=730,5.5+(AP881-600)*0.10,IF(AP881&lt;=3896.67,18.5+(AP881-730)*0.175,IF(AP881&lt;=19896.67,572.67+(AP881-3896.67)*0.25,IF(AP881&lt;=50416.67,4572.67+(AP881-19896.67)*0.30,13728.67+(AP881-50416.67)*0.35))))))</f>
        <v/>
      </c>
      <c r="AR881" s="6">
        <f>SUM(AM881,AQ881,W881,X881,Y881,Z881,AA881,AN881,AO881)</f>
        <v/>
      </c>
      <c r="AS881" s="6">
        <f>AL881-AR881</f>
        <v/>
      </c>
      <c r="AT881" s="6">
        <f>AB881-AC881</f>
        <v/>
      </c>
    </row>
    <row r="882">
      <c r="A882" s="2" t="n"/>
      <c r="B882" s="3" t="n"/>
      <c r="C882" s="4" t="n"/>
      <c r="D882" s="5" t="n"/>
      <c r="E882" s="3" t="n"/>
      <c r="F882" s="4" t="n"/>
      <c r="G882" s="5" t="n"/>
      <c r="H882" s="3" t="n"/>
      <c r="I882" s="4" t="n"/>
      <c r="J882" s="5" t="n"/>
      <c r="K882" s="3" t="n"/>
      <c r="L882" s="4" t="n"/>
      <c r="M882" s="5" t="n"/>
      <c r="N882" s="3" t="n"/>
      <c r="O882" s="4" t="n"/>
      <c r="P882" s="5" t="n"/>
      <c r="Q882" s="3" t="n"/>
      <c r="R882" s="4" t="n"/>
      <c r="S882" s="5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6">
        <f>IF(C882=0,0,IF(E882="",B882*D882/100,E882))</f>
        <v/>
      </c>
      <c r="AE882" s="6">
        <f>IF(F882=0,0,IF(H882="",B882*G882/100,H882))</f>
        <v/>
      </c>
      <c r="AF882" s="6">
        <f>IF(I882=0,0,IF(K882="",B882*J882/100,K882))</f>
        <v/>
      </c>
      <c r="AG882" s="6">
        <f>IF(L882=0,0,IF(N882="",B882*M882/100,N882))</f>
        <v/>
      </c>
      <c r="AH882" s="6">
        <f>IF(O882=0,0,IF(Q882="",B882*P882/100,Q882))</f>
        <v/>
      </c>
      <c r="AI882" s="6">
        <f>IF(R882=0,0,IF(T882="",B882*S882/100,T882))</f>
        <v/>
      </c>
      <c r="AJ882" s="6">
        <f>B882*0.035</f>
        <v/>
      </c>
      <c r="AK882" s="6">
        <f>B882*0.065</f>
        <v/>
      </c>
      <c r="AL882" s="6">
        <f>SUM(B882,AD882,AE882,AF882,AG882,AH882,AI882,U882,V882,AJ882,AK882)</f>
        <v/>
      </c>
      <c r="AM882" s="6">
        <f>B882*0.055</f>
        <v/>
      </c>
      <c r="AN882" s="6">
        <f>B882*0.035</f>
        <v/>
      </c>
      <c r="AO882" s="6">
        <f>B882*0.165</f>
        <v/>
      </c>
      <c r="AP882" s="6">
        <f>MAX(0,AL882-AM882-AO882)</f>
        <v/>
      </c>
      <c r="AQ882" s="6">
        <f>IF(AP882&lt;=490,0,IF(AP882&lt;=600,(AP882-490)*0.05,IF(AP882&lt;=730,5.5+(AP882-600)*0.10,IF(AP882&lt;=3896.67,18.5+(AP882-730)*0.175,IF(AP882&lt;=19896.67,572.67+(AP882-3896.67)*0.25,IF(AP882&lt;=50416.67,4572.67+(AP882-19896.67)*0.30,13728.67+(AP882-50416.67)*0.35))))))</f>
        <v/>
      </c>
      <c r="AR882" s="6">
        <f>SUM(AM882,AQ882,W882,X882,Y882,Z882,AA882,AN882,AO882)</f>
        <v/>
      </c>
      <c r="AS882" s="6">
        <f>AL882-AR882</f>
        <v/>
      </c>
      <c r="AT882" s="6">
        <f>AB882-AC882</f>
        <v/>
      </c>
    </row>
    <row r="883">
      <c r="A883" s="2" t="n"/>
      <c r="B883" s="3" t="n"/>
      <c r="C883" s="4" t="n"/>
      <c r="D883" s="5" t="n"/>
      <c r="E883" s="3" t="n"/>
      <c r="F883" s="4" t="n"/>
      <c r="G883" s="5" t="n"/>
      <c r="H883" s="3" t="n"/>
      <c r="I883" s="4" t="n"/>
      <c r="J883" s="5" t="n"/>
      <c r="K883" s="3" t="n"/>
      <c r="L883" s="4" t="n"/>
      <c r="M883" s="5" t="n"/>
      <c r="N883" s="3" t="n"/>
      <c r="O883" s="4" t="n"/>
      <c r="P883" s="5" t="n"/>
      <c r="Q883" s="3" t="n"/>
      <c r="R883" s="4" t="n"/>
      <c r="S883" s="5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6">
        <f>IF(C883=0,0,IF(E883="",B883*D883/100,E883))</f>
        <v/>
      </c>
      <c r="AE883" s="6">
        <f>IF(F883=0,0,IF(H883="",B883*G883/100,H883))</f>
        <v/>
      </c>
      <c r="AF883" s="6">
        <f>IF(I883=0,0,IF(K883="",B883*J883/100,K883))</f>
        <v/>
      </c>
      <c r="AG883" s="6">
        <f>IF(L883=0,0,IF(N883="",B883*M883/100,N883))</f>
        <v/>
      </c>
      <c r="AH883" s="6">
        <f>IF(O883=0,0,IF(Q883="",B883*P883/100,Q883))</f>
        <v/>
      </c>
      <c r="AI883" s="6">
        <f>IF(R883=0,0,IF(T883="",B883*S883/100,T883))</f>
        <v/>
      </c>
      <c r="AJ883" s="6">
        <f>B883*0.035</f>
        <v/>
      </c>
      <c r="AK883" s="6">
        <f>B883*0.065</f>
        <v/>
      </c>
      <c r="AL883" s="6">
        <f>SUM(B883,AD883,AE883,AF883,AG883,AH883,AI883,U883,V883,AJ883,AK883)</f>
        <v/>
      </c>
      <c r="AM883" s="6">
        <f>B883*0.055</f>
        <v/>
      </c>
      <c r="AN883" s="6">
        <f>B883*0.035</f>
        <v/>
      </c>
      <c r="AO883" s="6">
        <f>B883*0.165</f>
        <v/>
      </c>
      <c r="AP883" s="6">
        <f>MAX(0,AL883-AM883-AO883)</f>
        <v/>
      </c>
      <c r="AQ883" s="6">
        <f>IF(AP883&lt;=490,0,IF(AP883&lt;=600,(AP883-490)*0.05,IF(AP883&lt;=730,5.5+(AP883-600)*0.10,IF(AP883&lt;=3896.67,18.5+(AP883-730)*0.175,IF(AP883&lt;=19896.67,572.67+(AP883-3896.67)*0.25,IF(AP883&lt;=50416.67,4572.67+(AP883-19896.67)*0.30,13728.67+(AP883-50416.67)*0.35))))))</f>
        <v/>
      </c>
      <c r="AR883" s="6">
        <f>SUM(AM883,AQ883,W883,X883,Y883,Z883,AA883,AN883,AO883)</f>
        <v/>
      </c>
      <c r="AS883" s="6">
        <f>AL883-AR883</f>
        <v/>
      </c>
      <c r="AT883" s="6">
        <f>AB883-AC883</f>
        <v/>
      </c>
    </row>
    <row r="884">
      <c r="A884" s="2" t="n"/>
      <c r="B884" s="3" t="n"/>
      <c r="C884" s="4" t="n"/>
      <c r="D884" s="5" t="n"/>
      <c r="E884" s="3" t="n"/>
      <c r="F884" s="4" t="n"/>
      <c r="G884" s="5" t="n"/>
      <c r="H884" s="3" t="n"/>
      <c r="I884" s="4" t="n"/>
      <c r="J884" s="5" t="n"/>
      <c r="K884" s="3" t="n"/>
      <c r="L884" s="4" t="n"/>
      <c r="M884" s="5" t="n"/>
      <c r="N884" s="3" t="n"/>
      <c r="O884" s="4" t="n"/>
      <c r="P884" s="5" t="n"/>
      <c r="Q884" s="3" t="n"/>
      <c r="R884" s="4" t="n"/>
      <c r="S884" s="5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6">
        <f>IF(C884=0,0,IF(E884="",B884*D884/100,E884))</f>
        <v/>
      </c>
      <c r="AE884" s="6">
        <f>IF(F884=0,0,IF(H884="",B884*G884/100,H884))</f>
        <v/>
      </c>
      <c r="AF884" s="6">
        <f>IF(I884=0,0,IF(K884="",B884*J884/100,K884))</f>
        <v/>
      </c>
      <c r="AG884" s="6">
        <f>IF(L884=0,0,IF(N884="",B884*M884/100,N884))</f>
        <v/>
      </c>
      <c r="AH884" s="6">
        <f>IF(O884=0,0,IF(Q884="",B884*P884/100,Q884))</f>
        <v/>
      </c>
      <c r="AI884" s="6">
        <f>IF(R884=0,0,IF(T884="",B884*S884/100,T884))</f>
        <v/>
      </c>
      <c r="AJ884" s="6">
        <f>B884*0.035</f>
        <v/>
      </c>
      <c r="AK884" s="6">
        <f>B884*0.065</f>
        <v/>
      </c>
      <c r="AL884" s="6">
        <f>SUM(B884,AD884,AE884,AF884,AG884,AH884,AI884,U884,V884,AJ884,AK884)</f>
        <v/>
      </c>
      <c r="AM884" s="6">
        <f>B884*0.055</f>
        <v/>
      </c>
      <c r="AN884" s="6">
        <f>B884*0.035</f>
        <v/>
      </c>
      <c r="AO884" s="6">
        <f>B884*0.165</f>
        <v/>
      </c>
      <c r="AP884" s="6">
        <f>MAX(0,AL884-AM884-AO884)</f>
        <v/>
      </c>
      <c r="AQ884" s="6">
        <f>IF(AP884&lt;=490,0,IF(AP884&lt;=600,(AP884-490)*0.05,IF(AP884&lt;=730,5.5+(AP884-600)*0.10,IF(AP884&lt;=3896.67,18.5+(AP884-730)*0.175,IF(AP884&lt;=19896.67,572.67+(AP884-3896.67)*0.25,IF(AP884&lt;=50416.67,4572.67+(AP884-19896.67)*0.30,13728.67+(AP884-50416.67)*0.35))))))</f>
        <v/>
      </c>
      <c r="AR884" s="6">
        <f>SUM(AM884,AQ884,W884,X884,Y884,Z884,AA884,AN884,AO884)</f>
        <v/>
      </c>
      <c r="AS884" s="6">
        <f>AL884-AR884</f>
        <v/>
      </c>
      <c r="AT884" s="6">
        <f>AB884-AC884</f>
        <v/>
      </c>
    </row>
    <row r="885">
      <c r="A885" s="2" t="n"/>
      <c r="B885" s="3" t="n"/>
      <c r="C885" s="4" t="n"/>
      <c r="D885" s="5" t="n"/>
      <c r="E885" s="3" t="n"/>
      <c r="F885" s="4" t="n"/>
      <c r="G885" s="5" t="n"/>
      <c r="H885" s="3" t="n"/>
      <c r="I885" s="4" t="n"/>
      <c r="J885" s="5" t="n"/>
      <c r="K885" s="3" t="n"/>
      <c r="L885" s="4" t="n"/>
      <c r="M885" s="5" t="n"/>
      <c r="N885" s="3" t="n"/>
      <c r="O885" s="4" t="n"/>
      <c r="P885" s="5" t="n"/>
      <c r="Q885" s="3" t="n"/>
      <c r="R885" s="4" t="n"/>
      <c r="S885" s="5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6">
        <f>IF(C885=0,0,IF(E885="",B885*D885/100,E885))</f>
        <v/>
      </c>
      <c r="AE885" s="6">
        <f>IF(F885=0,0,IF(H885="",B885*G885/100,H885))</f>
        <v/>
      </c>
      <c r="AF885" s="6">
        <f>IF(I885=0,0,IF(K885="",B885*J885/100,K885))</f>
        <v/>
      </c>
      <c r="AG885" s="6">
        <f>IF(L885=0,0,IF(N885="",B885*M885/100,N885))</f>
        <v/>
      </c>
      <c r="AH885" s="6">
        <f>IF(O885=0,0,IF(Q885="",B885*P885/100,Q885))</f>
        <v/>
      </c>
      <c r="AI885" s="6">
        <f>IF(R885=0,0,IF(T885="",B885*S885/100,T885))</f>
        <v/>
      </c>
      <c r="AJ885" s="6">
        <f>B885*0.035</f>
        <v/>
      </c>
      <c r="AK885" s="6">
        <f>B885*0.065</f>
        <v/>
      </c>
      <c r="AL885" s="6">
        <f>SUM(B885,AD885,AE885,AF885,AG885,AH885,AI885,U885,V885,AJ885,AK885)</f>
        <v/>
      </c>
      <c r="AM885" s="6">
        <f>B885*0.055</f>
        <v/>
      </c>
      <c r="AN885" s="6">
        <f>B885*0.035</f>
        <v/>
      </c>
      <c r="AO885" s="6">
        <f>B885*0.165</f>
        <v/>
      </c>
      <c r="AP885" s="6">
        <f>MAX(0,AL885-AM885-AO885)</f>
        <v/>
      </c>
      <c r="AQ885" s="6">
        <f>IF(AP885&lt;=490,0,IF(AP885&lt;=600,(AP885-490)*0.05,IF(AP885&lt;=730,5.5+(AP885-600)*0.10,IF(AP885&lt;=3896.67,18.5+(AP885-730)*0.175,IF(AP885&lt;=19896.67,572.67+(AP885-3896.67)*0.25,IF(AP885&lt;=50416.67,4572.67+(AP885-19896.67)*0.30,13728.67+(AP885-50416.67)*0.35))))))</f>
        <v/>
      </c>
      <c r="AR885" s="6">
        <f>SUM(AM885,AQ885,W885,X885,Y885,Z885,AA885,AN885,AO885)</f>
        <v/>
      </c>
      <c r="AS885" s="6">
        <f>AL885-AR885</f>
        <v/>
      </c>
      <c r="AT885" s="6">
        <f>AB885-AC885</f>
        <v/>
      </c>
    </row>
    <row r="886">
      <c r="A886" s="2" t="n"/>
      <c r="B886" s="3" t="n"/>
      <c r="C886" s="4" t="n"/>
      <c r="D886" s="5" t="n"/>
      <c r="E886" s="3" t="n"/>
      <c r="F886" s="4" t="n"/>
      <c r="G886" s="5" t="n"/>
      <c r="H886" s="3" t="n"/>
      <c r="I886" s="4" t="n"/>
      <c r="J886" s="5" t="n"/>
      <c r="K886" s="3" t="n"/>
      <c r="L886" s="4" t="n"/>
      <c r="M886" s="5" t="n"/>
      <c r="N886" s="3" t="n"/>
      <c r="O886" s="4" t="n"/>
      <c r="P886" s="5" t="n"/>
      <c r="Q886" s="3" t="n"/>
      <c r="R886" s="4" t="n"/>
      <c r="S886" s="5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6">
        <f>IF(C886=0,0,IF(E886="",B886*D886/100,E886))</f>
        <v/>
      </c>
      <c r="AE886" s="6">
        <f>IF(F886=0,0,IF(H886="",B886*G886/100,H886))</f>
        <v/>
      </c>
      <c r="AF886" s="6">
        <f>IF(I886=0,0,IF(K886="",B886*J886/100,K886))</f>
        <v/>
      </c>
      <c r="AG886" s="6">
        <f>IF(L886=0,0,IF(N886="",B886*M886/100,N886))</f>
        <v/>
      </c>
      <c r="AH886" s="6">
        <f>IF(O886=0,0,IF(Q886="",B886*P886/100,Q886))</f>
        <v/>
      </c>
      <c r="AI886" s="6">
        <f>IF(R886=0,0,IF(T886="",B886*S886/100,T886))</f>
        <v/>
      </c>
      <c r="AJ886" s="6">
        <f>B886*0.035</f>
        <v/>
      </c>
      <c r="AK886" s="6">
        <f>B886*0.065</f>
        <v/>
      </c>
      <c r="AL886" s="6">
        <f>SUM(B886,AD886,AE886,AF886,AG886,AH886,AI886,U886,V886,AJ886,AK886)</f>
        <v/>
      </c>
      <c r="AM886" s="6">
        <f>B886*0.055</f>
        <v/>
      </c>
      <c r="AN886" s="6">
        <f>B886*0.035</f>
        <v/>
      </c>
      <c r="AO886" s="6">
        <f>B886*0.165</f>
        <v/>
      </c>
      <c r="AP886" s="6">
        <f>MAX(0,AL886-AM886-AO886)</f>
        <v/>
      </c>
      <c r="AQ886" s="6">
        <f>IF(AP886&lt;=490,0,IF(AP886&lt;=600,(AP886-490)*0.05,IF(AP886&lt;=730,5.5+(AP886-600)*0.10,IF(AP886&lt;=3896.67,18.5+(AP886-730)*0.175,IF(AP886&lt;=19896.67,572.67+(AP886-3896.67)*0.25,IF(AP886&lt;=50416.67,4572.67+(AP886-19896.67)*0.30,13728.67+(AP886-50416.67)*0.35))))))</f>
        <v/>
      </c>
      <c r="AR886" s="6">
        <f>SUM(AM886,AQ886,W886,X886,Y886,Z886,AA886,AN886,AO886)</f>
        <v/>
      </c>
      <c r="AS886" s="6">
        <f>AL886-AR886</f>
        <v/>
      </c>
      <c r="AT886" s="6">
        <f>AB886-AC886</f>
        <v/>
      </c>
    </row>
    <row r="887">
      <c r="A887" s="2" t="n"/>
      <c r="B887" s="3" t="n"/>
      <c r="C887" s="4" t="n"/>
      <c r="D887" s="5" t="n"/>
      <c r="E887" s="3" t="n"/>
      <c r="F887" s="4" t="n"/>
      <c r="G887" s="5" t="n"/>
      <c r="H887" s="3" t="n"/>
      <c r="I887" s="4" t="n"/>
      <c r="J887" s="5" t="n"/>
      <c r="K887" s="3" t="n"/>
      <c r="L887" s="4" t="n"/>
      <c r="M887" s="5" t="n"/>
      <c r="N887" s="3" t="n"/>
      <c r="O887" s="4" t="n"/>
      <c r="P887" s="5" t="n"/>
      <c r="Q887" s="3" t="n"/>
      <c r="R887" s="4" t="n"/>
      <c r="S887" s="5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6">
        <f>IF(C887=0,0,IF(E887="",B887*D887/100,E887))</f>
        <v/>
      </c>
      <c r="AE887" s="6">
        <f>IF(F887=0,0,IF(H887="",B887*G887/100,H887))</f>
        <v/>
      </c>
      <c r="AF887" s="6">
        <f>IF(I887=0,0,IF(K887="",B887*J887/100,K887))</f>
        <v/>
      </c>
      <c r="AG887" s="6">
        <f>IF(L887=0,0,IF(N887="",B887*M887/100,N887))</f>
        <v/>
      </c>
      <c r="AH887" s="6">
        <f>IF(O887=0,0,IF(Q887="",B887*P887/100,Q887))</f>
        <v/>
      </c>
      <c r="AI887" s="6">
        <f>IF(R887=0,0,IF(T887="",B887*S887/100,T887))</f>
        <v/>
      </c>
      <c r="AJ887" s="6">
        <f>B887*0.035</f>
        <v/>
      </c>
      <c r="AK887" s="6">
        <f>B887*0.065</f>
        <v/>
      </c>
      <c r="AL887" s="6">
        <f>SUM(B887,AD887,AE887,AF887,AG887,AH887,AI887,U887,V887,AJ887,AK887)</f>
        <v/>
      </c>
      <c r="AM887" s="6">
        <f>B887*0.055</f>
        <v/>
      </c>
      <c r="AN887" s="6">
        <f>B887*0.035</f>
        <v/>
      </c>
      <c r="AO887" s="6">
        <f>B887*0.165</f>
        <v/>
      </c>
      <c r="AP887" s="6">
        <f>MAX(0,AL887-AM887-AO887)</f>
        <v/>
      </c>
      <c r="AQ887" s="6">
        <f>IF(AP887&lt;=490,0,IF(AP887&lt;=600,(AP887-490)*0.05,IF(AP887&lt;=730,5.5+(AP887-600)*0.10,IF(AP887&lt;=3896.67,18.5+(AP887-730)*0.175,IF(AP887&lt;=19896.67,572.67+(AP887-3896.67)*0.25,IF(AP887&lt;=50416.67,4572.67+(AP887-19896.67)*0.30,13728.67+(AP887-50416.67)*0.35))))))</f>
        <v/>
      </c>
      <c r="AR887" s="6">
        <f>SUM(AM887,AQ887,W887,X887,Y887,Z887,AA887,AN887,AO887)</f>
        <v/>
      </c>
      <c r="AS887" s="6">
        <f>AL887-AR887</f>
        <v/>
      </c>
      <c r="AT887" s="6">
        <f>AB887-AC887</f>
        <v/>
      </c>
    </row>
    <row r="888">
      <c r="A888" s="2" t="n"/>
      <c r="B888" s="3" t="n"/>
      <c r="C888" s="4" t="n"/>
      <c r="D888" s="5" t="n"/>
      <c r="E888" s="3" t="n"/>
      <c r="F888" s="4" t="n"/>
      <c r="G888" s="5" t="n"/>
      <c r="H888" s="3" t="n"/>
      <c r="I888" s="4" t="n"/>
      <c r="J888" s="5" t="n"/>
      <c r="K888" s="3" t="n"/>
      <c r="L888" s="4" t="n"/>
      <c r="M888" s="5" t="n"/>
      <c r="N888" s="3" t="n"/>
      <c r="O888" s="4" t="n"/>
      <c r="P888" s="5" t="n"/>
      <c r="Q888" s="3" t="n"/>
      <c r="R888" s="4" t="n"/>
      <c r="S888" s="5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6">
        <f>IF(C888=0,0,IF(E888="",B888*D888/100,E888))</f>
        <v/>
      </c>
      <c r="AE888" s="6">
        <f>IF(F888=0,0,IF(H888="",B888*G888/100,H888))</f>
        <v/>
      </c>
      <c r="AF888" s="6">
        <f>IF(I888=0,0,IF(K888="",B888*J888/100,K888))</f>
        <v/>
      </c>
      <c r="AG888" s="6">
        <f>IF(L888=0,0,IF(N888="",B888*M888/100,N888))</f>
        <v/>
      </c>
      <c r="AH888" s="6">
        <f>IF(O888=0,0,IF(Q888="",B888*P888/100,Q888))</f>
        <v/>
      </c>
      <c r="AI888" s="6">
        <f>IF(R888=0,0,IF(T888="",B888*S888/100,T888))</f>
        <v/>
      </c>
      <c r="AJ888" s="6">
        <f>B888*0.035</f>
        <v/>
      </c>
      <c r="AK888" s="6">
        <f>B888*0.065</f>
        <v/>
      </c>
      <c r="AL888" s="6">
        <f>SUM(B888,AD888,AE888,AF888,AG888,AH888,AI888,U888,V888,AJ888,AK888)</f>
        <v/>
      </c>
      <c r="AM888" s="6">
        <f>B888*0.055</f>
        <v/>
      </c>
      <c r="AN888" s="6">
        <f>B888*0.035</f>
        <v/>
      </c>
      <c r="AO888" s="6">
        <f>B888*0.165</f>
        <v/>
      </c>
      <c r="AP888" s="6">
        <f>MAX(0,AL888-AM888-AO888)</f>
        <v/>
      </c>
      <c r="AQ888" s="6">
        <f>IF(AP888&lt;=490,0,IF(AP888&lt;=600,(AP888-490)*0.05,IF(AP888&lt;=730,5.5+(AP888-600)*0.10,IF(AP888&lt;=3896.67,18.5+(AP888-730)*0.175,IF(AP888&lt;=19896.67,572.67+(AP888-3896.67)*0.25,IF(AP888&lt;=50416.67,4572.67+(AP888-19896.67)*0.30,13728.67+(AP888-50416.67)*0.35))))))</f>
        <v/>
      </c>
      <c r="AR888" s="6">
        <f>SUM(AM888,AQ888,W888,X888,Y888,Z888,AA888,AN888,AO888)</f>
        <v/>
      </c>
      <c r="AS888" s="6">
        <f>AL888-AR888</f>
        <v/>
      </c>
      <c r="AT888" s="6">
        <f>AB888-AC888</f>
        <v/>
      </c>
    </row>
    <row r="889">
      <c r="A889" s="2" t="n"/>
      <c r="B889" s="3" t="n"/>
      <c r="C889" s="4" t="n"/>
      <c r="D889" s="5" t="n"/>
      <c r="E889" s="3" t="n"/>
      <c r="F889" s="4" t="n"/>
      <c r="G889" s="5" t="n"/>
      <c r="H889" s="3" t="n"/>
      <c r="I889" s="4" t="n"/>
      <c r="J889" s="5" t="n"/>
      <c r="K889" s="3" t="n"/>
      <c r="L889" s="4" t="n"/>
      <c r="M889" s="5" t="n"/>
      <c r="N889" s="3" t="n"/>
      <c r="O889" s="4" t="n"/>
      <c r="P889" s="5" t="n"/>
      <c r="Q889" s="3" t="n"/>
      <c r="R889" s="4" t="n"/>
      <c r="S889" s="5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6">
        <f>IF(C889=0,0,IF(E889="",B889*D889/100,E889))</f>
        <v/>
      </c>
      <c r="AE889" s="6">
        <f>IF(F889=0,0,IF(H889="",B889*G889/100,H889))</f>
        <v/>
      </c>
      <c r="AF889" s="6">
        <f>IF(I889=0,0,IF(K889="",B889*J889/100,K889))</f>
        <v/>
      </c>
      <c r="AG889" s="6">
        <f>IF(L889=0,0,IF(N889="",B889*M889/100,N889))</f>
        <v/>
      </c>
      <c r="AH889" s="6">
        <f>IF(O889=0,0,IF(Q889="",B889*P889/100,Q889))</f>
        <v/>
      </c>
      <c r="AI889" s="6">
        <f>IF(R889=0,0,IF(T889="",B889*S889/100,T889))</f>
        <v/>
      </c>
      <c r="AJ889" s="6">
        <f>B889*0.035</f>
        <v/>
      </c>
      <c r="AK889" s="6">
        <f>B889*0.065</f>
        <v/>
      </c>
      <c r="AL889" s="6">
        <f>SUM(B889,AD889,AE889,AF889,AG889,AH889,AI889,U889,V889,AJ889,AK889)</f>
        <v/>
      </c>
      <c r="AM889" s="6">
        <f>B889*0.055</f>
        <v/>
      </c>
      <c r="AN889" s="6">
        <f>B889*0.035</f>
        <v/>
      </c>
      <c r="AO889" s="6">
        <f>B889*0.165</f>
        <v/>
      </c>
      <c r="AP889" s="6">
        <f>MAX(0,AL889-AM889-AO889)</f>
        <v/>
      </c>
      <c r="AQ889" s="6">
        <f>IF(AP889&lt;=490,0,IF(AP889&lt;=600,(AP889-490)*0.05,IF(AP889&lt;=730,5.5+(AP889-600)*0.10,IF(AP889&lt;=3896.67,18.5+(AP889-730)*0.175,IF(AP889&lt;=19896.67,572.67+(AP889-3896.67)*0.25,IF(AP889&lt;=50416.67,4572.67+(AP889-19896.67)*0.30,13728.67+(AP889-50416.67)*0.35))))))</f>
        <v/>
      </c>
      <c r="AR889" s="6">
        <f>SUM(AM889,AQ889,W889,X889,Y889,Z889,AA889,AN889,AO889)</f>
        <v/>
      </c>
      <c r="AS889" s="6">
        <f>AL889-AR889</f>
        <v/>
      </c>
      <c r="AT889" s="6">
        <f>AB889-AC889</f>
        <v/>
      </c>
    </row>
    <row r="890">
      <c r="A890" s="2" t="n"/>
      <c r="B890" s="3" t="n"/>
      <c r="C890" s="4" t="n"/>
      <c r="D890" s="5" t="n"/>
      <c r="E890" s="3" t="n"/>
      <c r="F890" s="4" t="n"/>
      <c r="G890" s="5" t="n"/>
      <c r="H890" s="3" t="n"/>
      <c r="I890" s="4" t="n"/>
      <c r="J890" s="5" t="n"/>
      <c r="K890" s="3" t="n"/>
      <c r="L890" s="4" t="n"/>
      <c r="M890" s="5" t="n"/>
      <c r="N890" s="3" t="n"/>
      <c r="O890" s="4" t="n"/>
      <c r="P890" s="5" t="n"/>
      <c r="Q890" s="3" t="n"/>
      <c r="R890" s="4" t="n"/>
      <c r="S890" s="5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6">
        <f>IF(C890=0,0,IF(E890="",B890*D890/100,E890))</f>
        <v/>
      </c>
      <c r="AE890" s="6">
        <f>IF(F890=0,0,IF(H890="",B890*G890/100,H890))</f>
        <v/>
      </c>
      <c r="AF890" s="6">
        <f>IF(I890=0,0,IF(K890="",B890*J890/100,K890))</f>
        <v/>
      </c>
      <c r="AG890" s="6">
        <f>IF(L890=0,0,IF(N890="",B890*M890/100,N890))</f>
        <v/>
      </c>
      <c r="AH890" s="6">
        <f>IF(O890=0,0,IF(Q890="",B890*P890/100,Q890))</f>
        <v/>
      </c>
      <c r="AI890" s="6">
        <f>IF(R890=0,0,IF(T890="",B890*S890/100,T890))</f>
        <v/>
      </c>
      <c r="AJ890" s="6">
        <f>B890*0.035</f>
        <v/>
      </c>
      <c r="AK890" s="6">
        <f>B890*0.065</f>
        <v/>
      </c>
      <c r="AL890" s="6">
        <f>SUM(B890,AD890,AE890,AF890,AG890,AH890,AI890,U890,V890,AJ890,AK890)</f>
        <v/>
      </c>
      <c r="AM890" s="6">
        <f>B890*0.055</f>
        <v/>
      </c>
      <c r="AN890" s="6">
        <f>B890*0.035</f>
        <v/>
      </c>
      <c r="AO890" s="6">
        <f>B890*0.165</f>
        <v/>
      </c>
      <c r="AP890" s="6">
        <f>MAX(0,AL890-AM890-AO890)</f>
        <v/>
      </c>
      <c r="AQ890" s="6">
        <f>IF(AP890&lt;=490,0,IF(AP890&lt;=600,(AP890-490)*0.05,IF(AP890&lt;=730,5.5+(AP890-600)*0.10,IF(AP890&lt;=3896.67,18.5+(AP890-730)*0.175,IF(AP890&lt;=19896.67,572.67+(AP890-3896.67)*0.25,IF(AP890&lt;=50416.67,4572.67+(AP890-19896.67)*0.30,13728.67+(AP890-50416.67)*0.35))))))</f>
        <v/>
      </c>
      <c r="AR890" s="6">
        <f>SUM(AM890,AQ890,W890,X890,Y890,Z890,AA890,AN890,AO890)</f>
        <v/>
      </c>
      <c r="AS890" s="6">
        <f>AL890-AR890</f>
        <v/>
      </c>
      <c r="AT890" s="6">
        <f>AB890-AC890</f>
        <v/>
      </c>
    </row>
    <row r="891">
      <c r="A891" s="2" t="n"/>
      <c r="B891" s="3" t="n"/>
      <c r="C891" s="4" t="n"/>
      <c r="D891" s="5" t="n"/>
      <c r="E891" s="3" t="n"/>
      <c r="F891" s="4" t="n"/>
      <c r="G891" s="5" t="n"/>
      <c r="H891" s="3" t="n"/>
      <c r="I891" s="4" t="n"/>
      <c r="J891" s="5" t="n"/>
      <c r="K891" s="3" t="n"/>
      <c r="L891" s="4" t="n"/>
      <c r="M891" s="5" t="n"/>
      <c r="N891" s="3" t="n"/>
      <c r="O891" s="4" t="n"/>
      <c r="P891" s="5" t="n"/>
      <c r="Q891" s="3" t="n"/>
      <c r="R891" s="4" t="n"/>
      <c r="S891" s="5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6">
        <f>IF(C891=0,0,IF(E891="",B891*D891/100,E891))</f>
        <v/>
      </c>
      <c r="AE891" s="6">
        <f>IF(F891=0,0,IF(H891="",B891*G891/100,H891))</f>
        <v/>
      </c>
      <c r="AF891" s="6">
        <f>IF(I891=0,0,IF(K891="",B891*J891/100,K891))</f>
        <v/>
      </c>
      <c r="AG891" s="6">
        <f>IF(L891=0,0,IF(N891="",B891*M891/100,N891))</f>
        <v/>
      </c>
      <c r="AH891" s="6">
        <f>IF(O891=0,0,IF(Q891="",B891*P891/100,Q891))</f>
        <v/>
      </c>
      <c r="AI891" s="6">
        <f>IF(R891=0,0,IF(T891="",B891*S891/100,T891))</f>
        <v/>
      </c>
      <c r="AJ891" s="6">
        <f>B891*0.035</f>
        <v/>
      </c>
      <c r="AK891" s="6">
        <f>B891*0.065</f>
        <v/>
      </c>
      <c r="AL891" s="6">
        <f>SUM(B891,AD891,AE891,AF891,AG891,AH891,AI891,U891,V891,AJ891,AK891)</f>
        <v/>
      </c>
      <c r="AM891" s="6">
        <f>B891*0.055</f>
        <v/>
      </c>
      <c r="AN891" s="6">
        <f>B891*0.035</f>
        <v/>
      </c>
      <c r="AO891" s="6">
        <f>B891*0.165</f>
        <v/>
      </c>
      <c r="AP891" s="6">
        <f>MAX(0,AL891-AM891-AO891)</f>
        <v/>
      </c>
      <c r="AQ891" s="6">
        <f>IF(AP891&lt;=490,0,IF(AP891&lt;=600,(AP891-490)*0.05,IF(AP891&lt;=730,5.5+(AP891-600)*0.10,IF(AP891&lt;=3896.67,18.5+(AP891-730)*0.175,IF(AP891&lt;=19896.67,572.67+(AP891-3896.67)*0.25,IF(AP891&lt;=50416.67,4572.67+(AP891-19896.67)*0.30,13728.67+(AP891-50416.67)*0.35))))))</f>
        <v/>
      </c>
      <c r="AR891" s="6">
        <f>SUM(AM891,AQ891,W891,X891,Y891,Z891,AA891,AN891,AO891)</f>
        <v/>
      </c>
      <c r="AS891" s="6">
        <f>AL891-AR891</f>
        <v/>
      </c>
      <c r="AT891" s="6">
        <f>AB891-AC891</f>
        <v/>
      </c>
    </row>
    <row r="892">
      <c r="A892" s="2" t="n"/>
      <c r="B892" s="3" t="n"/>
      <c r="C892" s="4" t="n"/>
      <c r="D892" s="5" t="n"/>
      <c r="E892" s="3" t="n"/>
      <c r="F892" s="4" t="n"/>
      <c r="G892" s="5" t="n"/>
      <c r="H892" s="3" t="n"/>
      <c r="I892" s="4" t="n"/>
      <c r="J892" s="5" t="n"/>
      <c r="K892" s="3" t="n"/>
      <c r="L892" s="4" t="n"/>
      <c r="M892" s="5" t="n"/>
      <c r="N892" s="3" t="n"/>
      <c r="O892" s="4" t="n"/>
      <c r="P892" s="5" t="n"/>
      <c r="Q892" s="3" t="n"/>
      <c r="R892" s="4" t="n"/>
      <c r="S892" s="5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6">
        <f>IF(C892=0,0,IF(E892="",B892*D892/100,E892))</f>
        <v/>
      </c>
      <c r="AE892" s="6">
        <f>IF(F892=0,0,IF(H892="",B892*G892/100,H892))</f>
        <v/>
      </c>
      <c r="AF892" s="6">
        <f>IF(I892=0,0,IF(K892="",B892*J892/100,K892))</f>
        <v/>
      </c>
      <c r="AG892" s="6">
        <f>IF(L892=0,0,IF(N892="",B892*M892/100,N892))</f>
        <v/>
      </c>
      <c r="AH892" s="6">
        <f>IF(O892=0,0,IF(Q892="",B892*P892/100,Q892))</f>
        <v/>
      </c>
      <c r="AI892" s="6">
        <f>IF(R892=0,0,IF(T892="",B892*S892/100,T892))</f>
        <v/>
      </c>
      <c r="AJ892" s="6">
        <f>B892*0.035</f>
        <v/>
      </c>
      <c r="AK892" s="6">
        <f>B892*0.065</f>
        <v/>
      </c>
      <c r="AL892" s="6">
        <f>SUM(B892,AD892,AE892,AF892,AG892,AH892,AI892,U892,V892,AJ892,AK892)</f>
        <v/>
      </c>
      <c r="AM892" s="6">
        <f>B892*0.055</f>
        <v/>
      </c>
      <c r="AN892" s="6">
        <f>B892*0.035</f>
        <v/>
      </c>
      <c r="AO892" s="6">
        <f>B892*0.165</f>
        <v/>
      </c>
      <c r="AP892" s="6">
        <f>MAX(0,AL892-AM892-AO892)</f>
        <v/>
      </c>
      <c r="AQ892" s="6">
        <f>IF(AP892&lt;=490,0,IF(AP892&lt;=600,(AP892-490)*0.05,IF(AP892&lt;=730,5.5+(AP892-600)*0.10,IF(AP892&lt;=3896.67,18.5+(AP892-730)*0.175,IF(AP892&lt;=19896.67,572.67+(AP892-3896.67)*0.25,IF(AP892&lt;=50416.67,4572.67+(AP892-19896.67)*0.30,13728.67+(AP892-50416.67)*0.35))))))</f>
        <v/>
      </c>
      <c r="AR892" s="6">
        <f>SUM(AM892,AQ892,W892,X892,Y892,Z892,AA892,AN892,AO892)</f>
        <v/>
      </c>
      <c r="AS892" s="6">
        <f>AL892-AR892</f>
        <v/>
      </c>
      <c r="AT892" s="6">
        <f>AB892-AC892</f>
        <v/>
      </c>
    </row>
    <row r="893">
      <c r="A893" s="2" t="n"/>
      <c r="B893" s="3" t="n"/>
      <c r="C893" s="4" t="n"/>
      <c r="D893" s="5" t="n"/>
      <c r="E893" s="3" t="n"/>
      <c r="F893" s="4" t="n"/>
      <c r="G893" s="5" t="n"/>
      <c r="H893" s="3" t="n"/>
      <c r="I893" s="4" t="n"/>
      <c r="J893" s="5" t="n"/>
      <c r="K893" s="3" t="n"/>
      <c r="L893" s="4" t="n"/>
      <c r="M893" s="5" t="n"/>
      <c r="N893" s="3" t="n"/>
      <c r="O893" s="4" t="n"/>
      <c r="P893" s="5" t="n"/>
      <c r="Q893" s="3" t="n"/>
      <c r="R893" s="4" t="n"/>
      <c r="S893" s="5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6">
        <f>IF(C893=0,0,IF(E893="",B893*D893/100,E893))</f>
        <v/>
      </c>
      <c r="AE893" s="6">
        <f>IF(F893=0,0,IF(H893="",B893*G893/100,H893))</f>
        <v/>
      </c>
      <c r="AF893" s="6">
        <f>IF(I893=0,0,IF(K893="",B893*J893/100,K893))</f>
        <v/>
      </c>
      <c r="AG893" s="6">
        <f>IF(L893=0,0,IF(N893="",B893*M893/100,N893))</f>
        <v/>
      </c>
      <c r="AH893" s="6">
        <f>IF(O893=0,0,IF(Q893="",B893*P893/100,Q893))</f>
        <v/>
      </c>
      <c r="AI893" s="6">
        <f>IF(R893=0,0,IF(T893="",B893*S893/100,T893))</f>
        <v/>
      </c>
      <c r="AJ893" s="6">
        <f>B893*0.035</f>
        <v/>
      </c>
      <c r="AK893" s="6">
        <f>B893*0.065</f>
        <v/>
      </c>
      <c r="AL893" s="6">
        <f>SUM(B893,AD893,AE893,AF893,AG893,AH893,AI893,U893,V893,AJ893,AK893)</f>
        <v/>
      </c>
      <c r="AM893" s="6">
        <f>B893*0.055</f>
        <v/>
      </c>
      <c r="AN893" s="6">
        <f>B893*0.035</f>
        <v/>
      </c>
      <c r="AO893" s="6">
        <f>B893*0.165</f>
        <v/>
      </c>
      <c r="AP893" s="6">
        <f>MAX(0,AL893-AM893-AO893)</f>
        <v/>
      </c>
      <c r="AQ893" s="6">
        <f>IF(AP893&lt;=490,0,IF(AP893&lt;=600,(AP893-490)*0.05,IF(AP893&lt;=730,5.5+(AP893-600)*0.10,IF(AP893&lt;=3896.67,18.5+(AP893-730)*0.175,IF(AP893&lt;=19896.67,572.67+(AP893-3896.67)*0.25,IF(AP893&lt;=50416.67,4572.67+(AP893-19896.67)*0.30,13728.67+(AP893-50416.67)*0.35))))))</f>
        <v/>
      </c>
      <c r="AR893" s="6">
        <f>SUM(AM893,AQ893,W893,X893,Y893,Z893,AA893,AN893,AO893)</f>
        <v/>
      </c>
      <c r="AS893" s="6">
        <f>AL893-AR893</f>
        <v/>
      </c>
      <c r="AT893" s="6">
        <f>AB893-AC893</f>
        <v/>
      </c>
    </row>
    <row r="894">
      <c r="A894" s="2" t="n"/>
      <c r="B894" s="3" t="n"/>
      <c r="C894" s="4" t="n"/>
      <c r="D894" s="5" t="n"/>
      <c r="E894" s="3" t="n"/>
      <c r="F894" s="4" t="n"/>
      <c r="G894" s="5" t="n"/>
      <c r="H894" s="3" t="n"/>
      <c r="I894" s="4" t="n"/>
      <c r="J894" s="5" t="n"/>
      <c r="K894" s="3" t="n"/>
      <c r="L894" s="4" t="n"/>
      <c r="M894" s="5" t="n"/>
      <c r="N894" s="3" t="n"/>
      <c r="O894" s="4" t="n"/>
      <c r="P894" s="5" t="n"/>
      <c r="Q894" s="3" t="n"/>
      <c r="R894" s="4" t="n"/>
      <c r="S894" s="5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6">
        <f>IF(C894=0,0,IF(E894="",B894*D894/100,E894))</f>
        <v/>
      </c>
      <c r="AE894" s="6">
        <f>IF(F894=0,0,IF(H894="",B894*G894/100,H894))</f>
        <v/>
      </c>
      <c r="AF894" s="6">
        <f>IF(I894=0,0,IF(K894="",B894*J894/100,K894))</f>
        <v/>
      </c>
      <c r="AG894" s="6">
        <f>IF(L894=0,0,IF(N894="",B894*M894/100,N894))</f>
        <v/>
      </c>
      <c r="AH894" s="6">
        <f>IF(O894=0,0,IF(Q894="",B894*P894/100,Q894))</f>
        <v/>
      </c>
      <c r="AI894" s="6">
        <f>IF(R894=0,0,IF(T894="",B894*S894/100,T894))</f>
        <v/>
      </c>
      <c r="AJ894" s="6">
        <f>B894*0.035</f>
        <v/>
      </c>
      <c r="AK894" s="6">
        <f>B894*0.065</f>
        <v/>
      </c>
      <c r="AL894" s="6">
        <f>SUM(B894,AD894,AE894,AF894,AG894,AH894,AI894,U894,V894,AJ894,AK894)</f>
        <v/>
      </c>
      <c r="AM894" s="6">
        <f>B894*0.055</f>
        <v/>
      </c>
      <c r="AN894" s="6">
        <f>B894*0.035</f>
        <v/>
      </c>
      <c r="AO894" s="6">
        <f>B894*0.165</f>
        <v/>
      </c>
      <c r="AP894" s="6">
        <f>MAX(0,AL894-AM894-AO894)</f>
        <v/>
      </c>
      <c r="AQ894" s="6">
        <f>IF(AP894&lt;=490,0,IF(AP894&lt;=600,(AP894-490)*0.05,IF(AP894&lt;=730,5.5+(AP894-600)*0.10,IF(AP894&lt;=3896.67,18.5+(AP894-730)*0.175,IF(AP894&lt;=19896.67,572.67+(AP894-3896.67)*0.25,IF(AP894&lt;=50416.67,4572.67+(AP894-19896.67)*0.30,13728.67+(AP894-50416.67)*0.35))))))</f>
        <v/>
      </c>
      <c r="AR894" s="6">
        <f>SUM(AM894,AQ894,W894,X894,Y894,Z894,AA894,AN894,AO894)</f>
        <v/>
      </c>
      <c r="AS894" s="6">
        <f>AL894-AR894</f>
        <v/>
      </c>
      <c r="AT894" s="6">
        <f>AB894-AC894</f>
        <v/>
      </c>
    </row>
    <row r="895">
      <c r="A895" s="2" t="n"/>
      <c r="B895" s="3" t="n"/>
      <c r="C895" s="4" t="n"/>
      <c r="D895" s="5" t="n"/>
      <c r="E895" s="3" t="n"/>
      <c r="F895" s="4" t="n"/>
      <c r="G895" s="5" t="n"/>
      <c r="H895" s="3" t="n"/>
      <c r="I895" s="4" t="n"/>
      <c r="J895" s="5" t="n"/>
      <c r="K895" s="3" t="n"/>
      <c r="L895" s="4" t="n"/>
      <c r="M895" s="5" t="n"/>
      <c r="N895" s="3" t="n"/>
      <c r="O895" s="4" t="n"/>
      <c r="P895" s="5" t="n"/>
      <c r="Q895" s="3" t="n"/>
      <c r="R895" s="4" t="n"/>
      <c r="S895" s="5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6">
        <f>IF(C895=0,0,IF(E895="",B895*D895/100,E895))</f>
        <v/>
      </c>
      <c r="AE895" s="6">
        <f>IF(F895=0,0,IF(H895="",B895*G895/100,H895))</f>
        <v/>
      </c>
      <c r="AF895" s="6">
        <f>IF(I895=0,0,IF(K895="",B895*J895/100,K895))</f>
        <v/>
      </c>
      <c r="AG895" s="6">
        <f>IF(L895=0,0,IF(N895="",B895*M895/100,N895))</f>
        <v/>
      </c>
      <c r="AH895" s="6">
        <f>IF(O895=0,0,IF(Q895="",B895*P895/100,Q895))</f>
        <v/>
      </c>
      <c r="AI895" s="6">
        <f>IF(R895=0,0,IF(T895="",B895*S895/100,T895))</f>
        <v/>
      </c>
      <c r="AJ895" s="6">
        <f>B895*0.035</f>
        <v/>
      </c>
      <c r="AK895" s="6">
        <f>B895*0.065</f>
        <v/>
      </c>
      <c r="AL895" s="6">
        <f>SUM(B895,AD895,AE895,AF895,AG895,AH895,AI895,U895,V895,AJ895,AK895)</f>
        <v/>
      </c>
      <c r="AM895" s="6">
        <f>B895*0.055</f>
        <v/>
      </c>
      <c r="AN895" s="6">
        <f>B895*0.035</f>
        <v/>
      </c>
      <c r="AO895" s="6">
        <f>B895*0.165</f>
        <v/>
      </c>
      <c r="AP895" s="6">
        <f>MAX(0,AL895-AM895-AO895)</f>
        <v/>
      </c>
      <c r="AQ895" s="6">
        <f>IF(AP895&lt;=490,0,IF(AP895&lt;=600,(AP895-490)*0.05,IF(AP895&lt;=730,5.5+(AP895-600)*0.10,IF(AP895&lt;=3896.67,18.5+(AP895-730)*0.175,IF(AP895&lt;=19896.67,572.67+(AP895-3896.67)*0.25,IF(AP895&lt;=50416.67,4572.67+(AP895-19896.67)*0.30,13728.67+(AP895-50416.67)*0.35))))))</f>
        <v/>
      </c>
      <c r="AR895" s="6">
        <f>SUM(AM895,AQ895,W895,X895,Y895,Z895,AA895,AN895,AO895)</f>
        <v/>
      </c>
      <c r="AS895" s="6">
        <f>AL895-AR895</f>
        <v/>
      </c>
      <c r="AT895" s="6">
        <f>AB895-AC895</f>
        <v/>
      </c>
    </row>
    <row r="896">
      <c r="A896" s="2" t="n"/>
      <c r="B896" s="3" t="n"/>
      <c r="C896" s="4" t="n"/>
      <c r="D896" s="5" t="n"/>
      <c r="E896" s="3" t="n"/>
      <c r="F896" s="4" t="n"/>
      <c r="G896" s="5" t="n"/>
      <c r="H896" s="3" t="n"/>
      <c r="I896" s="4" t="n"/>
      <c r="J896" s="5" t="n"/>
      <c r="K896" s="3" t="n"/>
      <c r="L896" s="4" t="n"/>
      <c r="M896" s="5" t="n"/>
      <c r="N896" s="3" t="n"/>
      <c r="O896" s="4" t="n"/>
      <c r="P896" s="5" t="n"/>
      <c r="Q896" s="3" t="n"/>
      <c r="R896" s="4" t="n"/>
      <c r="S896" s="5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6">
        <f>IF(C896=0,0,IF(E896="",B896*D896/100,E896))</f>
        <v/>
      </c>
      <c r="AE896" s="6">
        <f>IF(F896=0,0,IF(H896="",B896*G896/100,H896))</f>
        <v/>
      </c>
      <c r="AF896" s="6">
        <f>IF(I896=0,0,IF(K896="",B896*J896/100,K896))</f>
        <v/>
      </c>
      <c r="AG896" s="6">
        <f>IF(L896=0,0,IF(N896="",B896*M896/100,N896))</f>
        <v/>
      </c>
      <c r="AH896" s="6">
        <f>IF(O896=0,0,IF(Q896="",B896*P896/100,Q896))</f>
        <v/>
      </c>
      <c r="AI896" s="6">
        <f>IF(R896=0,0,IF(T896="",B896*S896/100,T896))</f>
        <v/>
      </c>
      <c r="AJ896" s="6">
        <f>B896*0.035</f>
        <v/>
      </c>
      <c r="AK896" s="6">
        <f>B896*0.065</f>
        <v/>
      </c>
      <c r="AL896" s="6">
        <f>SUM(B896,AD896,AE896,AF896,AG896,AH896,AI896,U896,V896,AJ896,AK896)</f>
        <v/>
      </c>
      <c r="AM896" s="6">
        <f>B896*0.055</f>
        <v/>
      </c>
      <c r="AN896" s="6">
        <f>B896*0.035</f>
        <v/>
      </c>
      <c r="AO896" s="6">
        <f>B896*0.165</f>
        <v/>
      </c>
      <c r="AP896" s="6">
        <f>MAX(0,AL896-AM896-AO896)</f>
        <v/>
      </c>
      <c r="AQ896" s="6">
        <f>IF(AP896&lt;=490,0,IF(AP896&lt;=600,(AP896-490)*0.05,IF(AP896&lt;=730,5.5+(AP896-600)*0.10,IF(AP896&lt;=3896.67,18.5+(AP896-730)*0.175,IF(AP896&lt;=19896.67,572.67+(AP896-3896.67)*0.25,IF(AP896&lt;=50416.67,4572.67+(AP896-19896.67)*0.30,13728.67+(AP896-50416.67)*0.35))))))</f>
        <v/>
      </c>
      <c r="AR896" s="6">
        <f>SUM(AM896,AQ896,W896,X896,Y896,Z896,AA896,AN896,AO896)</f>
        <v/>
      </c>
      <c r="AS896" s="6">
        <f>AL896-AR896</f>
        <v/>
      </c>
      <c r="AT896" s="6">
        <f>AB896-AC896</f>
        <v/>
      </c>
    </row>
    <row r="897">
      <c r="A897" s="2" t="n"/>
      <c r="B897" s="3" t="n"/>
      <c r="C897" s="4" t="n"/>
      <c r="D897" s="5" t="n"/>
      <c r="E897" s="3" t="n"/>
      <c r="F897" s="4" t="n"/>
      <c r="G897" s="5" t="n"/>
      <c r="H897" s="3" t="n"/>
      <c r="I897" s="4" t="n"/>
      <c r="J897" s="5" t="n"/>
      <c r="K897" s="3" t="n"/>
      <c r="L897" s="4" t="n"/>
      <c r="M897" s="5" t="n"/>
      <c r="N897" s="3" t="n"/>
      <c r="O897" s="4" t="n"/>
      <c r="P897" s="5" t="n"/>
      <c r="Q897" s="3" t="n"/>
      <c r="R897" s="4" t="n"/>
      <c r="S897" s="5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6">
        <f>IF(C897=0,0,IF(E897="",B897*D897/100,E897))</f>
        <v/>
      </c>
      <c r="AE897" s="6">
        <f>IF(F897=0,0,IF(H897="",B897*G897/100,H897))</f>
        <v/>
      </c>
      <c r="AF897" s="6">
        <f>IF(I897=0,0,IF(K897="",B897*J897/100,K897))</f>
        <v/>
      </c>
      <c r="AG897" s="6">
        <f>IF(L897=0,0,IF(N897="",B897*M897/100,N897))</f>
        <v/>
      </c>
      <c r="AH897" s="6">
        <f>IF(O897=0,0,IF(Q897="",B897*P897/100,Q897))</f>
        <v/>
      </c>
      <c r="AI897" s="6">
        <f>IF(R897=0,0,IF(T897="",B897*S897/100,T897))</f>
        <v/>
      </c>
      <c r="AJ897" s="6">
        <f>B897*0.035</f>
        <v/>
      </c>
      <c r="AK897" s="6">
        <f>B897*0.065</f>
        <v/>
      </c>
      <c r="AL897" s="6">
        <f>SUM(B897,AD897,AE897,AF897,AG897,AH897,AI897,U897,V897,AJ897,AK897)</f>
        <v/>
      </c>
      <c r="AM897" s="6">
        <f>B897*0.055</f>
        <v/>
      </c>
      <c r="AN897" s="6">
        <f>B897*0.035</f>
        <v/>
      </c>
      <c r="AO897" s="6">
        <f>B897*0.165</f>
        <v/>
      </c>
      <c r="AP897" s="6">
        <f>MAX(0,AL897-AM897-AO897)</f>
        <v/>
      </c>
      <c r="AQ897" s="6">
        <f>IF(AP897&lt;=490,0,IF(AP897&lt;=600,(AP897-490)*0.05,IF(AP897&lt;=730,5.5+(AP897-600)*0.10,IF(AP897&lt;=3896.67,18.5+(AP897-730)*0.175,IF(AP897&lt;=19896.67,572.67+(AP897-3896.67)*0.25,IF(AP897&lt;=50416.67,4572.67+(AP897-19896.67)*0.30,13728.67+(AP897-50416.67)*0.35))))))</f>
        <v/>
      </c>
      <c r="AR897" s="6">
        <f>SUM(AM897,AQ897,W897,X897,Y897,Z897,AA897,AN897,AO897)</f>
        <v/>
      </c>
      <c r="AS897" s="6">
        <f>AL897-AR897</f>
        <v/>
      </c>
      <c r="AT897" s="6">
        <f>AB897-AC897</f>
        <v/>
      </c>
    </row>
    <row r="898">
      <c r="A898" s="2" t="n"/>
      <c r="B898" s="3" t="n"/>
      <c r="C898" s="4" t="n"/>
      <c r="D898" s="5" t="n"/>
      <c r="E898" s="3" t="n"/>
      <c r="F898" s="4" t="n"/>
      <c r="G898" s="5" t="n"/>
      <c r="H898" s="3" t="n"/>
      <c r="I898" s="4" t="n"/>
      <c r="J898" s="5" t="n"/>
      <c r="K898" s="3" t="n"/>
      <c r="L898" s="4" t="n"/>
      <c r="M898" s="5" t="n"/>
      <c r="N898" s="3" t="n"/>
      <c r="O898" s="4" t="n"/>
      <c r="P898" s="5" t="n"/>
      <c r="Q898" s="3" t="n"/>
      <c r="R898" s="4" t="n"/>
      <c r="S898" s="5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6">
        <f>IF(C898=0,0,IF(E898="",B898*D898/100,E898))</f>
        <v/>
      </c>
      <c r="AE898" s="6">
        <f>IF(F898=0,0,IF(H898="",B898*G898/100,H898))</f>
        <v/>
      </c>
      <c r="AF898" s="6">
        <f>IF(I898=0,0,IF(K898="",B898*J898/100,K898))</f>
        <v/>
      </c>
      <c r="AG898" s="6">
        <f>IF(L898=0,0,IF(N898="",B898*M898/100,N898))</f>
        <v/>
      </c>
      <c r="AH898" s="6">
        <f>IF(O898=0,0,IF(Q898="",B898*P898/100,Q898))</f>
        <v/>
      </c>
      <c r="AI898" s="6">
        <f>IF(R898=0,0,IF(T898="",B898*S898/100,T898))</f>
        <v/>
      </c>
      <c r="AJ898" s="6">
        <f>B898*0.035</f>
        <v/>
      </c>
      <c r="AK898" s="6">
        <f>B898*0.065</f>
        <v/>
      </c>
      <c r="AL898" s="6">
        <f>SUM(B898,AD898,AE898,AF898,AG898,AH898,AI898,U898,V898,AJ898,AK898)</f>
        <v/>
      </c>
      <c r="AM898" s="6">
        <f>B898*0.055</f>
        <v/>
      </c>
      <c r="AN898" s="6">
        <f>B898*0.035</f>
        <v/>
      </c>
      <c r="AO898" s="6">
        <f>B898*0.165</f>
        <v/>
      </c>
      <c r="AP898" s="6">
        <f>MAX(0,AL898-AM898-AO898)</f>
        <v/>
      </c>
      <c r="AQ898" s="6">
        <f>IF(AP898&lt;=490,0,IF(AP898&lt;=600,(AP898-490)*0.05,IF(AP898&lt;=730,5.5+(AP898-600)*0.10,IF(AP898&lt;=3896.67,18.5+(AP898-730)*0.175,IF(AP898&lt;=19896.67,572.67+(AP898-3896.67)*0.25,IF(AP898&lt;=50416.67,4572.67+(AP898-19896.67)*0.30,13728.67+(AP898-50416.67)*0.35))))))</f>
        <v/>
      </c>
      <c r="AR898" s="6">
        <f>SUM(AM898,AQ898,W898,X898,Y898,Z898,AA898,AN898,AO898)</f>
        <v/>
      </c>
      <c r="AS898" s="6">
        <f>AL898-AR898</f>
        <v/>
      </c>
      <c r="AT898" s="6">
        <f>AB898-AC898</f>
        <v/>
      </c>
    </row>
    <row r="899">
      <c r="A899" s="2" t="n"/>
      <c r="B899" s="3" t="n"/>
      <c r="C899" s="4" t="n"/>
      <c r="D899" s="5" t="n"/>
      <c r="E899" s="3" t="n"/>
      <c r="F899" s="4" t="n"/>
      <c r="G899" s="5" t="n"/>
      <c r="H899" s="3" t="n"/>
      <c r="I899" s="4" t="n"/>
      <c r="J899" s="5" t="n"/>
      <c r="K899" s="3" t="n"/>
      <c r="L899" s="4" t="n"/>
      <c r="M899" s="5" t="n"/>
      <c r="N899" s="3" t="n"/>
      <c r="O899" s="4" t="n"/>
      <c r="P899" s="5" t="n"/>
      <c r="Q899" s="3" t="n"/>
      <c r="R899" s="4" t="n"/>
      <c r="S899" s="5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6">
        <f>IF(C899=0,0,IF(E899="",B899*D899/100,E899))</f>
        <v/>
      </c>
      <c r="AE899" s="6">
        <f>IF(F899=0,0,IF(H899="",B899*G899/100,H899))</f>
        <v/>
      </c>
      <c r="AF899" s="6">
        <f>IF(I899=0,0,IF(K899="",B899*J899/100,K899))</f>
        <v/>
      </c>
      <c r="AG899" s="6">
        <f>IF(L899=0,0,IF(N899="",B899*M899/100,N899))</f>
        <v/>
      </c>
      <c r="AH899" s="6">
        <f>IF(O899=0,0,IF(Q899="",B899*P899/100,Q899))</f>
        <v/>
      </c>
      <c r="AI899" s="6">
        <f>IF(R899=0,0,IF(T899="",B899*S899/100,T899))</f>
        <v/>
      </c>
      <c r="AJ899" s="6">
        <f>B899*0.035</f>
        <v/>
      </c>
      <c r="AK899" s="6">
        <f>B899*0.065</f>
        <v/>
      </c>
      <c r="AL899" s="6">
        <f>SUM(B899,AD899,AE899,AF899,AG899,AH899,AI899,U899,V899,AJ899,AK899)</f>
        <v/>
      </c>
      <c r="AM899" s="6">
        <f>B899*0.055</f>
        <v/>
      </c>
      <c r="AN899" s="6">
        <f>B899*0.035</f>
        <v/>
      </c>
      <c r="AO899" s="6">
        <f>B899*0.165</f>
        <v/>
      </c>
      <c r="AP899" s="6">
        <f>MAX(0,AL899-AM899-AO899)</f>
        <v/>
      </c>
      <c r="AQ899" s="6">
        <f>IF(AP899&lt;=490,0,IF(AP899&lt;=600,(AP899-490)*0.05,IF(AP899&lt;=730,5.5+(AP899-600)*0.10,IF(AP899&lt;=3896.67,18.5+(AP899-730)*0.175,IF(AP899&lt;=19896.67,572.67+(AP899-3896.67)*0.25,IF(AP899&lt;=50416.67,4572.67+(AP899-19896.67)*0.30,13728.67+(AP899-50416.67)*0.35))))))</f>
        <v/>
      </c>
      <c r="AR899" s="6">
        <f>SUM(AM899,AQ899,W899,X899,Y899,Z899,AA899,AN899,AO899)</f>
        <v/>
      </c>
      <c r="AS899" s="6">
        <f>AL899-AR899</f>
        <v/>
      </c>
      <c r="AT899" s="6">
        <f>AB899-AC899</f>
        <v/>
      </c>
    </row>
    <row r="900">
      <c r="A900" s="2" t="n"/>
      <c r="B900" s="3" t="n"/>
      <c r="C900" s="4" t="n"/>
      <c r="D900" s="5" t="n"/>
      <c r="E900" s="3" t="n"/>
      <c r="F900" s="4" t="n"/>
      <c r="G900" s="5" t="n"/>
      <c r="H900" s="3" t="n"/>
      <c r="I900" s="4" t="n"/>
      <c r="J900" s="5" t="n"/>
      <c r="K900" s="3" t="n"/>
      <c r="L900" s="4" t="n"/>
      <c r="M900" s="5" t="n"/>
      <c r="N900" s="3" t="n"/>
      <c r="O900" s="4" t="n"/>
      <c r="P900" s="5" t="n"/>
      <c r="Q900" s="3" t="n"/>
      <c r="R900" s="4" t="n"/>
      <c r="S900" s="5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6">
        <f>IF(C900=0,0,IF(E900="",B900*D900/100,E900))</f>
        <v/>
      </c>
      <c r="AE900" s="6">
        <f>IF(F900=0,0,IF(H900="",B900*G900/100,H900))</f>
        <v/>
      </c>
      <c r="AF900" s="6">
        <f>IF(I900=0,0,IF(K900="",B900*J900/100,K900))</f>
        <v/>
      </c>
      <c r="AG900" s="6">
        <f>IF(L900=0,0,IF(N900="",B900*M900/100,N900))</f>
        <v/>
      </c>
      <c r="AH900" s="6">
        <f>IF(O900=0,0,IF(Q900="",B900*P900/100,Q900))</f>
        <v/>
      </c>
      <c r="AI900" s="6">
        <f>IF(R900=0,0,IF(T900="",B900*S900/100,T900))</f>
        <v/>
      </c>
      <c r="AJ900" s="6">
        <f>B900*0.035</f>
        <v/>
      </c>
      <c r="AK900" s="6">
        <f>B900*0.065</f>
        <v/>
      </c>
      <c r="AL900" s="6">
        <f>SUM(B900,AD900,AE900,AF900,AG900,AH900,AI900,U900,V900,AJ900,AK900)</f>
        <v/>
      </c>
      <c r="AM900" s="6">
        <f>B900*0.055</f>
        <v/>
      </c>
      <c r="AN900" s="6">
        <f>B900*0.035</f>
        <v/>
      </c>
      <c r="AO900" s="6">
        <f>B900*0.165</f>
        <v/>
      </c>
      <c r="AP900" s="6">
        <f>MAX(0,AL900-AM900-AO900)</f>
        <v/>
      </c>
      <c r="AQ900" s="6">
        <f>IF(AP900&lt;=490,0,IF(AP900&lt;=600,(AP900-490)*0.05,IF(AP900&lt;=730,5.5+(AP900-600)*0.10,IF(AP900&lt;=3896.67,18.5+(AP900-730)*0.175,IF(AP900&lt;=19896.67,572.67+(AP900-3896.67)*0.25,IF(AP900&lt;=50416.67,4572.67+(AP900-19896.67)*0.30,13728.67+(AP900-50416.67)*0.35))))))</f>
        <v/>
      </c>
      <c r="AR900" s="6">
        <f>SUM(AM900,AQ900,W900,X900,Y900,Z900,AA900,AN900,AO900)</f>
        <v/>
      </c>
      <c r="AS900" s="6">
        <f>AL900-AR900</f>
        <v/>
      </c>
      <c r="AT900" s="6">
        <f>AB900-AC900</f>
        <v/>
      </c>
    </row>
    <row r="901">
      <c r="A901" s="2" t="n"/>
      <c r="B901" s="3" t="n"/>
      <c r="C901" s="4" t="n"/>
      <c r="D901" s="5" t="n"/>
      <c r="E901" s="3" t="n"/>
      <c r="F901" s="4" t="n"/>
      <c r="G901" s="5" t="n"/>
      <c r="H901" s="3" t="n"/>
      <c r="I901" s="4" t="n"/>
      <c r="J901" s="5" t="n"/>
      <c r="K901" s="3" t="n"/>
      <c r="L901" s="4" t="n"/>
      <c r="M901" s="5" t="n"/>
      <c r="N901" s="3" t="n"/>
      <c r="O901" s="4" t="n"/>
      <c r="P901" s="5" t="n"/>
      <c r="Q901" s="3" t="n"/>
      <c r="R901" s="4" t="n"/>
      <c r="S901" s="5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6">
        <f>IF(C901=0,0,IF(E901="",B901*D901/100,E901))</f>
        <v/>
      </c>
      <c r="AE901" s="6">
        <f>IF(F901=0,0,IF(H901="",B901*G901/100,H901))</f>
        <v/>
      </c>
      <c r="AF901" s="6">
        <f>IF(I901=0,0,IF(K901="",B901*J901/100,K901))</f>
        <v/>
      </c>
      <c r="AG901" s="6">
        <f>IF(L901=0,0,IF(N901="",B901*M901/100,N901))</f>
        <v/>
      </c>
      <c r="AH901" s="6">
        <f>IF(O901=0,0,IF(Q901="",B901*P901/100,Q901))</f>
        <v/>
      </c>
      <c r="AI901" s="6">
        <f>IF(R901=0,0,IF(T901="",B901*S901/100,T901))</f>
        <v/>
      </c>
      <c r="AJ901" s="6">
        <f>B901*0.035</f>
        <v/>
      </c>
      <c r="AK901" s="6">
        <f>B901*0.065</f>
        <v/>
      </c>
      <c r="AL901" s="6">
        <f>SUM(B901,AD901,AE901,AF901,AG901,AH901,AI901,U901,V901,AJ901,AK901)</f>
        <v/>
      </c>
      <c r="AM901" s="6">
        <f>B901*0.055</f>
        <v/>
      </c>
      <c r="AN901" s="6">
        <f>B901*0.035</f>
        <v/>
      </c>
      <c r="AO901" s="6">
        <f>B901*0.165</f>
        <v/>
      </c>
      <c r="AP901" s="6">
        <f>MAX(0,AL901-AM901-AO901)</f>
        <v/>
      </c>
      <c r="AQ901" s="6">
        <f>IF(AP901&lt;=490,0,IF(AP901&lt;=600,(AP901-490)*0.05,IF(AP901&lt;=730,5.5+(AP901-600)*0.10,IF(AP901&lt;=3896.67,18.5+(AP901-730)*0.175,IF(AP901&lt;=19896.67,572.67+(AP901-3896.67)*0.25,IF(AP901&lt;=50416.67,4572.67+(AP901-19896.67)*0.30,13728.67+(AP901-50416.67)*0.35))))))</f>
        <v/>
      </c>
      <c r="AR901" s="6">
        <f>SUM(AM901,AQ901,W901,X901,Y901,Z901,AA901,AN901,AO901)</f>
        <v/>
      </c>
      <c r="AS901" s="6">
        <f>AL901-AR901</f>
        <v/>
      </c>
      <c r="AT901" s="6">
        <f>AB901-AC901</f>
        <v/>
      </c>
    </row>
    <row r="902">
      <c r="A902" s="2" t="n"/>
      <c r="B902" s="3" t="n"/>
      <c r="C902" s="4" t="n"/>
      <c r="D902" s="5" t="n"/>
      <c r="E902" s="3" t="n"/>
      <c r="F902" s="4" t="n"/>
      <c r="G902" s="5" t="n"/>
      <c r="H902" s="3" t="n"/>
      <c r="I902" s="4" t="n"/>
      <c r="J902" s="5" t="n"/>
      <c r="K902" s="3" t="n"/>
      <c r="L902" s="4" t="n"/>
      <c r="M902" s="5" t="n"/>
      <c r="N902" s="3" t="n"/>
      <c r="O902" s="4" t="n"/>
      <c r="P902" s="5" t="n"/>
      <c r="Q902" s="3" t="n"/>
      <c r="R902" s="4" t="n"/>
      <c r="S902" s="5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6">
        <f>IF(C902=0,0,IF(E902="",B902*D902/100,E902))</f>
        <v/>
      </c>
      <c r="AE902" s="6">
        <f>IF(F902=0,0,IF(H902="",B902*G902/100,H902))</f>
        <v/>
      </c>
      <c r="AF902" s="6">
        <f>IF(I902=0,0,IF(K902="",B902*J902/100,K902))</f>
        <v/>
      </c>
      <c r="AG902" s="6">
        <f>IF(L902=0,0,IF(N902="",B902*M902/100,N902))</f>
        <v/>
      </c>
      <c r="AH902" s="6">
        <f>IF(O902=0,0,IF(Q902="",B902*P902/100,Q902))</f>
        <v/>
      </c>
      <c r="AI902" s="6">
        <f>IF(R902=0,0,IF(T902="",B902*S902/100,T902))</f>
        <v/>
      </c>
      <c r="AJ902" s="6">
        <f>B902*0.035</f>
        <v/>
      </c>
      <c r="AK902" s="6">
        <f>B902*0.065</f>
        <v/>
      </c>
      <c r="AL902" s="6">
        <f>SUM(B902,AD902,AE902,AF902,AG902,AH902,AI902,U902,V902,AJ902,AK902)</f>
        <v/>
      </c>
      <c r="AM902" s="6">
        <f>B902*0.055</f>
        <v/>
      </c>
      <c r="AN902" s="6">
        <f>B902*0.035</f>
        <v/>
      </c>
      <c r="AO902" s="6">
        <f>B902*0.165</f>
        <v/>
      </c>
      <c r="AP902" s="6">
        <f>MAX(0,AL902-AM902-AO902)</f>
        <v/>
      </c>
      <c r="AQ902" s="6">
        <f>IF(AP902&lt;=490,0,IF(AP902&lt;=600,(AP902-490)*0.05,IF(AP902&lt;=730,5.5+(AP902-600)*0.10,IF(AP902&lt;=3896.67,18.5+(AP902-730)*0.175,IF(AP902&lt;=19896.67,572.67+(AP902-3896.67)*0.25,IF(AP902&lt;=50416.67,4572.67+(AP902-19896.67)*0.30,13728.67+(AP902-50416.67)*0.35))))))</f>
        <v/>
      </c>
      <c r="AR902" s="6">
        <f>SUM(AM902,AQ902,W902,X902,Y902,Z902,AA902,AN902,AO902)</f>
        <v/>
      </c>
      <c r="AS902" s="6">
        <f>AL902-AR902</f>
        <v/>
      </c>
      <c r="AT902" s="6">
        <f>AB902-AC902</f>
        <v/>
      </c>
    </row>
    <row r="903">
      <c r="A903" s="2" t="n"/>
      <c r="B903" s="3" t="n"/>
      <c r="C903" s="4" t="n"/>
      <c r="D903" s="5" t="n"/>
      <c r="E903" s="3" t="n"/>
      <c r="F903" s="4" t="n"/>
      <c r="G903" s="5" t="n"/>
      <c r="H903" s="3" t="n"/>
      <c r="I903" s="4" t="n"/>
      <c r="J903" s="5" t="n"/>
      <c r="K903" s="3" t="n"/>
      <c r="L903" s="4" t="n"/>
      <c r="M903" s="5" t="n"/>
      <c r="N903" s="3" t="n"/>
      <c r="O903" s="4" t="n"/>
      <c r="P903" s="5" t="n"/>
      <c r="Q903" s="3" t="n"/>
      <c r="R903" s="4" t="n"/>
      <c r="S903" s="5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6">
        <f>IF(C903=0,0,IF(E903="",B903*D903/100,E903))</f>
        <v/>
      </c>
      <c r="AE903" s="6">
        <f>IF(F903=0,0,IF(H903="",B903*G903/100,H903))</f>
        <v/>
      </c>
      <c r="AF903" s="6">
        <f>IF(I903=0,0,IF(K903="",B903*J903/100,K903))</f>
        <v/>
      </c>
      <c r="AG903" s="6">
        <f>IF(L903=0,0,IF(N903="",B903*M903/100,N903))</f>
        <v/>
      </c>
      <c r="AH903" s="6">
        <f>IF(O903=0,0,IF(Q903="",B903*P903/100,Q903))</f>
        <v/>
      </c>
      <c r="AI903" s="6">
        <f>IF(R903=0,0,IF(T903="",B903*S903/100,T903))</f>
        <v/>
      </c>
      <c r="AJ903" s="6">
        <f>B903*0.035</f>
        <v/>
      </c>
      <c r="AK903" s="6">
        <f>B903*0.065</f>
        <v/>
      </c>
      <c r="AL903" s="6">
        <f>SUM(B903,AD903,AE903,AF903,AG903,AH903,AI903,U903,V903,AJ903,AK903)</f>
        <v/>
      </c>
      <c r="AM903" s="6">
        <f>B903*0.055</f>
        <v/>
      </c>
      <c r="AN903" s="6">
        <f>B903*0.035</f>
        <v/>
      </c>
      <c r="AO903" s="6">
        <f>B903*0.165</f>
        <v/>
      </c>
      <c r="AP903" s="6">
        <f>MAX(0,AL903-AM903-AO903)</f>
        <v/>
      </c>
      <c r="AQ903" s="6">
        <f>IF(AP903&lt;=490,0,IF(AP903&lt;=600,(AP903-490)*0.05,IF(AP903&lt;=730,5.5+(AP903-600)*0.10,IF(AP903&lt;=3896.67,18.5+(AP903-730)*0.175,IF(AP903&lt;=19896.67,572.67+(AP903-3896.67)*0.25,IF(AP903&lt;=50416.67,4572.67+(AP903-19896.67)*0.30,13728.67+(AP903-50416.67)*0.35))))))</f>
        <v/>
      </c>
      <c r="AR903" s="6">
        <f>SUM(AM903,AQ903,W903,X903,Y903,Z903,AA903,AN903,AO903)</f>
        <v/>
      </c>
      <c r="AS903" s="6">
        <f>AL903-AR903</f>
        <v/>
      </c>
      <c r="AT903" s="6">
        <f>AB903-AC903</f>
        <v/>
      </c>
    </row>
    <row r="904">
      <c r="A904" s="2" t="n"/>
      <c r="B904" s="3" t="n"/>
      <c r="C904" s="4" t="n"/>
      <c r="D904" s="5" t="n"/>
      <c r="E904" s="3" t="n"/>
      <c r="F904" s="4" t="n"/>
      <c r="G904" s="5" t="n"/>
      <c r="H904" s="3" t="n"/>
      <c r="I904" s="4" t="n"/>
      <c r="J904" s="5" t="n"/>
      <c r="K904" s="3" t="n"/>
      <c r="L904" s="4" t="n"/>
      <c r="M904" s="5" t="n"/>
      <c r="N904" s="3" t="n"/>
      <c r="O904" s="4" t="n"/>
      <c r="P904" s="5" t="n"/>
      <c r="Q904" s="3" t="n"/>
      <c r="R904" s="4" t="n"/>
      <c r="S904" s="5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6">
        <f>IF(C904=0,0,IF(E904="",B904*D904/100,E904))</f>
        <v/>
      </c>
      <c r="AE904" s="6">
        <f>IF(F904=0,0,IF(H904="",B904*G904/100,H904))</f>
        <v/>
      </c>
      <c r="AF904" s="6">
        <f>IF(I904=0,0,IF(K904="",B904*J904/100,K904))</f>
        <v/>
      </c>
      <c r="AG904" s="6">
        <f>IF(L904=0,0,IF(N904="",B904*M904/100,N904))</f>
        <v/>
      </c>
      <c r="AH904" s="6">
        <f>IF(O904=0,0,IF(Q904="",B904*P904/100,Q904))</f>
        <v/>
      </c>
      <c r="AI904" s="6">
        <f>IF(R904=0,0,IF(T904="",B904*S904/100,T904))</f>
        <v/>
      </c>
      <c r="AJ904" s="6">
        <f>B904*0.035</f>
        <v/>
      </c>
      <c r="AK904" s="6">
        <f>B904*0.065</f>
        <v/>
      </c>
      <c r="AL904" s="6">
        <f>SUM(B904,AD904,AE904,AF904,AG904,AH904,AI904,U904,V904,AJ904,AK904)</f>
        <v/>
      </c>
      <c r="AM904" s="6">
        <f>B904*0.055</f>
        <v/>
      </c>
      <c r="AN904" s="6">
        <f>B904*0.035</f>
        <v/>
      </c>
      <c r="AO904" s="6">
        <f>B904*0.165</f>
        <v/>
      </c>
      <c r="AP904" s="6">
        <f>MAX(0,AL904-AM904-AO904)</f>
        <v/>
      </c>
      <c r="AQ904" s="6">
        <f>IF(AP904&lt;=490,0,IF(AP904&lt;=600,(AP904-490)*0.05,IF(AP904&lt;=730,5.5+(AP904-600)*0.10,IF(AP904&lt;=3896.67,18.5+(AP904-730)*0.175,IF(AP904&lt;=19896.67,572.67+(AP904-3896.67)*0.25,IF(AP904&lt;=50416.67,4572.67+(AP904-19896.67)*0.30,13728.67+(AP904-50416.67)*0.35))))))</f>
        <v/>
      </c>
      <c r="AR904" s="6">
        <f>SUM(AM904,AQ904,W904,X904,Y904,Z904,AA904,AN904,AO904)</f>
        <v/>
      </c>
      <c r="AS904" s="6">
        <f>AL904-AR904</f>
        <v/>
      </c>
      <c r="AT904" s="6">
        <f>AB904-AC904</f>
        <v/>
      </c>
    </row>
    <row r="905">
      <c r="A905" s="2" t="n"/>
      <c r="B905" s="3" t="n"/>
      <c r="C905" s="4" t="n"/>
      <c r="D905" s="5" t="n"/>
      <c r="E905" s="3" t="n"/>
      <c r="F905" s="4" t="n"/>
      <c r="G905" s="5" t="n"/>
      <c r="H905" s="3" t="n"/>
      <c r="I905" s="4" t="n"/>
      <c r="J905" s="5" t="n"/>
      <c r="K905" s="3" t="n"/>
      <c r="L905" s="4" t="n"/>
      <c r="M905" s="5" t="n"/>
      <c r="N905" s="3" t="n"/>
      <c r="O905" s="4" t="n"/>
      <c r="P905" s="5" t="n"/>
      <c r="Q905" s="3" t="n"/>
      <c r="R905" s="4" t="n"/>
      <c r="S905" s="5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6">
        <f>IF(C905=0,0,IF(E905="",B905*D905/100,E905))</f>
        <v/>
      </c>
      <c r="AE905" s="6">
        <f>IF(F905=0,0,IF(H905="",B905*G905/100,H905))</f>
        <v/>
      </c>
      <c r="AF905" s="6">
        <f>IF(I905=0,0,IF(K905="",B905*J905/100,K905))</f>
        <v/>
      </c>
      <c r="AG905" s="6">
        <f>IF(L905=0,0,IF(N905="",B905*M905/100,N905))</f>
        <v/>
      </c>
      <c r="AH905" s="6">
        <f>IF(O905=0,0,IF(Q905="",B905*P905/100,Q905))</f>
        <v/>
      </c>
      <c r="AI905" s="6">
        <f>IF(R905=0,0,IF(T905="",B905*S905/100,T905))</f>
        <v/>
      </c>
      <c r="AJ905" s="6">
        <f>B905*0.035</f>
        <v/>
      </c>
      <c r="AK905" s="6">
        <f>B905*0.065</f>
        <v/>
      </c>
      <c r="AL905" s="6">
        <f>SUM(B905,AD905,AE905,AF905,AG905,AH905,AI905,U905,V905,AJ905,AK905)</f>
        <v/>
      </c>
      <c r="AM905" s="6">
        <f>B905*0.055</f>
        <v/>
      </c>
      <c r="AN905" s="6">
        <f>B905*0.035</f>
        <v/>
      </c>
      <c r="AO905" s="6">
        <f>B905*0.165</f>
        <v/>
      </c>
      <c r="AP905" s="6">
        <f>MAX(0,AL905-AM905-AO905)</f>
        <v/>
      </c>
      <c r="AQ905" s="6">
        <f>IF(AP905&lt;=490,0,IF(AP905&lt;=600,(AP905-490)*0.05,IF(AP905&lt;=730,5.5+(AP905-600)*0.10,IF(AP905&lt;=3896.67,18.5+(AP905-730)*0.175,IF(AP905&lt;=19896.67,572.67+(AP905-3896.67)*0.25,IF(AP905&lt;=50416.67,4572.67+(AP905-19896.67)*0.30,13728.67+(AP905-50416.67)*0.35))))))</f>
        <v/>
      </c>
      <c r="AR905" s="6">
        <f>SUM(AM905,AQ905,W905,X905,Y905,Z905,AA905,AN905,AO905)</f>
        <v/>
      </c>
      <c r="AS905" s="6">
        <f>AL905-AR905</f>
        <v/>
      </c>
      <c r="AT905" s="6">
        <f>AB905-AC905</f>
        <v/>
      </c>
    </row>
    <row r="906">
      <c r="A906" s="2" t="n"/>
      <c r="B906" s="3" t="n"/>
      <c r="C906" s="4" t="n"/>
      <c r="D906" s="5" t="n"/>
      <c r="E906" s="3" t="n"/>
      <c r="F906" s="4" t="n"/>
      <c r="G906" s="5" t="n"/>
      <c r="H906" s="3" t="n"/>
      <c r="I906" s="4" t="n"/>
      <c r="J906" s="5" t="n"/>
      <c r="K906" s="3" t="n"/>
      <c r="L906" s="4" t="n"/>
      <c r="M906" s="5" t="n"/>
      <c r="N906" s="3" t="n"/>
      <c r="O906" s="4" t="n"/>
      <c r="P906" s="5" t="n"/>
      <c r="Q906" s="3" t="n"/>
      <c r="R906" s="4" t="n"/>
      <c r="S906" s="5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6">
        <f>IF(C906=0,0,IF(E906="",B906*D906/100,E906))</f>
        <v/>
      </c>
      <c r="AE906" s="6">
        <f>IF(F906=0,0,IF(H906="",B906*G906/100,H906))</f>
        <v/>
      </c>
      <c r="AF906" s="6">
        <f>IF(I906=0,0,IF(K906="",B906*J906/100,K906))</f>
        <v/>
      </c>
      <c r="AG906" s="6">
        <f>IF(L906=0,0,IF(N906="",B906*M906/100,N906))</f>
        <v/>
      </c>
      <c r="AH906" s="6">
        <f>IF(O906=0,0,IF(Q906="",B906*P906/100,Q906))</f>
        <v/>
      </c>
      <c r="AI906" s="6">
        <f>IF(R906=0,0,IF(T906="",B906*S906/100,T906))</f>
        <v/>
      </c>
      <c r="AJ906" s="6">
        <f>B906*0.035</f>
        <v/>
      </c>
      <c r="AK906" s="6">
        <f>B906*0.065</f>
        <v/>
      </c>
      <c r="AL906" s="6">
        <f>SUM(B906,AD906,AE906,AF906,AG906,AH906,AI906,U906,V906,AJ906,AK906)</f>
        <v/>
      </c>
      <c r="AM906" s="6">
        <f>B906*0.055</f>
        <v/>
      </c>
      <c r="AN906" s="6">
        <f>B906*0.035</f>
        <v/>
      </c>
      <c r="AO906" s="6">
        <f>B906*0.165</f>
        <v/>
      </c>
      <c r="AP906" s="6">
        <f>MAX(0,AL906-AM906-AO906)</f>
        <v/>
      </c>
      <c r="AQ906" s="6">
        <f>IF(AP906&lt;=490,0,IF(AP906&lt;=600,(AP906-490)*0.05,IF(AP906&lt;=730,5.5+(AP906-600)*0.10,IF(AP906&lt;=3896.67,18.5+(AP906-730)*0.175,IF(AP906&lt;=19896.67,572.67+(AP906-3896.67)*0.25,IF(AP906&lt;=50416.67,4572.67+(AP906-19896.67)*0.30,13728.67+(AP906-50416.67)*0.35))))))</f>
        <v/>
      </c>
      <c r="AR906" s="6">
        <f>SUM(AM906,AQ906,W906,X906,Y906,Z906,AA906,AN906,AO906)</f>
        <v/>
      </c>
      <c r="AS906" s="6">
        <f>AL906-AR906</f>
        <v/>
      </c>
      <c r="AT906" s="6">
        <f>AB906-AC906</f>
        <v/>
      </c>
    </row>
    <row r="907">
      <c r="A907" s="2" t="n"/>
      <c r="B907" s="3" t="n"/>
      <c r="C907" s="4" t="n"/>
      <c r="D907" s="5" t="n"/>
      <c r="E907" s="3" t="n"/>
      <c r="F907" s="4" t="n"/>
      <c r="G907" s="5" t="n"/>
      <c r="H907" s="3" t="n"/>
      <c r="I907" s="4" t="n"/>
      <c r="J907" s="5" t="n"/>
      <c r="K907" s="3" t="n"/>
      <c r="L907" s="4" t="n"/>
      <c r="M907" s="5" t="n"/>
      <c r="N907" s="3" t="n"/>
      <c r="O907" s="4" t="n"/>
      <c r="P907" s="5" t="n"/>
      <c r="Q907" s="3" t="n"/>
      <c r="R907" s="4" t="n"/>
      <c r="S907" s="5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6">
        <f>IF(C907=0,0,IF(E907="",B907*D907/100,E907))</f>
        <v/>
      </c>
      <c r="AE907" s="6">
        <f>IF(F907=0,0,IF(H907="",B907*G907/100,H907))</f>
        <v/>
      </c>
      <c r="AF907" s="6">
        <f>IF(I907=0,0,IF(K907="",B907*J907/100,K907))</f>
        <v/>
      </c>
      <c r="AG907" s="6">
        <f>IF(L907=0,0,IF(N907="",B907*M907/100,N907))</f>
        <v/>
      </c>
      <c r="AH907" s="6">
        <f>IF(O907=0,0,IF(Q907="",B907*P907/100,Q907))</f>
        <v/>
      </c>
      <c r="AI907" s="6">
        <f>IF(R907=0,0,IF(T907="",B907*S907/100,T907))</f>
        <v/>
      </c>
      <c r="AJ907" s="6">
        <f>B907*0.035</f>
        <v/>
      </c>
      <c r="AK907" s="6">
        <f>B907*0.065</f>
        <v/>
      </c>
      <c r="AL907" s="6">
        <f>SUM(B907,AD907,AE907,AF907,AG907,AH907,AI907,U907,V907,AJ907,AK907)</f>
        <v/>
      </c>
      <c r="AM907" s="6">
        <f>B907*0.055</f>
        <v/>
      </c>
      <c r="AN907" s="6">
        <f>B907*0.035</f>
        <v/>
      </c>
      <c r="AO907" s="6">
        <f>B907*0.165</f>
        <v/>
      </c>
      <c r="AP907" s="6">
        <f>MAX(0,AL907-AM907-AO907)</f>
        <v/>
      </c>
      <c r="AQ907" s="6">
        <f>IF(AP907&lt;=490,0,IF(AP907&lt;=600,(AP907-490)*0.05,IF(AP907&lt;=730,5.5+(AP907-600)*0.10,IF(AP907&lt;=3896.67,18.5+(AP907-730)*0.175,IF(AP907&lt;=19896.67,572.67+(AP907-3896.67)*0.25,IF(AP907&lt;=50416.67,4572.67+(AP907-19896.67)*0.30,13728.67+(AP907-50416.67)*0.35))))))</f>
        <v/>
      </c>
      <c r="AR907" s="6">
        <f>SUM(AM907,AQ907,W907,X907,Y907,Z907,AA907,AN907,AO907)</f>
        <v/>
      </c>
      <c r="AS907" s="6">
        <f>AL907-AR907</f>
        <v/>
      </c>
      <c r="AT907" s="6">
        <f>AB907-AC907</f>
        <v/>
      </c>
    </row>
    <row r="908">
      <c r="A908" s="2" t="n"/>
      <c r="B908" s="3" t="n"/>
      <c r="C908" s="4" t="n"/>
      <c r="D908" s="5" t="n"/>
      <c r="E908" s="3" t="n"/>
      <c r="F908" s="4" t="n"/>
      <c r="G908" s="5" t="n"/>
      <c r="H908" s="3" t="n"/>
      <c r="I908" s="4" t="n"/>
      <c r="J908" s="5" t="n"/>
      <c r="K908" s="3" t="n"/>
      <c r="L908" s="4" t="n"/>
      <c r="M908" s="5" t="n"/>
      <c r="N908" s="3" t="n"/>
      <c r="O908" s="4" t="n"/>
      <c r="P908" s="5" t="n"/>
      <c r="Q908" s="3" t="n"/>
      <c r="R908" s="4" t="n"/>
      <c r="S908" s="5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6">
        <f>IF(C908=0,0,IF(E908="",B908*D908/100,E908))</f>
        <v/>
      </c>
      <c r="AE908" s="6">
        <f>IF(F908=0,0,IF(H908="",B908*G908/100,H908))</f>
        <v/>
      </c>
      <c r="AF908" s="6">
        <f>IF(I908=0,0,IF(K908="",B908*J908/100,K908))</f>
        <v/>
      </c>
      <c r="AG908" s="6">
        <f>IF(L908=0,0,IF(N908="",B908*M908/100,N908))</f>
        <v/>
      </c>
      <c r="AH908" s="6">
        <f>IF(O908=0,0,IF(Q908="",B908*P908/100,Q908))</f>
        <v/>
      </c>
      <c r="AI908" s="6">
        <f>IF(R908=0,0,IF(T908="",B908*S908/100,T908))</f>
        <v/>
      </c>
      <c r="AJ908" s="6">
        <f>B908*0.035</f>
        <v/>
      </c>
      <c r="AK908" s="6">
        <f>B908*0.065</f>
        <v/>
      </c>
      <c r="AL908" s="6">
        <f>SUM(B908,AD908,AE908,AF908,AG908,AH908,AI908,U908,V908,AJ908,AK908)</f>
        <v/>
      </c>
      <c r="AM908" s="6">
        <f>B908*0.055</f>
        <v/>
      </c>
      <c r="AN908" s="6">
        <f>B908*0.035</f>
        <v/>
      </c>
      <c r="AO908" s="6">
        <f>B908*0.165</f>
        <v/>
      </c>
      <c r="AP908" s="6">
        <f>MAX(0,AL908-AM908-AO908)</f>
        <v/>
      </c>
      <c r="AQ908" s="6">
        <f>IF(AP908&lt;=490,0,IF(AP908&lt;=600,(AP908-490)*0.05,IF(AP908&lt;=730,5.5+(AP908-600)*0.10,IF(AP908&lt;=3896.67,18.5+(AP908-730)*0.175,IF(AP908&lt;=19896.67,572.67+(AP908-3896.67)*0.25,IF(AP908&lt;=50416.67,4572.67+(AP908-19896.67)*0.30,13728.67+(AP908-50416.67)*0.35))))))</f>
        <v/>
      </c>
      <c r="AR908" s="6">
        <f>SUM(AM908,AQ908,W908,X908,Y908,Z908,AA908,AN908,AO908)</f>
        <v/>
      </c>
      <c r="AS908" s="6">
        <f>AL908-AR908</f>
        <v/>
      </c>
      <c r="AT908" s="6">
        <f>AB908-AC908</f>
        <v/>
      </c>
    </row>
    <row r="909">
      <c r="A909" s="2" t="n"/>
      <c r="B909" s="3" t="n"/>
      <c r="C909" s="4" t="n"/>
      <c r="D909" s="5" t="n"/>
      <c r="E909" s="3" t="n"/>
      <c r="F909" s="4" t="n"/>
      <c r="G909" s="5" t="n"/>
      <c r="H909" s="3" t="n"/>
      <c r="I909" s="4" t="n"/>
      <c r="J909" s="5" t="n"/>
      <c r="K909" s="3" t="n"/>
      <c r="L909" s="4" t="n"/>
      <c r="M909" s="5" t="n"/>
      <c r="N909" s="3" t="n"/>
      <c r="O909" s="4" t="n"/>
      <c r="P909" s="5" t="n"/>
      <c r="Q909" s="3" t="n"/>
      <c r="R909" s="4" t="n"/>
      <c r="S909" s="5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6">
        <f>IF(C909=0,0,IF(E909="",B909*D909/100,E909))</f>
        <v/>
      </c>
      <c r="AE909" s="6">
        <f>IF(F909=0,0,IF(H909="",B909*G909/100,H909))</f>
        <v/>
      </c>
      <c r="AF909" s="6">
        <f>IF(I909=0,0,IF(K909="",B909*J909/100,K909))</f>
        <v/>
      </c>
      <c r="AG909" s="6">
        <f>IF(L909=0,0,IF(N909="",B909*M909/100,N909))</f>
        <v/>
      </c>
      <c r="AH909" s="6">
        <f>IF(O909=0,0,IF(Q909="",B909*P909/100,Q909))</f>
        <v/>
      </c>
      <c r="AI909" s="6">
        <f>IF(R909=0,0,IF(T909="",B909*S909/100,T909))</f>
        <v/>
      </c>
      <c r="AJ909" s="6">
        <f>B909*0.035</f>
        <v/>
      </c>
      <c r="AK909" s="6">
        <f>B909*0.065</f>
        <v/>
      </c>
      <c r="AL909" s="6">
        <f>SUM(B909,AD909,AE909,AF909,AG909,AH909,AI909,U909,V909,AJ909,AK909)</f>
        <v/>
      </c>
      <c r="AM909" s="6">
        <f>B909*0.055</f>
        <v/>
      </c>
      <c r="AN909" s="6">
        <f>B909*0.035</f>
        <v/>
      </c>
      <c r="AO909" s="6">
        <f>B909*0.165</f>
        <v/>
      </c>
      <c r="AP909" s="6">
        <f>MAX(0,AL909-AM909-AO909)</f>
        <v/>
      </c>
      <c r="AQ909" s="6">
        <f>IF(AP909&lt;=490,0,IF(AP909&lt;=600,(AP909-490)*0.05,IF(AP909&lt;=730,5.5+(AP909-600)*0.10,IF(AP909&lt;=3896.67,18.5+(AP909-730)*0.175,IF(AP909&lt;=19896.67,572.67+(AP909-3896.67)*0.25,IF(AP909&lt;=50416.67,4572.67+(AP909-19896.67)*0.30,13728.67+(AP909-50416.67)*0.35))))))</f>
        <v/>
      </c>
      <c r="AR909" s="6">
        <f>SUM(AM909,AQ909,W909,X909,Y909,Z909,AA909,AN909,AO909)</f>
        <v/>
      </c>
      <c r="AS909" s="6">
        <f>AL909-AR909</f>
        <v/>
      </c>
      <c r="AT909" s="6">
        <f>AB909-AC909</f>
        <v/>
      </c>
    </row>
    <row r="910">
      <c r="A910" s="2" t="n"/>
      <c r="B910" s="3" t="n"/>
      <c r="C910" s="4" t="n"/>
      <c r="D910" s="5" t="n"/>
      <c r="E910" s="3" t="n"/>
      <c r="F910" s="4" t="n"/>
      <c r="G910" s="5" t="n"/>
      <c r="H910" s="3" t="n"/>
      <c r="I910" s="4" t="n"/>
      <c r="J910" s="5" t="n"/>
      <c r="K910" s="3" t="n"/>
      <c r="L910" s="4" t="n"/>
      <c r="M910" s="5" t="n"/>
      <c r="N910" s="3" t="n"/>
      <c r="O910" s="4" t="n"/>
      <c r="P910" s="5" t="n"/>
      <c r="Q910" s="3" t="n"/>
      <c r="R910" s="4" t="n"/>
      <c r="S910" s="5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6">
        <f>IF(C910=0,0,IF(E910="",B910*D910/100,E910))</f>
        <v/>
      </c>
      <c r="AE910" s="6">
        <f>IF(F910=0,0,IF(H910="",B910*G910/100,H910))</f>
        <v/>
      </c>
      <c r="AF910" s="6">
        <f>IF(I910=0,0,IF(K910="",B910*J910/100,K910))</f>
        <v/>
      </c>
      <c r="AG910" s="6">
        <f>IF(L910=0,0,IF(N910="",B910*M910/100,N910))</f>
        <v/>
      </c>
      <c r="AH910" s="6">
        <f>IF(O910=0,0,IF(Q910="",B910*P910/100,Q910))</f>
        <v/>
      </c>
      <c r="AI910" s="6">
        <f>IF(R910=0,0,IF(T910="",B910*S910/100,T910))</f>
        <v/>
      </c>
      <c r="AJ910" s="6">
        <f>B910*0.035</f>
        <v/>
      </c>
      <c r="AK910" s="6">
        <f>B910*0.065</f>
        <v/>
      </c>
      <c r="AL910" s="6">
        <f>SUM(B910,AD910,AE910,AF910,AG910,AH910,AI910,U910,V910,AJ910,AK910)</f>
        <v/>
      </c>
      <c r="AM910" s="6">
        <f>B910*0.055</f>
        <v/>
      </c>
      <c r="AN910" s="6">
        <f>B910*0.035</f>
        <v/>
      </c>
      <c r="AO910" s="6">
        <f>B910*0.165</f>
        <v/>
      </c>
      <c r="AP910" s="6">
        <f>MAX(0,AL910-AM910-AO910)</f>
        <v/>
      </c>
      <c r="AQ910" s="6">
        <f>IF(AP910&lt;=490,0,IF(AP910&lt;=600,(AP910-490)*0.05,IF(AP910&lt;=730,5.5+(AP910-600)*0.10,IF(AP910&lt;=3896.67,18.5+(AP910-730)*0.175,IF(AP910&lt;=19896.67,572.67+(AP910-3896.67)*0.25,IF(AP910&lt;=50416.67,4572.67+(AP910-19896.67)*0.30,13728.67+(AP910-50416.67)*0.35))))))</f>
        <v/>
      </c>
      <c r="AR910" s="6">
        <f>SUM(AM910,AQ910,W910,X910,Y910,Z910,AA910,AN910,AO910)</f>
        <v/>
      </c>
      <c r="AS910" s="6">
        <f>AL910-AR910</f>
        <v/>
      </c>
      <c r="AT910" s="6">
        <f>AB910-AC910</f>
        <v/>
      </c>
    </row>
    <row r="911">
      <c r="A911" s="2" t="n"/>
      <c r="B911" s="3" t="n"/>
      <c r="C911" s="4" t="n"/>
      <c r="D911" s="5" t="n"/>
      <c r="E911" s="3" t="n"/>
      <c r="F911" s="4" t="n"/>
      <c r="G911" s="5" t="n"/>
      <c r="H911" s="3" t="n"/>
      <c r="I911" s="4" t="n"/>
      <c r="J911" s="5" t="n"/>
      <c r="K911" s="3" t="n"/>
      <c r="L911" s="4" t="n"/>
      <c r="M911" s="5" t="n"/>
      <c r="N911" s="3" t="n"/>
      <c r="O911" s="4" t="n"/>
      <c r="P911" s="5" t="n"/>
      <c r="Q911" s="3" t="n"/>
      <c r="R911" s="4" t="n"/>
      <c r="S911" s="5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6">
        <f>IF(C911=0,0,IF(E911="",B911*D911/100,E911))</f>
        <v/>
      </c>
      <c r="AE911" s="6">
        <f>IF(F911=0,0,IF(H911="",B911*G911/100,H911))</f>
        <v/>
      </c>
      <c r="AF911" s="6">
        <f>IF(I911=0,0,IF(K911="",B911*J911/100,K911))</f>
        <v/>
      </c>
      <c r="AG911" s="6">
        <f>IF(L911=0,0,IF(N911="",B911*M911/100,N911))</f>
        <v/>
      </c>
      <c r="AH911" s="6">
        <f>IF(O911=0,0,IF(Q911="",B911*P911/100,Q911))</f>
        <v/>
      </c>
      <c r="AI911" s="6">
        <f>IF(R911=0,0,IF(T911="",B911*S911/100,T911))</f>
        <v/>
      </c>
      <c r="AJ911" s="6">
        <f>B911*0.035</f>
        <v/>
      </c>
      <c r="AK911" s="6">
        <f>B911*0.065</f>
        <v/>
      </c>
      <c r="AL911" s="6">
        <f>SUM(B911,AD911,AE911,AF911,AG911,AH911,AI911,U911,V911,AJ911,AK911)</f>
        <v/>
      </c>
      <c r="AM911" s="6">
        <f>B911*0.055</f>
        <v/>
      </c>
      <c r="AN911" s="6">
        <f>B911*0.035</f>
        <v/>
      </c>
      <c r="AO911" s="6">
        <f>B911*0.165</f>
        <v/>
      </c>
      <c r="AP911" s="6">
        <f>MAX(0,AL911-AM911-AO911)</f>
        <v/>
      </c>
      <c r="AQ911" s="6">
        <f>IF(AP911&lt;=490,0,IF(AP911&lt;=600,(AP911-490)*0.05,IF(AP911&lt;=730,5.5+(AP911-600)*0.10,IF(AP911&lt;=3896.67,18.5+(AP911-730)*0.175,IF(AP911&lt;=19896.67,572.67+(AP911-3896.67)*0.25,IF(AP911&lt;=50416.67,4572.67+(AP911-19896.67)*0.30,13728.67+(AP911-50416.67)*0.35))))))</f>
        <v/>
      </c>
      <c r="AR911" s="6">
        <f>SUM(AM911,AQ911,W911,X911,Y911,Z911,AA911,AN911,AO911)</f>
        <v/>
      </c>
      <c r="AS911" s="6">
        <f>AL911-AR911</f>
        <v/>
      </c>
      <c r="AT911" s="6">
        <f>AB911-AC911</f>
        <v/>
      </c>
    </row>
    <row r="912">
      <c r="A912" s="2" t="n"/>
      <c r="B912" s="3" t="n"/>
      <c r="C912" s="4" t="n"/>
      <c r="D912" s="5" t="n"/>
      <c r="E912" s="3" t="n"/>
      <c r="F912" s="4" t="n"/>
      <c r="G912" s="5" t="n"/>
      <c r="H912" s="3" t="n"/>
      <c r="I912" s="4" t="n"/>
      <c r="J912" s="5" t="n"/>
      <c r="K912" s="3" t="n"/>
      <c r="L912" s="4" t="n"/>
      <c r="M912" s="5" t="n"/>
      <c r="N912" s="3" t="n"/>
      <c r="O912" s="4" t="n"/>
      <c r="P912" s="5" t="n"/>
      <c r="Q912" s="3" t="n"/>
      <c r="R912" s="4" t="n"/>
      <c r="S912" s="5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6">
        <f>IF(C912=0,0,IF(E912="",B912*D912/100,E912))</f>
        <v/>
      </c>
      <c r="AE912" s="6">
        <f>IF(F912=0,0,IF(H912="",B912*G912/100,H912))</f>
        <v/>
      </c>
      <c r="AF912" s="6">
        <f>IF(I912=0,0,IF(K912="",B912*J912/100,K912))</f>
        <v/>
      </c>
      <c r="AG912" s="6">
        <f>IF(L912=0,0,IF(N912="",B912*M912/100,N912))</f>
        <v/>
      </c>
      <c r="AH912" s="6">
        <f>IF(O912=0,0,IF(Q912="",B912*P912/100,Q912))</f>
        <v/>
      </c>
      <c r="AI912" s="6">
        <f>IF(R912=0,0,IF(T912="",B912*S912/100,T912))</f>
        <v/>
      </c>
      <c r="AJ912" s="6">
        <f>B912*0.035</f>
        <v/>
      </c>
      <c r="AK912" s="6">
        <f>B912*0.065</f>
        <v/>
      </c>
      <c r="AL912" s="6">
        <f>SUM(B912,AD912,AE912,AF912,AG912,AH912,AI912,U912,V912,AJ912,AK912)</f>
        <v/>
      </c>
      <c r="AM912" s="6">
        <f>B912*0.055</f>
        <v/>
      </c>
      <c r="AN912" s="6">
        <f>B912*0.035</f>
        <v/>
      </c>
      <c r="AO912" s="6">
        <f>B912*0.165</f>
        <v/>
      </c>
      <c r="AP912" s="6">
        <f>MAX(0,AL912-AM912-AO912)</f>
        <v/>
      </c>
      <c r="AQ912" s="6">
        <f>IF(AP912&lt;=490,0,IF(AP912&lt;=600,(AP912-490)*0.05,IF(AP912&lt;=730,5.5+(AP912-600)*0.10,IF(AP912&lt;=3896.67,18.5+(AP912-730)*0.175,IF(AP912&lt;=19896.67,572.67+(AP912-3896.67)*0.25,IF(AP912&lt;=50416.67,4572.67+(AP912-19896.67)*0.30,13728.67+(AP912-50416.67)*0.35))))))</f>
        <v/>
      </c>
      <c r="AR912" s="6">
        <f>SUM(AM912,AQ912,W912,X912,Y912,Z912,AA912,AN912,AO912)</f>
        <v/>
      </c>
      <c r="AS912" s="6">
        <f>AL912-AR912</f>
        <v/>
      </c>
      <c r="AT912" s="6">
        <f>AB912-AC912</f>
        <v/>
      </c>
    </row>
    <row r="913">
      <c r="A913" s="2" t="n"/>
      <c r="B913" s="3" t="n"/>
      <c r="C913" s="4" t="n"/>
      <c r="D913" s="5" t="n"/>
      <c r="E913" s="3" t="n"/>
      <c r="F913" s="4" t="n"/>
      <c r="G913" s="5" t="n"/>
      <c r="H913" s="3" t="n"/>
      <c r="I913" s="4" t="n"/>
      <c r="J913" s="5" t="n"/>
      <c r="K913" s="3" t="n"/>
      <c r="L913" s="4" t="n"/>
      <c r="M913" s="5" t="n"/>
      <c r="N913" s="3" t="n"/>
      <c r="O913" s="4" t="n"/>
      <c r="P913" s="5" t="n"/>
      <c r="Q913" s="3" t="n"/>
      <c r="R913" s="4" t="n"/>
      <c r="S913" s="5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6">
        <f>IF(C913=0,0,IF(E913="",B913*D913/100,E913))</f>
        <v/>
      </c>
      <c r="AE913" s="6">
        <f>IF(F913=0,0,IF(H913="",B913*G913/100,H913))</f>
        <v/>
      </c>
      <c r="AF913" s="6">
        <f>IF(I913=0,0,IF(K913="",B913*J913/100,K913))</f>
        <v/>
      </c>
      <c r="AG913" s="6">
        <f>IF(L913=0,0,IF(N913="",B913*M913/100,N913))</f>
        <v/>
      </c>
      <c r="AH913" s="6">
        <f>IF(O913=0,0,IF(Q913="",B913*P913/100,Q913))</f>
        <v/>
      </c>
      <c r="AI913" s="6">
        <f>IF(R913=0,0,IF(T913="",B913*S913/100,T913))</f>
        <v/>
      </c>
      <c r="AJ913" s="6">
        <f>B913*0.035</f>
        <v/>
      </c>
      <c r="AK913" s="6">
        <f>B913*0.065</f>
        <v/>
      </c>
      <c r="AL913" s="6">
        <f>SUM(B913,AD913,AE913,AF913,AG913,AH913,AI913,U913,V913,AJ913,AK913)</f>
        <v/>
      </c>
      <c r="AM913" s="6">
        <f>B913*0.055</f>
        <v/>
      </c>
      <c r="AN913" s="6">
        <f>B913*0.035</f>
        <v/>
      </c>
      <c r="AO913" s="6">
        <f>B913*0.165</f>
        <v/>
      </c>
      <c r="AP913" s="6">
        <f>MAX(0,AL913-AM913-AO913)</f>
        <v/>
      </c>
      <c r="AQ913" s="6">
        <f>IF(AP913&lt;=490,0,IF(AP913&lt;=600,(AP913-490)*0.05,IF(AP913&lt;=730,5.5+(AP913-600)*0.10,IF(AP913&lt;=3896.67,18.5+(AP913-730)*0.175,IF(AP913&lt;=19896.67,572.67+(AP913-3896.67)*0.25,IF(AP913&lt;=50416.67,4572.67+(AP913-19896.67)*0.30,13728.67+(AP913-50416.67)*0.35))))))</f>
        <v/>
      </c>
      <c r="AR913" s="6">
        <f>SUM(AM913,AQ913,W913,X913,Y913,Z913,AA913,AN913,AO913)</f>
        <v/>
      </c>
      <c r="AS913" s="6">
        <f>AL913-AR913</f>
        <v/>
      </c>
      <c r="AT913" s="6">
        <f>AB913-AC913</f>
        <v/>
      </c>
    </row>
    <row r="914">
      <c r="A914" s="2" t="n"/>
      <c r="B914" s="3" t="n"/>
      <c r="C914" s="4" t="n"/>
      <c r="D914" s="5" t="n"/>
      <c r="E914" s="3" t="n"/>
      <c r="F914" s="4" t="n"/>
      <c r="G914" s="5" t="n"/>
      <c r="H914" s="3" t="n"/>
      <c r="I914" s="4" t="n"/>
      <c r="J914" s="5" t="n"/>
      <c r="K914" s="3" t="n"/>
      <c r="L914" s="4" t="n"/>
      <c r="M914" s="5" t="n"/>
      <c r="N914" s="3" t="n"/>
      <c r="O914" s="4" t="n"/>
      <c r="P914" s="5" t="n"/>
      <c r="Q914" s="3" t="n"/>
      <c r="R914" s="4" t="n"/>
      <c r="S914" s="5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6">
        <f>IF(C914=0,0,IF(E914="",B914*D914/100,E914))</f>
        <v/>
      </c>
      <c r="AE914" s="6">
        <f>IF(F914=0,0,IF(H914="",B914*G914/100,H914))</f>
        <v/>
      </c>
      <c r="AF914" s="6">
        <f>IF(I914=0,0,IF(K914="",B914*J914/100,K914))</f>
        <v/>
      </c>
      <c r="AG914" s="6">
        <f>IF(L914=0,0,IF(N914="",B914*M914/100,N914))</f>
        <v/>
      </c>
      <c r="AH914" s="6">
        <f>IF(O914=0,0,IF(Q914="",B914*P914/100,Q914))</f>
        <v/>
      </c>
      <c r="AI914" s="6">
        <f>IF(R914=0,0,IF(T914="",B914*S914/100,T914))</f>
        <v/>
      </c>
      <c r="AJ914" s="6">
        <f>B914*0.035</f>
        <v/>
      </c>
      <c r="AK914" s="6">
        <f>B914*0.065</f>
        <v/>
      </c>
      <c r="AL914" s="6">
        <f>SUM(B914,AD914,AE914,AF914,AG914,AH914,AI914,U914,V914,AJ914,AK914)</f>
        <v/>
      </c>
      <c r="AM914" s="6">
        <f>B914*0.055</f>
        <v/>
      </c>
      <c r="AN914" s="6">
        <f>B914*0.035</f>
        <v/>
      </c>
      <c r="AO914" s="6">
        <f>B914*0.165</f>
        <v/>
      </c>
      <c r="AP914" s="6">
        <f>MAX(0,AL914-AM914-AO914)</f>
        <v/>
      </c>
      <c r="AQ914" s="6">
        <f>IF(AP914&lt;=490,0,IF(AP914&lt;=600,(AP914-490)*0.05,IF(AP914&lt;=730,5.5+(AP914-600)*0.10,IF(AP914&lt;=3896.67,18.5+(AP914-730)*0.175,IF(AP914&lt;=19896.67,572.67+(AP914-3896.67)*0.25,IF(AP914&lt;=50416.67,4572.67+(AP914-19896.67)*0.30,13728.67+(AP914-50416.67)*0.35))))))</f>
        <v/>
      </c>
      <c r="AR914" s="6">
        <f>SUM(AM914,AQ914,W914,X914,Y914,Z914,AA914,AN914,AO914)</f>
        <v/>
      </c>
      <c r="AS914" s="6">
        <f>AL914-AR914</f>
        <v/>
      </c>
      <c r="AT914" s="6">
        <f>AB914-AC914</f>
        <v/>
      </c>
    </row>
    <row r="915">
      <c r="A915" s="2" t="n"/>
      <c r="B915" s="3" t="n"/>
      <c r="C915" s="4" t="n"/>
      <c r="D915" s="5" t="n"/>
      <c r="E915" s="3" t="n"/>
      <c r="F915" s="4" t="n"/>
      <c r="G915" s="5" t="n"/>
      <c r="H915" s="3" t="n"/>
      <c r="I915" s="4" t="n"/>
      <c r="J915" s="5" t="n"/>
      <c r="K915" s="3" t="n"/>
      <c r="L915" s="4" t="n"/>
      <c r="M915" s="5" t="n"/>
      <c r="N915" s="3" t="n"/>
      <c r="O915" s="4" t="n"/>
      <c r="P915" s="5" t="n"/>
      <c r="Q915" s="3" t="n"/>
      <c r="R915" s="4" t="n"/>
      <c r="S915" s="5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6">
        <f>IF(C915=0,0,IF(E915="",B915*D915/100,E915))</f>
        <v/>
      </c>
      <c r="AE915" s="6">
        <f>IF(F915=0,0,IF(H915="",B915*G915/100,H915))</f>
        <v/>
      </c>
      <c r="AF915" s="6">
        <f>IF(I915=0,0,IF(K915="",B915*J915/100,K915))</f>
        <v/>
      </c>
      <c r="AG915" s="6">
        <f>IF(L915=0,0,IF(N915="",B915*M915/100,N915))</f>
        <v/>
      </c>
      <c r="AH915" s="6">
        <f>IF(O915=0,0,IF(Q915="",B915*P915/100,Q915))</f>
        <v/>
      </c>
      <c r="AI915" s="6">
        <f>IF(R915=0,0,IF(T915="",B915*S915/100,T915))</f>
        <v/>
      </c>
      <c r="AJ915" s="6">
        <f>B915*0.035</f>
        <v/>
      </c>
      <c r="AK915" s="6">
        <f>B915*0.065</f>
        <v/>
      </c>
      <c r="AL915" s="6">
        <f>SUM(B915,AD915,AE915,AF915,AG915,AH915,AI915,U915,V915,AJ915,AK915)</f>
        <v/>
      </c>
      <c r="AM915" s="6">
        <f>B915*0.055</f>
        <v/>
      </c>
      <c r="AN915" s="6">
        <f>B915*0.035</f>
        <v/>
      </c>
      <c r="AO915" s="6">
        <f>B915*0.165</f>
        <v/>
      </c>
      <c r="AP915" s="6">
        <f>MAX(0,AL915-AM915-AO915)</f>
        <v/>
      </c>
      <c r="AQ915" s="6">
        <f>IF(AP915&lt;=490,0,IF(AP915&lt;=600,(AP915-490)*0.05,IF(AP915&lt;=730,5.5+(AP915-600)*0.10,IF(AP915&lt;=3896.67,18.5+(AP915-730)*0.175,IF(AP915&lt;=19896.67,572.67+(AP915-3896.67)*0.25,IF(AP915&lt;=50416.67,4572.67+(AP915-19896.67)*0.30,13728.67+(AP915-50416.67)*0.35))))))</f>
        <v/>
      </c>
      <c r="AR915" s="6">
        <f>SUM(AM915,AQ915,W915,X915,Y915,Z915,AA915,AN915,AO915)</f>
        <v/>
      </c>
      <c r="AS915" s="6">
        <f>AL915-AR915</f>
        <v/>
      </c>
      <c r="AT915" s="6">
        <f>AB915-AC915</f>
        <v/>
      </c>
    </row>
    <row r="916">
      <c r="A916" s="2" t="n"/>
      <c r="B916" s="3" t="n"/>
      <c r="C916" s="4" t="n"/>
      <c r="D916" s="5" t="n"/>
      <c r="E916" s="3" t="n"/>
      <c r="F916" s="4" t="n"/>
      <c r="G916" s="5" t="n"/>
      <c r="H916" s="3" t="n"/>
      <c r="I916" s="4" t="n"/>
      <c r="J916" s="5" t="n"/>
      <c r="K916" s="3" t="n"/>
      <c r="L916" s="4" t="n"/>
      <c r="M916" s="5" t="n"/>
      <c r="N916" s="3" t="n"/>
      <c r="O916" s="4" t="n"/>
      <c r="P916" s="5" t="n"/>
      <c r="Q916" s="3" t="n"/>
      <c r="R916" s="4" t="n"/>
      <c r="S916" s="5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6">
        <f>IF(C916=0,0,IF(E916="",B916*D916/100,E916))</f>
        <v/>
      </c>
      <c r="AE916" s="6">
        <f>IF(F916=0,0,IF(H916="",B916*G916/100,H916))</f>
        <v/>
      </c>
      <c r="AF916" s="6">
        <f>IF(I916=0,0,IF(K916="",B916*J916/100,K916))</f>
        <v/>
      </c>
      <c r="AG916" s="6">
        <f>IF(L916=0,0,IF(N916="",B916*M916/100,N916))</f>
        <v/>
      </c>
      <c r="AH916" s="6">
        <f>IF(O916=0,0,IF(Q916="",B916*P916/100,Q916))</f>
        <v/>
      </c>
      <c r="AI916" s="6">
        <f>IF(R916=0,0,IF(T916="",B916*S916/100,T916))</f>
        <v/>
      </c>
      <c r="AJ916" s="6">
        <f>B916*0.035</f>
        <v/>
      </c>
      <c r="AK916" s="6">
        <f>B916*0.065</f>
        <v/>
      </c>
      <c r="AL916" s="6">
        <f>SUM(B916,AD916,AE916,AF916,AG916,AH916,AI916,U916,V916,AJ916,AK916)</f>
        <v/>
      </c>
      <c r="AM916" s="6">
        <f>B916*0.055</f>
        <v/>
      </c>
      <c r="AN916" s="6">
        <f>B916*0.035</f>
        <v/>
      </c>
      <c r="AO916" s="6">
        <f>B916*0.165</f>
        <v/>
      </c>
      <c r="AP916" s="6">
        <f>MAX(0,AL916-AM916-AO916)</f>
        <v/>
      </c>
      <c r="AQ916" s="6">
        <f>IF(AP916&lt;=490,0,IF(AP916&lt;=600,(AP916-490)*0.05,IF(AP916&lt;=730,5.5+(AP916-600)*0.10,IF(AP916&lt;=3896.67,18.5+(AP916-730)*0.175,IF(AP916&lt;=19896.67,572.67+(AP916-3896.67)*0.25,IF(AP916&lt;=50416.67,4572.67+(AP916-19896.67)*0.30,13728.67+(AP916-50416.67)*0.35))))))</f>
        <v/>
      </c>
      <c r="AR916" s="6">
        <f>SUM(AM916,AQ916,W916,X916,Y916,Z916,AA916,AN916,AO916)</f>
        <v/>
      </c>
      <c r="AS916" s="6">
        <f>AL916-AR916</f>
        <v/>
      </c>
      <c r="AT916" s="6">
        <f>AB916-AC916</f>
        <v/>
      </c>
    </row>
    <row r="917">
      <c r="A917" s="2" t="n"/>
      <c r="B917" s="3" t="n"/>
      <c r="C917" s="4" t="n"/>
      <c r="D917" s="5" t="n"/>
      <c r="E917" s="3" t="n"/>
      <c r="F917" s="4" t="n"/>
      <c r="G917" s="5" t="n"/>
      <c r="H917" s="3" t="n"/>
      <c r="I917" s="4" t="n"/>
      <c r="J917" s="5" t="n"/>
      <c r="K917" s="3" t="n"/>
      <c r="L917" s="4" t="n"/>
      <c r="M917" s="5" t="n"/>
      <c r="N917" s="3" t="n"/>
      <c r="O917" s="4" t="n"/>
      <c r="P917" s="5" t="n"/>
      <c r="Q917" s="3" t="n"/>
      <c r="R917" s="4" t="n"/>
      <c r="S917" s="5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6">
        <f>IF(C917=0,0,IF(E917="",B917*D917/100,E917))</f>
        <v/>
      </c>
      <c r="AE917" s="6">
        <f>IF(F917=0,0,IF(H917="",B917*G917/100,H917))</f>
        <v/>
      </c>
      <c r="AF917" s="6">
        <f>IF(I917=0,0,IF(K917="",B917*J917/100,K917))</f>
        <v/>
      </c>
      <c r="AG917" s="6">
        <f>IF(L917=0,0,IF(N917="",B917*M917/100,N917))</f>
        <v/>
      </c>
      <c r="AH917" s="6">
        <f>IF(O917=0,0,IF(Q917="",B917*P917/100,Q917))</f>
        <v/>
      </c>
      <c r="AI917" s="6">
        <f>IF(R917=0,0,IF(T917="",B917*S917/100,T917))</f>
        <v/>
      </c>
      <c r="AJ917" s="6">
        <f>B917*0.035</f>
        <v/>
      </c>
      <c r="AK917" s="6">
        <f>B917*0.065</f>
        <v/>
      </c>
      <c r="AL917" s="6">
        <f>SUM(B917,AD917,AE917,AF917,AG917,AH917,AI917,U917,V917,AJ917,AK917)</f>
        <v/>
      </c>
      <c r="AM917" s="6">
        <f>B917*0.055</f>
        <v/>
      </c>
      <c r="AN917" s="6">
        <f>B917*0.035</f>
        <v/>
      </c>
      <c r="AO917" s="6">
        <f>B917*0.165</f>
        <v/>
      </c>
      <c r="AP917" s="6">
        <f>MAX(0,AL917-AM917-AO917)</f>
        <v/>
      </c>
      <c r="AQ917" s="6">
        <f>IF(AP917&lt;=490,0,IF(AP917&lt;=600,(AP917-490)*0.05,IF(AP917&lt;=730,5.5+(AP917-600)*0.10,IF(AP917&lt;=3896.67,18.5+(AP917-730)*0.175,IF(AP917&lt;=19896.67,572.67+(AP917-3896.67)*0.25,IF(AP917&lt;=50416.67,4572.67+(AP917-19896.67)*0.30,13728.67+(AP917-50416.67)*0.35))))))</f>
        <v/>
      </c>
      <c r="AR917" s="6">
        <f>SUM(AM917,AQ917,W917,X917,Y917,Z917,AA917,AN917,AO917)</f>
        <v/>
      </c>
      <c r="AS917" s="6">
        <f>AL917-AR917</f>
        <v/>
      </c>
      <c r="AT917" s="6">
        <f>AB917-AC917</f>
        <v/>
      </c>
    </row>
    <row r="918">
      <c r="A918" s="2" t="n"/>
      <c r="B918" s="3" t="n"/>
      <c r="C918" s="4" t="n"/>
      <c r="D918" s="5" t="n"/>
      <c r="E918" s="3" t="n"/>
      <c r="F918" s="4" t="n"/>
      <c r="G918" s="5" t="n"/>
      <c r="H918" s="3" t="n"/>
      <c r="I918" s="4" t="n"/>
      <c r="J918" s="5" t="n"/>
      <c r="K918" s="3" t="n"/>
      <c r="L918" s="4" t="n"/>
      <c r="M918" s="5" t="n"/>
      <c r="N918" s="3" t="n"/>
      <c r="O918" s="4" t="n"/>
      <c r="P918" s="5" t="n"/>
      <c r="Q918" s="3" t="n"/>
      <c r="R918" s="4" t="n"/>
      <c r="S918" s="5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6">
        <f>IF(C918=0,0,IF(E918="",B918*D918/100,E918))</f>
        <v/>
      </c>
      <c r="AE918" s="6">
        <f>IF(F918=0,0,IF(H918="",B918*G918/100,H918))</f>
        <v/>
      </c>
      <c r="AF918" s="6">
        <f>IF(I918=0,0,IF(K918="",B918*J918/100,K918))</f>
        <v/>
      </c>
      <c r="AG918" s="6">
        <f>IF(L918=0,0,IF(N918="",B918*M918/100,N918))</f>
        <v/>
      </c>
      <c r="AH918" s="6">
        <f>IF(O918=0,0,IF(Q918="",B918*P918/100,Q918))</f>
        <v/>
      </c>
      <c r="AI918" s="6">
        <f>IF(R918=0,0,IF(T918="",B918*S918/100,T918))</f>
        <v/>
      </c>
      <c r="AJ918" s="6">
        <f>B918*0.035</f>
        <v/>
      </c>
      <c r="AK918" s="6">
        <f>B918*0.065</f>
        <v/>
      </c>
      <c r="AL918" s="6">
        <f>SUM(B918,AD918,AE918,AF918,AG918,AH918,AI918,U918,V918,AJ918,AK918)</f>
        <v/>
      </c>
      <c r="AM918" s="6">
        <f>B918*0.055</f>
        <v/>
      </c>
      <c r="AN918" s="6">
        <f>B918*0.035</f>
        <v/>
      </c>
      <c r="AO918" s="6">
        <f>B918*0.165</f>
        <v/>
      </c>
      <c r="AP918" s="6">
        <f>MAX(0,AL918-AM918-AO918)</f>
        <v/>
      </c>
      <c r="AQ918" s="6">
        <f>IF(AP918&lt;=490,0,IF(AP918&lt;=600,(AP918-490)*0.05,IF(AP918&lt;=730,5.5+(AP918-600)*0.10,IF(AP918&lt;=3896.67,18.5+(AP918-730)*0.175,IF(AP918&lt;=19896.67,572.67+(AP918-3896.67)*0.25,IF(AP918&lt;=50416.67,4572.67+(AP918-19896.67)*0.30,13728.67+(AP918-50416.67)*0.35))))))</f>
        <v/>
      </c>
      <c r="AR918" s="6">
        <f>SUM(AM918,AQ918,W918,X918,Y918,Z918,AA918,AN918,AO918)</f>
        <v/>
      </c>
      <c r="AS918" s="6">
        <f>AL918-AR918</f>
        <v/>
      </c>
      <c r="AT918" s="6">
        <f>AB918-AC918</f>
        <v/>
      </c>
    </row>
    <row r="919">
      <c r="A919" s="2" t="n"/>
      <c r="B919" s="3" t="n"/>
      <c r="C919" s="4" t="n"/>
      <c r="D919" s="5" t="n"/>
      <c r="E919" s="3" t="n"/>
      <c r="F919" s="4" t="n"/>
      <c r="G919" s="5" t="n"/>
      <c r="H919" s="3" t="n"/>
      <c r="I919" s="4" t="n"/>
      <c r="J919" s="5" t="n"/>
      <c r="K919" s="3" t="n"/>
      <c r="L919" s="4" t="n"/>
      <c r="M919" s="5" t="n"/>
      <c r="N919" s="3" t="n"/>
      <c r="O919" s="4" t="n"/>
      <c r="P919" s="5" t="n"/>
      <c r="Q919" s="3" t="n"/>
      <c r="R919" s="4" t="n"/>
      <c r="S919" s="5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6">
        <f>IF(C919=0,0,IF(E919="",B919*D919/100,E919))</f>
        <v/>
      </c>
      <c r="AE919" s="6">
        <f>IF(F919=0,0,IF(H919="",B919*G919/100,H919))</f>
        <v/>
      </c>
      <c r="AF919" s="6">
        <f>IF(I919=0,0,IF(K919="",B919*J919/100,K919))</f>
        <v/>
      </c>
      <c r="AG919" s="6">
        <f>IF(L919=0,0,IF(N919="",B919*M919/100,N919))</f>
        <v/>
      </c>
      <c r="AH919" s="6">
        <f>IF(O919=0,0,IF(Q919="",B919*P919/100,Q919))</f>
        <v/>
      </c>
      <c r="AI919" s="6">
        <f>IF(R919=0,0,IF(T919="",B919*S919/100,T919))</f>
        <v/>
      </c>
      <c r="AJ919" s="6">
        <f>B919*0.035</f>
        <v/>
      </c>
      <c r="AK919" s="6">
        <f>B919*0.065</f>
        <v/>
      </c>
      <c r="AL919" s="6">
        <f>SUM(B919,AD919,AE919,AF919,AG919,AH919,AI919,U919,V919,AJ919,AK919)</f>
        <v/>
      </c>
      <c r="AM919" s="6">
        <f>B919*0.055</f>
        <v/>
      </c>
      <c r="AN919" s="6">
        <f>B919*0.035</f>
        <v/>
      </c>
      <c r="AO919" s="6">
        <f>B919*0.165</f>
        <v/>
      </c>
      <c r="AP919" s="6">
        <f>MAX(0,AL919-AM919-AO919)</f>
        <v/>
      </c>
      <c r="AQ919" s="6">
        <f>IF(AP919&lt;=490,0,IF(AP919&lt;=600,(AP919-490)*0.05,IF(AP919&lt;=730,5.5+(AP919-600)*0.10,IF(AP919&lt;=3896.67,18.5+(AP919-730)*0.175,IF(AP919&lt;=19896.67,572.67+(AP919-3896.67)*0.25,IF(AP919&lt;=50416.67,4572.67+(AP919-19896.67)*0.30,13728.67+(AP919-50416.67)*0.35))))))</f>
        <v/>
      </c>
      <c r="AR919" s="6">
        <f>SUM(AM919,AQ919,W919,X919,Y919,Z919,AA919,AN919,AO919)</f>
        <v/>
      </c>
      <c r="AS919" s="6">
        <f>AL919-AR919</f>
        <v/>
      </c>
      <c r="AT919" s="6">
        <f>AB919-AC919</f>
        <v/>
      </c>
    </row>
    <row r="920">
      <c r="A920" s="2" t="n"/>
      <c r="B920" s="3" t="n"/>
      <c r="C920" s="4" t="n"/>
      <c r="D920" s="5" t="n"/>
      <c r="E920" s="3" t="n"/>
      <c r="F920" s="4" t="n"/>
      <c r="G920" s="5" t="n"/>
      <c r="H920" s="3" t="n"/>
      <c r="I920" s="4" t="n"/>
      <c r="J920" s="5" t="n"/>
      <c r="K920" s="3" t="n"/>
      <c r="L920" s="4" t="n"/>
      <c r="M920" s="5" t="n"/>
      <c r="N920" s="3" t="n"/>
      <c r="O920" s="4" t="n"/>
      <c r="P920" s="5" t="n"/>
      <c r="Q920" s="3" t="n"/>
      <c r="R920" s="4" t="n"/>
      <c r="S920" s="5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6">
        <f>IF(C920=0,0,IF(E920="",B920*D920/100,E920))</f>
        <v/>
      </c>
      <c r="AE920" s="6">
        <f>IF(F920=0,0,IF(H920="",B920*G920/100,H920))</f>
        <v/>
      </c>
      <c r="AF920" s="6">
        <f>IF(I920=0,0,IF(K920="",B920*J920/100,K920))</f>
        <v/>
      </c>
      <c r="AG920" s="6">
        <f>IF(L920=0,0,IF(N920="",B920*M920/100,N920))</f>
        <v/>
      </c>
      <c r="AH920" s="6">
        <f>IF(O920=0,0,IF(Q920="",B920*P920/100,Q920))</f>
        <v/>
      </c>
      <c r="AI920" s="6">
        <f>IF(R920=0,0,IF(T920="",B920*S920/100,T920))</f>
        <v/>
      </c>
      <c r="AJ920" s="6">
        <f>B920*0.035</f>
        <v/>
      </c>
      <c r="AK920" s="6">
        <f>B920*0.065</f>
        <v/>
      </c>
      <c r="AL920" s="6">
        <f>SUM(B920,AD920,AE920,AF920,AG920,AH920,AI920,U920,V920,AJ920,AK920)</f>
        <v/>
      </c>
      <c r="AM920" s="6">
        <f>B920*0.055</f>
        <v/>
      </c>
      <c r="AN920" s="6">
        <f>B920*0.035</f>
        <v/>
      </c>
      <c r="AO920" s="6">
        <f>B920*0.165</f>
        <v/>
      </c>
      <c r="AP920" s="6">
        <f>MAX(0,AL920-AM920-AO920)</f>
        <v/>
      </c>
      <c r="AQ920" s="6">
        <f>IF(AP920&lt;=490,0,IF(AP920&lt;=600,(AP920-490)*0.05,IF(AP920&lt;=730,5.5+(AP920-600)*0.10,IF(AP920&lt;=3896.67,18.5+(AP920-730)*0.175,IF(AP920&lt;=19896.67,572.67+(AP920-3896.67)*0.25,IF(AP920&lt;=50416.67,4572.67+(AP920-19896.67)*0.30,13728.67+(AP920-50416.67)*0.35))))))</f>
        <v/>
      </c>
      <c r="AR920" s="6">
        <f>SUM(AM920,AQ920,W920,X920,Y920,Z920,AA920,AN920,AO920)</f>
        <v/>
      </c>
      <c r="AS920" s="6">
        <f>AL920-AR920</f>
        <v/>
      </c>
      <c r="AT920" s="6">
        <f>AB920-AC920</f>
        <v/>
      </c>
    </row>
    <row r="921">
      <c r="A921" s="2" t="n"/>
      <c r="B921" s="3" t="n"/>
      <c r="C921" s="4" t="n"/>
      <c r="D921" s="5" t="n"/>
      <c r="E921" s="3" t="n"/>
      <c r="F921" s="4" t="n"/>
      <c r="G921" s="5" t="n"/>
      <c r="H921" s="3" t="n"/>
      <c r="I921" s="4" t="n"/>
      <c r="J921" s="5" t="n"/>
      <c r="K921" s="3" t="n"/>
      <c r="L921" s="4" t="n"/>
      <c r="M921" s="5" t="n"/>
      <c r="N921" s="3" t="n"/>
      <c r="O921" s="4" t="n"/>
      <c r="P921" s="5" t="n"/>
      <c r="Q921" s="3" t="n"/>
      <c r="R921" s="4" t="n"/>
      <c r="S921" s="5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6">
        <f>IF(C921=0,0,IF(E921="",B921*D921/100,E921))</f>
        <v/>
      </c>
      <c r="AE921" s="6">
        <f>IF(F921=0,0,IF(H921="",B921*G921/100,H921))</f>
        <v/>
      </c>
      <c r="AF921" s="6">
        <f>IF(I921=0,0,IF(K921="",B921*J921/100,K921))</f>
        <v/>
      </c>
      <c r="AG921" s="6">
        <f>IF(L921=0,0,IF(N921="",B921*M921/100,N921))</f>
        <v/>
      </c>
      <c r="AH921" s="6">
        <f>IF(O921=0,0,IF(Q921="",B921*P921/100,Q921))</f>
        <v/>
      </c>
      <c r="AI921" s="6">
        <f>IF(R921=0,0,IF(T921="",B921*S921/100,T921))</f>
        <v/>
      </c>
      <c r="AJ921" s="6">
        <f>B921*0.035</f>
        <v/>
      </c>
      <c r="AK921" s="6">
        <f>B921*0.065</f>
        <v/>
      </c>
      <c r="AL921" s="6">
        <f>SUM(B921,AD921,AE921,AF921,AG921,AH921,AI921,U921,V921,AJ921,AK921)</f>
        <v/>
      </c>
      <c r="AM921" s="6">
        <f>B921*0.055</f>
        <v/>
      </c>
      <c r="AN921" s="6">
        <f>B921*0.035</f>
        <v/>
      </c>
      <c r="AO921" s="6">
        <f>B921*0.165</f>
        <v/>
      </c>
      <c r="AP921" s="6">
        <f>MAX(0,AL921-AM921-AO921)</f>
        <v/>
      </c>
      <c r="AQ921" s="6">
        <f>IF(AP921&lt;=490,0,IF(AP921&lt;=600,(AP921-490)*0.05,IF(AP921&lt;=730,5.5+(AP921-600)*0.10,IF(AP921&lt;=3896.67,18.5+(AP921-730)*0.175,IF(AP921&lt;=19896.67,572.67+(AP921-3896.67)*0.25,IF(AP921&lt;=50416.67,4572.67+(AP921-19896.67)*0.30,13728.67+(AP921-50416.67)*0.35))))))</f>
        <v/>
      </c>
      <c r="AR921" s="6">
        <f>SUM(AM921,AQ921,W921,X921,Y921,Z921,AA921,AN921,AO921)</f>
        <v/>
      </c>
      <c r="AS921" s="6">
        <f>AL921-AR921</f>
        <v/>
      </c>
      <c r="AT921" s="6">
        <f>AB921-AC921</f>
        <v/>
      </c>
    </row>
    <row r="922">
      <c r="A922" s="2" t="n"/>
      <c r="B922" s="3" t="n"/>
      <c r="C922" s="4" t="n"/>
      <c r="D922" s="5" t="n"/>
      <c r="E922" s="3" t="n"/>
      <c r="F922" s="4" t="n"/>
      <c r="G922" s="5" t="n"/>
      <c r="H922" s="3" t="n"/>
      <c r="I922" s="4" t="n"/>
      <c r="J922" s="5" t="n"/>
      <c r="K922" s="3" t="n"/>
      <c r="L922" s="4" t="n"/>
      <c r="M922" s="5" t="n"/>
      <c r="N922" s="3" t="n"/>
      <c r="O922" s="4" t="n"/>
      <c r="P922" s="5" t="n"/>
      <c r="Q922" s="3" t="n"/>
      <c r="R922" s="4" t="n"/>
      <c r="S922" s="5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6">
        <f>IF(C922=0,0,IF(E922="",B922*D922/100,E922))</f>
        <v/>
      </c>
      <c r="AE922" s="6">
        <f>IF(F922=0,0,IF(H922="",B922*G922/100,H922))</f>
        <v/>
      </c>
      <c r="AF922" s="6">
        <f>IF(I922=0,0,IF(K922="",B922*J922/100,K922))</f>
        <v/>
      </c>
      <c r="AG922" s="6">
        <f>IF(L922=0,0,IF(N922="",B922*M922/100,N922))</f>
        <v/>
      </c>
      <c r="AH922" s="6">
        <f>IF(O922=0,0,IF(Q922="",B922*P922/100,Q922))</f>
        <v/>
      </c>
      <c r="AI922" s="6">
        <f>IF(R922=0,0,IF(T922="",B922*S922/100,T922))</f>
        <v/>
      </c>
      <c r="AJ922" s="6">
        <f>B922*0.035</f>
        <v/>
      </c>
      <c r="AK922" s="6">
        <f>B922*0.065</f>
        <v/>
      </c>
      <c r="AL922" s="6">
        <f>SUM(B922,AD922,AE922,AF922,AG922,AH922,AI922,U922,V922,AJ922,AK922)</f>
        <v/>
      </c>
      <c r="AM922" s="6">
        <f>B922*0.055</f>
        <v/>
      </c>
      <c r="AN922" s="6">
        <f>B922*0.035</f>
        <v/>
      </c>
      <c r="AO922" s="6">
        <f>B922*0.165</f>
        <v/>
      </c>
      <c r="AP922" s="6">
        <f>MAX(0,AL922-AM922-AO922)</f>
        <v/>
      </c>
      <c r="AQ922" s="6">
        <f>IF(AP922&lt;=490,0,IF(AP922&lt;=600,(AP922-490)*0.05,IF(AP922&lt;=730,5.5+(AP922-600)*0.10,IF(AP922&lt;=3896.67,18.5+(AP922-730)*0.175,IF(AP922&lt;=19896.67,572.67+(AP922-3896.67)*0.25,IF(AP922&lt;=50416.67,4572.67+(AP922-19896.67)*0.30,13728.67+(AP922-50416.67)*0.35))))))</f>
        <v/>
      </c>
      <c r="AR922" s="6">
        <f>SUM(AM922,AQ922,W922,X922,Y922,Z922,AA922,AN922,AO922)</f>
        <v/>
      </c>
      <c r="AS922" s="6">
        <f>AL922-AR922</f>
        <v/>
      </c>
      <c r="AT922" s="6">
        <f>AB922-AC922</f>
        <v/>
      </c>
    </row>
    <row r="923">
      <c r="A923" s="2" t="n"/>
      <c r="B923" s="3" t="n"/>
      <c r="C923" s="4" t="n"/>
      <c r="D923" s="5" t="n"/>
      <c r="E923" s="3" t="n"/>
      <c r="F923" s="4" t="n"/>
      <c r="G923" s="5" t="n"/>
      <c r="H923" s="3" t="n"/>
      <c r="I923" s="4" t="n"/>
      <c r="J923" s="5" t="n"/>
      <c r="K923" s="3" t="n"/>
      <c r="L923" s="4" t="n"/>
      <c r="M923" s="5" t="n"/>
      <c r="N923" s="3" t="n"/>
      <c r="O923" s="4" t="n"/>
      <c r="P923" s="5" t="n"/>
      <c r="Q923" s="3" t="n"/>
      <c r="R923" s="4" t="n"/>
      <c r="S923" s="5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6">
        <f>IF(C923=0,0,IF(E923="",B923*D923/100,E923))</f>
        <v/>
      </c>
      <c r="AE923" s="6">
        <f>IF(F923=0,0,IF(H923="",B923*G923/100,H923))</f>
        <v/>
      </c>
      <c r="AF923" s="6">
        <f>IF(I923=0,0,IF(K923="",B923*J923/100,K923))</f>
        <v/>
      </c>
      <c r="AG923" s="6">
        <f>IF(L923=0,0,IF(N923="",B923*M923/100,N923))</f>
        <v/>
      </c>
      <c r="AH923" s="6">
        <f>IF(O923=0,0,IF(Q923="",B923*P923/100,Q923))</f>
        <v/>
      </c>
      <c r="AI923" s="6">
        <f>IF(R923=0,0,IF(T923="",B923*S923/100,T923))</f>
        <v/>
      </c>
      <c r="AJ923" s="6">
        <f>B923*0.035</f>
        <v/>
      </c>
      <c r="AK923" s="6">
        <f>B923*0.065</f>
        <v/>
      </c>
      <c r="AL923" s="6">
        <f>SUM(B923,AD923,AE923,AF923,AG923,AH923,AI923,U923,V923,AJ923,AK923)</f>
        <v/>
      </c>
      <c r="AM923" s="6">
        <f>B923*0.055</f>
        <v/>
      </c>
      <c r="AN923" s="6">
        <f>B923*0.035</f>
        <v/>
      </c>
      <c r="AO923" s="6">
        <f>B923*0.165</f>
        <v/>
      </c>
      <c r="AP923" s="6">
        <f>MAX(0,AL923-AM923-AO923)</f>
        <v/>
      </c>
      <c r="AQ923" s="6">
        <f>IF(AP923&lt;=490,0,IF(AP923&lt;=600,(AP923-490)*0.05,IF(AP923&lt;=730,5.5+(AP923-600)*0.10,IF(AP923&lt;=3896.67,18.5+(AP923-730)*0.175,IF(AP923&lt;=19896.67,572.67+(AP923-3896.67)*0.25,IF(AP923&lt;=50416.67,4572.67+(AP923-19896.67)*0.30,13728.67+(AP923-50416.67)*0.35))))))</f>
        <v/>
      </c>
      <c r="AR923" s="6">
        <f>SUM(AM923,AQ923,W923,X923,Y923,Z923,AA923,AN923,AO923)</f>
        <v/>
      </c>
      <c r="AS923" s="6">
        <f>AL923-AR923</f>
        <v/>
      </c>
      <c r="AT923" s="6">
        <f>AB923-AC923</f>
        <v/>
      </c>
    </row>
    <row r="924">
      <c r="A924" s="2" t="n"/>
      <c r="B924" s="3" t="n"/>
      <c r="C924" s="4" t="n"/>
      <c r="D924" s="5" t="n"/>
      <c r="E924" s="3" t="n"/>
      <c r="F924" s="4" t="n"/>
      <c r="G924" s="5" t="n"/>
      <c r="H924" s="3" t="n"/>
      <c r="I924" s="4" t="n"/>
      <c r="J924" s="5" t="n"/>
      <c r="K924" s="3" t="n"/>
      <c r="L924" s="4" t="n"/>
      <c r="M924" s="5" t="n"/>
      <c r="N924" s="3" t="n"/>
      <c r="O924" s="4" t="n"/>
      <c r="P924" s="5" t="n"/>
      <c r="Q924" s="3" t="n"/>
      <c r="R924" s="4" t="n"/>
      <c r="S924" s="5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6">
        <f>IF(C924=0,0,IF(E924="",B924*D924/100,E924))</f>
        <v/>
      </c>
      <c r="AE924" s="6">
        <f>IF(F924=0,0,IF(H924="",B924*G924/100,H924))</f>
        <v/>
      </c>
      <c r="AF924" s="6">
        <f>IF(I924=0,0,IF(K924="",B924*J924/100,K924))</f>
        <v/>
      </c>
      <c r="AG924" s="6">
        <f>IF(L924=0,0,IF(N924="",B924*M924/100,N924))</f>
        <v/>
      </c>
      <c r="AH924" s="6">
        <f>IF(O924=0,0,IF(Q924="",B924*P924/100,Q924))</f>
        <v/>
      </c>
      <c r="AI924" s="6">
        <f>IF(R924=0,0,IF(T924="",B924*S924/100,T924))</f>
        <v/>
      </c>
      <c r="AJ924" s="6">
        <f>B924*0.035</f>
        <v/>
      </c>
      <c r="AK924" s="6">
        <f>B924*0.065</f>
        <v/>
      </c>
      <c r="AL924" s="6">
        <f>SUM(B924,AD924,AE924,AF924,AG924,AH924,AI924,U924,V924,AJ924,AK924)</f>
        <v/>
      </c>
      <c r="AM924" s="6">
        <f>B924*0.055</f>
        <v/>
      </c>
      <c r="AN924" s="6">
        <f>B924*0.035</f>
        <v/>
      </c>
      <c r="AO924" s="6">
        <f>B924*0.165</f>
        <v/>
      </c>
      <c r="AP924" s="6">
        <f>MAX(0,AL924-AM924-AO924)</f>
        <v/>
      </c>
      <c r="AQ924" s="6">
        <f>IF(AP924&lt;=490,0,IF(AP924&lt;=600,(AP924-490)*0.05,IF(AP924&lt;=730,5.5+(AP924-600)*0.10,IF(AP924&lt;=3896.67,18.5+(AP924-730)*0.175,IF(AP924&lt;=19896.67,572.67+(AP924-3896.67)*0.25,IF(AP924&lt;=50416.67,4572.67+(AP924-19896.67)*0.30,13728.67+(AP924-50416.67)*0.35))))))</f>
        <v/>
      </c>
      <c r="AR924" s="6">
        <f>SUM(AM924,AQ924,W924,X924,Y924,Z924,AA924,AN924,AO924)</f>
        <v/>
      </c>
      <c r="AS924" s="6">
        <f>AL924-AR924</f>
        <v/>
      </c>
      <c r="AT924" s="6">
        <f>AB924-AC924</f>
        <v/>
      </c>
    </row>
    <row r="925">
      <c r="A925" s="2" t="n"/>
      <c r="B925" s="3" t="n"/>
      <c r="C925" s="4" t="n"/>
      <c r="D925" s="5" t="n"/>
      <c r="E925" s="3" t="n"/>
      <c r="F925" s="4" t="n"/>
      <c r="G925" s="5" t="n"/>
      <c r="H925" s="3" t="n"/>
      <c r="I925" s="4" t="n"/>
      <c r="J925" s="5" t="n"/>
      <c r="K925" s="3" t="n"/>
      <c r="L925" s="4" t="n"/>
      <c r="M925" s="5" t="n"/>
      <c r="N925" s="3" t="n"/>
      <c r="O925" s="4" t="n"/>
      <c r="P925" s="5" t="n"/>
      <c r="Q925" s="3" t="n"/>
      <c r="R925" s="4" t="n"/>
      <c r="S925" s="5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6">
        <f>IF(C925=0,0,IF(E925="",B925*D925/100,E925))</f>
        <v/>
      </c>
      <c r="AE925" s="6">
        <f>IF(F925=0,0,IF(H925="",B925*G925/100,H925))</f>
        <v/>
      </c>
      <c r="AF925" s="6">
        <f>IF(I925=0,0,IF(K925="",B925*J925/100,K925))</f>
        <v/>
      </c>
      <c r="AG925" s="6">
        <f>IF(L925=0,0,IF(N925="",B925*M925/100,N925))</f>
        <v/>
      </c>
      <c r="AH925" s="6">
        <f>IF(O925=0,0,IF(Q925="",B925*P925/100,Q925))</f>
        <v/>
      </c>
      <c r="AI925" s="6">
        <f>IF(R925=0,0,IF(T925="",B925*S925/100,T925))</f>
        <v/>
      </c>
      <c r="AJ925" s="6">
        <f>B925*0.035</f>
        <v/>
      </c>
      <c r="AK925" s="6">
        <f>B925*0.065</f>
        <v/>
      </c>
      <c r="AL925" s="6">
        <f>SUM(B925,AD925,AE925,AF925,AG925,AH925,AI925,U925,V925,AJ925,AK925)</f>
        <v/>
      </c>
      <c r="AM925" s="6">
        <f>B925*0.055</f>
        <v/>
      </c>
      <c r="AN925" s="6">
        <f>B925*0.035</f>
        <v/>
      </c>
      <c r="AO925" s="6">
        <f>B925*0.165</f>
        <v/>
      </c>
      <c r="AP925" s="6">
        <f>MAX(0,AL925-AM925-AO925)</f>
        <v/>
      </c>
      <c r="AQ925" s="6">
        <f>IF(AP925&lt;=490,0,IF(AP925&lt;=600,(AP925-490)*0.05,IF(AP925&lt;=730,5.5+(AP925-600)*0.10,IF(AP925&lt;=3896.67,18.5+(AP925-730)*0.175,IF(AP925&lt;=19896.67,572.67+(AP925-3896.67)*0.25,IF(AP925&lt;=50416.67,4572.67+(AP925-19896.67)*0.30,13728.67+(AP925-50416.67)*0.35))))))</f>
        <v/>
      </c>
      <c r="AR925" s="6">
        <f>SUM(AM925,AQ925,W925,X925,Y925,Z925,AA925,AN925,AO925)</f>
        <v/>
      </c>
      <c r="AS925" s="6">
        <f>AL925-AR925</f>
        <v/>
      </c>
      <c r="AT925" s="6">
        <f>AB925-AC925</f>
        <v/>
      </c>
    </row>
    <row r="926">
      <c r="A926" s="2" t="n"/>
      <c r="B926" s="3" t="n"/>
      <c r="C926" s="4" t="n"/>
      <c r="D926" s="5" t="n"/>
      <c r="E926" s="3" t="n"/>
      <c r="F926" s="4" t="n"/>
      <c r="G926" s="5" t="n"/>
      <c r="H926" s="3" t="n"/>
      <c r="I926" s="4" t="n"/>
      <c r="J926" s="5" t="n"/>
      <c r="K926" s="3" t="n"/>
      <c r="L926" s="4" t="n"/>
      <c r="M926" s="5" t="n"/>
      <c r="N926" s="3" t="n"/>
      <c r="O926" s="4" t="n"/>
      <c r="P926" s="5" t="n"/>
      <c r="Q926" s="3" t="n"/>
      <c r="R926" s="4" t="n"/>
      <c r="S926" s="5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6">
        <f>IF(C926=0,0,IF(E926="",B926*D926/100,E926))</f>
        <v/>
      </c>
      <c r="AE926" s="6">
        <f>IF(F926=0,0,IF(H926="",B926*G926/100,H926))</f>
        <v/>
      </c>
      <c r="AF926" s="6">
        <f>IF(I926=0,0,IF(K926="",B926*J926/100,K926))</f>
        <v/>
      </c>
      <c r="AG926" s="6">
        <f>IF(L926=0,0,IF(N926="",B926*M926/100,N926))</f>
        <v/>
      </c>
      <c r="AH926" s="6">
        <f>IF(O926=0,0,IF(Q926="",B926*P926/100,Q926))</f>
        <v/>
      </c>
      <c r="AI926" s="6">
        <f>IF(R926=0,0,IF(T926="",B926*S926/100,T926))</f>
        <v/>
      </c>
      <c r="AJ926" s="6">
        <f>B926*0.035</f>
        <v/>
      </c>
      <c r="AK926" s="6">
        <f>B926*0.065</f>
        <v/>
      </c>
      <c r="AL926" s="6">
        <f>SUM(B926,AD926,AE926,AF926,AG926,AH926,AI926,U926,V926,AJ926,AK926)</f>
        <v/>
      </c>
      <c r="AM926" s="6">
        <f>B926*0.055</f>
        <v/>
      </c>
      <c r="AN926" s="6">
        <f>B926*0.035</f>
        <v/>
      </c>
      <c r="AO926" s="6">
        <f>B926*0.165</f>
        <v/>
      </c>
      <c r="AP926" s="6">
        <f>MAX(0,AL926-AM926-AO926)</f>
        <v/>
      </c>
      <c r="AQ926" s="6">
        <f>IF(AP926&lt;=490,0,IF(AP926&lt;=600,(AP926-490)*0.05,IF(AP926&lt;=730,5.5+(AP926-600)*0.10,IF(AP926&lt;=3896.67,18.5+(AP926-730)*0.175,IF(AP926&lt;=19896.67,572.67+(AP926-3896.67)*0.25,IF(AP926&lt;=50416.67,4572.67+(AP926-19896.67)*0.30,13728.67+(AP926-50416.67)*0.35))))))</f>
        <v/>
      </c>
      <c r="AR926" s="6">
        <f>SUM(AM926,AQ926,W926,X926,Y926,Z926,AA926,AN926,AO926)</f>
        <v/>
      </c>
      <c r="AS926" s="6">
        <f>AL926-AR926</f>
        <v/>
      </c>
      <c r="AT926" s="6">
        <f>AB926-AC926</f>
        <v/>
      </c>
    </row>
    <row r="927">
      <c r="A927" s="2" t="n"/>
      <c r="B927" s="3" t="n"/>
      <c r="C927" s="4" t="n"/>
      <c r="D927" s="5" t="n"/>
      <c r="E927" s="3" t="n"/>
      <c r="F927" s="4" t="n"/>
      <c r="G927" s="5" t="n"/>
      <c r="H927" s="3" t="n"/>
      <c r="I927" s="4" t="n"/>
      <c r="J927" s="5" t="n"/>
      <c r="K927" s="3" t="n"/>
      <c r="L927" s="4" t="n"/>
      <c r="M927" s="5" t="n"/>
      <c r="N927" s="3" t="n"/>
      <c r="O927" s="4" t="n"/>
      <c r="P927" s="5" t="n"/>
      <c r="Q927" s="3" t="n"/>
      <c r="R927" s="4" t="n"/>
      <c r="S927" s="5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6">
        <f>IF(C927=0,0,IF(E927="",B927*D927/100,E927))</f>
        <v/>
      </c>
      <c r="AE927" s="6">
        <f>IF(F927=0,0,IF(H927="",B927*G927/100,H927))</f>
        <v/>
      </c>
      <c r="AF927" s="6">
        <f>IF(I927=0,0,IF(K927="",B927*J927/100,K927))</f>
        <v/>
      </c>
      <c r="AG927" s="6">
        <f>IF(L927=0,0,IF(N927="",B927*M927/100,N927))</f>
        <v/>
      </c>
      <c r="AH927" s="6">
        <f>IF(O927=0,0,IF(Q927="",B927*P927/100,Q927))</f>
        <v/>
      </c>
      <c r="AI927" s="6">
        <f>IF(R927=0,0,IF(T927="",B927*S927/100,T927))</f>
        <v/>
      </c>
      <c r="AJ927" s="6">
        <f>B927*0.035</f>
        <v/>
      </c>
      <c r="AK927" s="6">
        <f>B927*0.065</f>
        <v/>
      </c>
      <c r="AL927" s="6">
        <f>SUM(B927,AD927,AE927,AF927,AG927,AH927,AI927,U927,V927,AJ927,AK927)</f>
        <v/>
      </c>
      <c r="AM927" s="6">
        <f>B927*0.055</f>
        <v/>
      </c>
      <c r="AN927" s="6">
        <f>B927*0.035</f>
        <v/>
      </c>
      <c r="AO927" s="6">
        <f>B927*0.165</f>
        <v/>
      </c>
      <c r="AP927" s="6">
        <f>MAX(0,AL927-AM927-AO927)</f>
        <v/>
      </c>
      <c r="AQ927" s="6">
        <f>IF(AP927&lt;=490,0,IF(AP927&lt;=600,(AP927-490)*0.05,IF(AP927&lt;=730,5.5+(AP927-600)*0.10,IF(AP927&lt;=3896.67,18.5+(AP927-730)*0.175,IF(AP927&lt;=19896.67,572.67+(AP927-3896.67)*0.25,IF(AP927&lt;=50416.67,4572.67+(AP927-19896.67)*0.30,13728.67+(AP927-50416.67)*0.35))))))</f>
        <v/>
      </c>
      <c r="AR927" s="6">
        <f>SUM(AM927,AQ927,W927,X927,Y927,Z927,AA927,AN927,AO927)</f>
        <v/>
      </c>
      <c r="AS927" s="6">
        <f>AL927-AR927</f>
        <v/>
      </c>
      <c r="AT927" s="6">
        <f>AB927-AC927</f>
        <v/>
      </c>
    </row>
    <row r="928">
      <c r="A928" s="2" t="n"/>
      <c r="B928" s="3" t="n"/>
      <c r="C928" s="4" t="n"/>
      <c r="D928" s="5" t="n"/>
      <c r="E928" s="3" t="n"/>
      <c r="F928" s="4" t="n"/>
      <c r="G928" s="5" t="n"/>
      <c r="H928" s="3" t="n"/>
      <c r="I928" s="4" t="n"/>
      <c r="J928" s="5" t="n"/>
      <c r="K928" s="3" t="n"/>
      <c r="L928" s="4" t="n"/>
      <c r="M928" s="5" t="n"/>
      <c r="N928" s="3" t="n"/>
      <c r="O928" s="4" t="n"/>
      <c r="P928" s="5" t="n"/>
      <c r="Q928" s="3" t="n"/>
      <c r="R928" s="4" t="n"/>
      <c r="S928" s="5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6">
        <f>IF(C928=0,0,IF(E928="",B928*D928/100,E928))</f>
        <v/>
      </c>
      <c r="AE928" s="6">
        <f>IF(F928=0,0,IF(H928="",B928*G928/100,H928))</f>
        <v/>
      </c>
      <c r="AF928" s="6">
        <f>IF(I928=0,0,IF(K928="",B928*J928/100,K928))</f>
        <v/>
      </c>
      <c r="AG928" s="6">
        <f>IF(L928=0,0,IF(N928="",B928*M928/100,N928))</f>
        <v/>
      </c>
      <c r="AH928" s="6">
        <f>IF(O928=0,0,IF(Q928="",B928*P928/100,Q928))</f>
        <v/>
      </c>
      <c r="AI928" s="6">
        <f>IF(R928=0,0,IF(T928="",B928*S928/100,T928))</f>
        <v/>
      </c>
      <c r="AJ928" s="6">
        <f>B928*0.035</f>
        <v/>
      </c>
      <c r="AK928" s="6">
        <f>B928*0.065</f>
        <v/>
      </c>
      <c r="AL928" s="6">
        <f>SUM(B928,AD928,AE928,AF928,AG928,AH928,AI928,U928,V928,AJ928,AK928)</f>
        <v/>
      </c>
      <c r="AM928" s="6">
        <f>B928*0.055</f>
        <v/>
      </c>
      <c r="AN928" s="6">
        <f>B928*0.035</f>
        <v/>
      </c>
      <c r="AO928" s="6">
        <f>B928*0.165</f>
        <v/>
      </c>
      <c r="AP928" s="6">
        <f>MAX(0,AL928-AM928-AO928)</f>
        <v/>
      </c>
      <c r="AQ928" s="6">
        <f>IF(AP928&lt;=490,0,IF(AP928&lt;=600,(AP928-490)*0.05,IF(AP928&lt;=730,5.5+(AP928-600)*0.10,IF(AP928&lt;=3896.67,18.5+(AP928-730)*0.175,IF(AP928&lt;=19896.67,572.67+(AP928-3896.67)*0.25,IF(AP928&lt;=50416.67,4572.67+(AP928-19896.67)*0.30,13728.67+(AP928-50416.67)*0.35))))))</f>
        <v/>
      </c>
      <c r="AR928" s="6">
        <f>SUM(AM928,AQ928,W928,X928,Y928,Z928,AA928,AN928,AO928)</f>
        <v/>
      </c>
      <c r="AS928" s="6">
        <f>AL928-AR928</f>
        <v/>
      </c>
      <c r="AT928" s="6">
        <f>AB928-AC928</f>
        <v/>
      </c>
    </row>
    <row r="929">
      <c r="A929" s="2" t="n"/>
      <c r="B929" s="3" t="n"/>
      <c r="C929" s="4" t="n"/>
      <c r="D929" s="5" t="n"/>
      <c r="E929" s="3" t="n"/>
      <c r="F929" s="4" t="n"/>
      <c r="G929" s="5" t="n"/>
      <c r="H929" s="3" t="n"/>
      <c r="I929" s="4" t="n"/>
      <c r="J929" s="5" t="n"/>
      <c r="K929" s="3" t="n"/>
      <c r="L929" s="4" t="n"/>
      <c r="M929" s="5" t="n"/>
      <c r="N929" s="3" t="n"/>
      <c r="O929" s="4" t="n"/>
      <c r="P929" s="5" t="n"/>
      <c r="Q929" s="3" t="n"/>
      <c r="R929" s="4" t="n"/>
      <c r="S929" s="5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6">
        <f>IF(C929=0,0,IF(E929="",B929*D929/100,E929))</f>
        <v/>
      </c>
      <c r="AE929" s="6">
        <f>IF(F929=0,0,IF(H929="",B929*G929/100,H929))</f>
        <v/>
      </c>
      <c r="AF929" s="6">
        <f>IF(I929=0,0,IF(K929="",B929*J929/100,K929))</f>
        <v/>
      </c>
      <c r="AG929" s="6">
        <f>IF(L929=0,0,IF(N929="",B929*M929/100,N929))</f>
        <v/>
      </c>
      <c r="AH929" s="6">
        <f>IF(O929=0,0,IF(Q929="",B929*P929/100,Q929))</f>
        <v/>
      </c>
      <c r="AI929" s="6">
        <f>IF(R929=0,0,IF(T929="",B929*S929/100,T929))</f>
        <v/>
      </c>
      <c r="AJ929" s="6">
        <f>B929*0.035</f>
        <v/>
      </c>
      <c r="AK929" s="6">
        <f>B929*0.065</f>
        <v/>
      </c>
      <c r="AL929" s="6">
        <f>SUM(B929,AD929,AE929,AF929,AG929,AH929,AI929,U929,V929,AJ929,AK929)</f>
        <v/>
      </c>
      <c r="AM929" s="6">
        <f>B929*0.055</f>
        <v/>
      </c>
      <c r="AN929" s="6">
        <f>B929*0.035</f>
        <v/>
      </c>
      <c r="AO929" s="6">
        <f>B929*0.165</f>
        <v/>
      </c>
      <c r="AP929" s="6">
        <f>MAX(0,AL929-AM929-AO929)</f>
        <v/>
      </c>
      <c r="AQ929" s="6">
        <f>IF(AP929&lt;=490,0,IF(AP929&lt;=600,(AP929-490)*0.05,IF(AP929&lt;=730,5.5+(AP929-600)*0.10,IF(AP929&lt;=3896.67,18.5+(AP929-730)*0.175,IF(AP929&lt;=19896.67,572.67+(AP929-3896.67)*0.25,IF(AP929&lt;=50416.67,4572.67+(AP929-19896.67)*0.30,13728.67+(AP929-50416.67)*0.35))))))</f>
        <v/>
      </c>
      <c r="AR929" s="6">
        <f>SUM(AM929,AQ929,W929,X929,Y929,Z929,AA929,AN929,AO929)</f>
        <v/>
      </c>
      <c r="AS929" s="6">
        <f>AL929-AR929</f>
        <v/>
      </c>
      <c r="AT929" s="6">
        <f>AB929-AC929</f>
        <v/>
      </c>
    </row>
    <row r="930">
      <c r="A930" s="2" t="n"/>
      <c r="B930" s="3" t="n"/>
      <c r="C930" s="4" t="n"/>
      <c r="D930" s="5" t="n"/>
      <c r="E930" s="3" t="n"/>
      <c r="F930" s="4" t="n"/>
      <c r="G930" s="5" t="n"/>
      <c r="H930" s="3" t="n"/>
      <c r="I930" s="4" t="n"/>
      <c r="J930" s="5" t="n"/>
      <c r="K930" s="3" t="n"/>
      <c r="L930" s="4" t="n"/>
      <c r="M930" s="5" t="n"/>
      <c r="N930" s="3" t="n"/>
      <c r="O930" s="4" t="n"/>
      <c r="P930" s="5" t="n"/>
      <c r="Q930" s="3" t="n"/>
      <c r="R930" s="4" t="n"/>
      <c r="S930" s="5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6">
        <f>IF(C930=0,0,IF(E930="",B930*D930/100,E930))</f>
        <v/>
      </c>
      <c r="AE930" s="6">
        <f>IF(F930=0,0,IF(H930="",B930*G930/100,H930))</f>
        <v/>
      </c>
      <c r="AF930" s="6">
        <f>IF(I930=0,0,IF(K930="",B930*J930/100,K930))</f>
        <v/>
      </c>
      <c r="AG930" s="6">
        <f>IF(L930=0,0,IF(N930="",B930*M930/100,N930))</f>
        <v/>
      </c>
      <c r="AH930" s="6">
        <f>IF(O930=0,0,IF(Q930="",B930*P930/100,Q930))</f>
        <v/>
      </c>
      <c r="AI930" s="6">
        <f>IF(R930=0,0,IF(T930="",B930*S930/100,T930))</f>
        <v/>
      </c>
      <c r="AJ930" s="6">
        <f>B930*0.035</f>
        <v/>
      </c>
      <c r="AK930" s="6">
        <f>B930*0.065</f>
        <v/>
      </c>
      <c r="AL930" s="6">
        <f>SUM(B930,AD930,AE930,AF930,AG930,AH930,AI930,U930,V930,AJ930,AK930)</f>
        <v/>
      </c>
      <c r="AM930" s="6">
        <f>B930*0.055</f>
        <v/>
      </c>
      <c r="AN930" s="6">
        <f>B930*0.035</f>
        <v/>
      </c>
      <c r="AO930" s="6">
        <f>B930*0.165</f>
        <v/>
      </c>
      <c r="AP930" s="6">
        <f>MAX(0,AL930-AM930-AO930)</f>
        <v/>
      </c>
      <c r="AQ930" s="6">
        <f>IF(AP930&lt;=490,0,IF(AP930&lt;=600,(AP930-490)*0.05,IF(AP930&lt;=730,5.5+(AP930-600)*0.10,IF(AP930&lt;=3896.67,18.5+(AP930-730)*0.175,IF(AP930&lt;=19896.67,572.67+(AP930-3896.67)*0.25,IF(AP930&lt;=50416.67,4572.67+(AP930-19896.67)*0.30,13728.67+(AP930-50416.67)*0.35))))))</f>
        <v/>
      </c>
      <c r="AR930" s="6">
        <f>SUM(AM930,AQ930,W930,X930,Y930,Z930,AA930,AN930,AO930)</f>
        <v/>
      </c>
      <c r="AS930" s="6">
        <f>AL930-AR930</f>
        <v/>
      </c>
      <c r="AT930" s="6">
        <f>AB930-AC930</f>
        <v/>
      </c>
    </row>
    <row r="931">
      <c r="A931" s="2" t="n"/>
      <c r="B931" s="3" t="n"/>
      <c r="C931" s="4" t="n"/>
      <c r="D931" s="5" t="n"/>
      <c r="E931" s="3" t="n"/>
      <c r="F931" s="4" t="n"/>
      <c r="G931" s="5" t="n"/>
      <c r="H931" s="3" t="n"/>
      <c r="I931" s="4" t="n"/>
      <c r="J931" s="5" t="n"/>
      <c r="K931" s="3" t="n"/>
      <c r="L931" s="4" t="n"/>
      <c r="M931" s="5" t="n"/>
      <c r="N931" s="3" t="n"/>
      <c r="O931" s="4" t="n"/>
      <c r="P931" s="5" t="n"/>
      <c r="Q931" s="3" t="n"/>
      <c r="R931" s="4" t="n"/>
      <c r="S931" s="5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6">
        <f>IF(C931=0,0,IF(E931="",B931*D931/100,E931))</f>
        <v/>
      </c>
      <c r="AE931" s="6">
        <f>IF(F931=0,0,IF(H931="",B931*G931/100,H931))</f>
        <v/>
      </c>
      <c r="AF931" s="6">
        <f>IF(I931=0,0,IF(K931="",B931*J931/100,K931))</f>
        <v/>
      </c>
      <c r="AG931" s="6">
        <f>IF(L931=0,0,IF(N931="",B931*M931/100,N931))</f>
        <v/>
      </c>
      <c r="AH931" s="6">
        <f>IF(O931=0,0,IF(Q931="",B931*P931/100,Q931))</f>
        <v/>
      </c>
      <c r="AI931" s="6">
        <f>IF(R931=0,0,IF(T931="",B931*S931/100,T931))</f>
        <v/>
      </c>
      <c r="AJ931" s="6">
        <f>B931*0.035</f>
        <v/>
      </c>
      <c r="AK931" s="6">
        <f>B931*0.065</f>
        <v/>
      </c>
      <c r="AL931" s="6">
        <f>SUM(B931,AD931,AE931,AF931,AG931,AH931,AI931,U931,V931,AJ931,AK931)</f>
        <v/>
      </c>
      <c r="AM931" s="6">
        <f>B931*0.055</f>
        <v/>
      </c>
      <c r="AN931" s="6">
        <f>B931*0.035</f>
        <v/>
      </c>
      <c r="AO931" s="6">
        <f>B931*0.165</f>
        <v/>
      </c>
      <c r="AP931" s="6">
        <f>MAX(0,AL931-AM931-AO931)</f>
        <v/>
      </c>
      <c r="AQ931" s="6">
        <f>IF(AP931&lt;=490,0,IF(AP931&lt;=600,(AP931-490)*0.05,IF(AP931&lt;=730,5.5+(AP931-600)*0.10,IF(AP931&lt;=3896.67,18.5+(AP931-730)*0.175,IF(AP931&lt;=19896.67,572.67+(AP931-3896.67)*0.25,IF(AP931&lt;=50416.67,4572.67+(AP931-19896.67)*0.30,13728.67+(AP931-50416.67)*0.35))))))</f>
        <v/>
      </c>
      <c r="AR931" s="6">
        <f>SUM(AM931,AQ931,W931,X931,Y931,Z931,AA931,AN931,AO931)</f>
        <v/>
      </c>
      <c r="AS931" s="6">
        <f>AL931-AR931</f>
        <v/>
      </c>
      <c r="AT931" s="6">
        <f>AB931-AC931</f>
        <v/>
      </c>
    </row>
    <row r="932">
      <c r="A932" s="2" t="n"/>
      <c r="B932" s="3" t="n"/>
      <c r="C932" s="4" t="n"/>
      <c r="D932" s="5" t="n"/>
      <c r="E932" s="3" t="n"/>
      <c r="F932" s="4" t="n"/>
      <c r="G932" s="5" t="n"/>
      <c r="H932" s="3" t="n"/>
      <c r="I932" s="4" t="n"/>
      <c r="J932" s="5" t="n"/>
      <c r="K932" s="3" t="n"/>
      <c r="L932" s="4" t="n"/>
      <c r="M932" s="5" t="n"/>
      <c r="N932" s="3" t="n"/>
      <c r="O932" s="4" t="n"/>
      <c r="P932" s="5" t="n"/>
      <c r="Q932" s="3" t="n"/>
      <c r="R932" s="4" t="n"/>
      <c r="S932" s="5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6">
        <f>IF(C932=0,0,IF(E932="",B932*D932/100,E932))</f>
        <v/>
      </c>
      <c r="AE932" s="6">
        <f>IF(F932=0,0,IF(H932="",B932*G932/100,H932))</f>
        <v/>
      </c>
      <c r="AF932" s="6">
        <f>IF(I932=0,0,IF(K932="",B932*J932/100,K932))</f>
        <v/>
      </c>
      <c r="AG932" s="6">
        <f>IF(L932=0,0,IF(N932="",B932*M932/100,N932))</f>
        <v/>
      </c>
      <c r="AH932" s="6">
        <f>IF(O932=0,0,IF(Q932="",B932*P932/100,Q932))</f>
        <v/>
      </c>
      <c r="AI932" s="6">
        <f>IF(R932=0,0,IF(T932="",B932*S932/100,T932))</f>
        <v/>
      </c>
      <c r="AJ932" s="6">
        <f>B932*0.035</f>
        <v/>
      </c>
      <c r="AK932" s="6">
        <f>B932*0.065</f>
        <v/>
      </c>
      <c r="AL932" s="6">
        <f>SUM(B932,AD932,AE932,AF932,AG932,AH932,AI932,U932,V932,AJ932,AK932)</f>
        <v/>
      </c>
      <c r="AM932" s="6">
        <f>B932*0.055</f>
        <v/>
      </c>
      <c r="AN932" s="6">
        <f>B932*0.035</f>
        <v/>
      </c>
      <c r="AO932" s="6">
        <f>B932*0.165</f>
        <v/>
      </c>
      <c r="AP932" s="6">
        <f>MAX(0,AL932-AM932-AO932)</f>
        <v/>
      </c>
      <c r="AQ932" s="6">
        <f>IF(AP932&lt;=490,0,IF(AP932&lt;=600,(AP932-490)*0.05,IF(AP932&lt;=730,5.5+(AP932-600)*0.10,IF(AP932&lt;=3896.67,18.5+(AP932-730)*0.175,IF(AP932&lt;=19896.67,572.67+(AP932-3896.67)*0.25,IF(AP932&lt;=50416.67,4572.67+(AP932-19896.67)*0.30,13728.67+(AP932-50416.67)*0.35))))))</f>
        <v/>
      </c>
      <c r="AR932" s="6">
        <f>SUM(AM932,AQ932,W932,X932,Y932,Z932,AA932,AN932,AO932)</f>
        <v/>
      </c>
      <c r="AS932" s="6">
        <f>AL932-AR932</f>
        <v/>
      </c>
      <c r="AT932" s="6">
        <f>AB932-AC932</f>
        <v/>
      </c>
    </row>
    <row r="933">
      <c r="A933" s="2" t="n"/>
      <c r="B933" s="3" t="n"/>
      <c r="C933" s="4" t="n"/>
      <c r="D933" s="5" t="n"/>
      <c r="E933" s="3" t="n"/>
      <c r="F933" s="4" t="n"/>
      <c r="G933" s="5" t="n"/>
      <c r="H933" s="3" t="n"/>
      <c r="I933" s="4" t="n"/>
      <c r="J933" s="5" t="n"/>
      <c r="K933" s="3" t="n"/>
      <c r="L933" s="4" t="n"/>
      <c r="M933" s="5" t="n"/>
      <c r="N933" s="3" t="n"/>
      <c r="O933" s="4" t="n"/>
      <c r="P933" s="5" t="n"/>
      <c r="Q933" s="3" t="n"/>
      <c r="R933" s="4" t="n"/>
      <c r="S933" s="5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6">
        <f>IF(C933=0,0,IF(E933="",B933*D933/100,E933))</f>
        <v/>
      </c>
      <c r="AE933" s="6">
        <f>IF(F933=0,0,IF(H933="",B933*G933/100,H933))</f>
        <v/>
      </c>
      <c r="AF933" s="6">
        <f>IF(I933=0,0,IF(K933="",B933*J933/100,K933))</f>
        <v/>
      </c>
      <c r="AG933" s="6">
        <f>IF(L933=0,0,IF(N933="",B933*M933/100,N933))</f>
        <v/>
      </c>
      <c r="AH933" s="6">
        <f>IF(O933=0,0,IF(Q933="",B933*P933/100,Q933))</f>
        <v/>
      </c>
      <c r="AI933" s="6">
        <f>IF(R933=0,0,IF(T933="",B933*S933/100,T933))</f>
        <v/>
      </c>
      <c r="AJ933" s="6">
        <f>B933*0.035</f>
        <v/>
      </c>
      <c r="AK933" s="6">
        <f>B933*0.065</f>
        <v/>
      </c>
      <c r="AL933" s="6">
        <f>SUM(B933,AD933,AE933,AF933,AG933,AH933,AI933,U933,V933,AJ933,AK933)</f>
        <v/>
      </c>
      <c r="AM933" s="6">
        <f>B933*0.055</f>
        <v/>
      </c>
      <c r="AN933" s="6">
        <f>B933*0.035</f>
        <v/>
      </c>
      <c r="AO933" s="6">
        <f>B933*0.165</f>
        <v/>
      </c>
      <c r="AP933" s="6">
        <f>MAX(0,AL933-AM933-AO933)</f>
        <v/>
      </c>
      <c r="AQ933" s="6">
        <f>IF(AP933&lt;=490,0,IF(AP933&lt;=600,(AP933-490)*0.05,IF(AP933&lt;=730,5.5+(AP933-600)*0.10,IF(AP933&lt;=3896.67,18.5+(AP933-730)*0.175,IF(AP933&lt;=19896.67,572.67+(AP933-3896.67)*0.25,IF(AP933&lt;=50416.67,4572.67+(AP933-19896.67)*0.30,13728.67+(AP933-50416.67)*0.35))))))</f>
        <v/>
      </c>
      <c r="AR933" s="6">
        <f>SUM(AM933,AQ933,W933,X933,Y933,Z933,AA933,AN933,AO933)</f>
        <v/>
      </c>
      <c r="AS933" s="6">
        <f>AL933-AR933</f>
        <v/>
      </c>
      <c r="AT933" s="6">
        <f>AB933-AC933</f>
        <v/>
      </c>
    </row>
    <row r="934">
      <c r="A934" s="2" t="n"/>
      <c r="B934" s="3" t="n"/>
      <c r="C934" s="4" t="n"/>
      <c r="D934" s="5" t="n"/>
      <c r="E934" s="3" t="n"/>
      <c r="F934" s="4" t="n"/>
      <c r="G934" s="5" t="n"/>
      <c r="H934" s="3" t="n"/>
      <c r="I934" s="4" t="n"/>
      <c r="J934" s="5" t="n"/>
      <c r="K934" s="3" t="n"/>
      <c r="L934" s="4" t="n"/>
      <c r="M934" s="5" t="n"/>
      <c r="N934" s="3" t="n"/>
      <c r="O934" s="4" t="n"/>
      <c r="P934" s="5" t="n"/>
      <c r="Q934" s="3" t="n"/>
      <c r="R934" s="4" t="n"/>
      <c r="S934" s="5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6">
        <f>IF(C934=0,0,IF(E934="",B934*D934/100,E934))</f>
        <v/>
      </c>
      <c r="AE934" s="6">
        <f>IF(F934=0,0,IF(H934="",B934*G934/100,H934))</f>
        <v/>
      </c>
      <c r="AF934" s="6">
        <f>IF(I934=0,0,IF(K934="",B934*J934/100,K934))</f>
        <v/>
      </c>
      <c r="AG934" s="6">
        <f>IF(L934=0,0,IF(N934="",B934*M934/100,N934))</f>
        <v/>
      </c>
      <c r="AH934" s="6">
        <f>IF(O934=0,0,IF(Q934="",B934*P934/100,Q934))</f>
        <v/>
      </c>
      <c r="AI934" s="6">
        <f>IF(R934=0,0,IF(T934="",B934*S934/100,T934))</f>
        <v/>
      </c>
      <c r="AJ934" s="6">
        <f>B934*0.035</f>
        <v/>
      </c>
      <c r="AK934" s="6">
        <f>B934*0.065</f>
        <v/>
      </c>
      <c r="AL934" s="6">
        <f>SUM(B934,AD934,AE934,AF934,AG934,AH934,AI934,U934,V934,AJ934,AK934)</f>
        <v/>
      </c>
      <c r="AM934" s="6">
        <f>B934*0.055</f>
        <v/>
      </c>
      <c r="AN934" s="6">
        <f>B934*0.035</f>
        <v/>
      </c>
      <c r="AO934" s="6">
        <f>B934*0.165</f>
        <v/>
      </c>
      <c r="AP934" s="6">
        <f>MAX(0,AL934-AM934-AO934)</f>
        <v/>
      </c>
      <c r="AQ934" s="6">
        <f>IF(AP934&lt;=490,0,IF(AP934&lt;=600,(AP934-490)*0.05,IF(AP934&lt;=730,5.5+(AP934-600)*0.10,IF(AP934&lt;=3896.67,18.5+(AP934-730)*0.175,IF(AP934&lt;=19896.67,572.67+(AP934-3896.67)*0.25,IF(AP934&lt;=50416.67,4572.67+(AP934-19896.67)*0.30,13728.67+(AP934-50416.67)*0.35))))))</f>
        <v/>
      </c>
      <c r="AR934" s="6">
        <f>SUM(AM934,AQ934,W934,X934,Y934,Z934,AA934,AN934,AO934)</f>
        <v/>
      </c>
      <c r="AS934" s="6">
        <f>AL934-AR934</f>
        <v/>
      </c>
      <c r="AT934" s="6">
        <f>AB934-AC934</f>
        <v/>
      </c>
    </row>
    <row r="935">
      <c r="A935" s="2" t="n"/>
      <c r="B935" s="3" t="n"/>
      <c r="C935" s="4" t="n"/>
      <c r="D935" s="5" t="n"/>
      <c r="E935" s="3" t="n"/>
      <c r="F935" s="4" t="n"/>
      <c r="G935" s="5" t="n"/>
      <c r="H935" s="3" t="n"/>
      <c r="I935" s="4" t="n"/>
      <c r="J935" s="5" t="n"/>
      <c r="K935" s="3" t="n"/>
      <c r="L935" s="4" t="n"/>
      <c r="M935" s="5" t="n"/>
      <c r="N935" s="3" t="n"/>
      <c r="O935" s="4" t="n"/>
      <c r="P935" s="5" t="n"/>
      <c r="Q935" s="3" t="n"/>
      <c r="R935" s="4" t="n"/>
      <c r="S935" s="5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6">
        <f>IF(C935=0,0,IF(E935="",B935*D935/100,E935))</f>
        <v/>
      </c>
      <c r="AE935" s="6">
        <f>IF(F935=0,0,IF(H935="",B935*G935/100,H935))</f>
        <v/>
      </c>
      <c r="AF935" s="6">
        <f>IF(I935=0,0,IF(K935="",B935*J935/100,K935))</f>
        <v/>
      </c>
      <c r="AG935" s="6">
        <f>IF(L935=0,0,IF(N935="",B935*M935/100,N935))</f>
        <v/>
      </c>
      <c r="AH935" s="6">
        <f>IF(O935=0,0,IF(Q935="",B935*P935/100,Q935))</f>
        <v/>
      </c>
      <c r="AI935" s="6">
        <f>IF(R935=0,0,IF(T935="",B935*S935/100,T935))</f>
        <v/>
      </c>
      <c r="AJ935" s="6">
        <f>B935*0.035</f>
        <v/>
      </c>
      <c r="AK935" s="6">
        <f>B935*0.065</f>
        <v/>
      </c>
      <c r="AL935" s="6">
        <f>SUM(B935,AD935,AE935,AF935,AG935,AH935,AI935,U935,V935,AJ935,AK935)</f>
        <v/>
      </c>
      <c r="AM935" s="6">
        <f>B935*0.055</f>
        <v/>
      </c>
      <c r="AN935" s="6">
        <f>B935*0.035</f>
        <v/>
      </c>
      <c r="AO935" s="6">
        <f>B935*0.165</f>
        <v/>
      </c>
      <c r="AP935" s="6">
        <f>MAX(0,AL935-AM935-AO935)</f>
        <v/>
      </c>
      <c r="AQ935" s="6">
        <f>IF(AP935&lt;=490,0,IF(AP935&lt;=600,(AP935-490)*0.05,IF(AP935&lt;=730,5.5+(AP935-600)*0.10,IF(AP935&lt;=3896.67,18.5+(AP935-730)*0.175,IF(AP935&lt;=19896.67,572.67+(AP935-3896.67)*0.25,IF(AP935&lt;=50416.67,4572.67+(AP935-19896.67)*0.30,13728.67+(AP935-50416.67)*0.35))))))</f>
        <v/>
      </c>
      <c r="AR935" s="6">
        <f>SUM(AM935,AQ935,W935,X935,Y935,Z935,AA935,AN935,AO935)</f>
        <v/>
      </c>
      <c r="AS935" s="6">
        <f>AL935-AR935</f>
        <v/>
      </c>
      <c r="AT935" s="6">
        <f>AB935-AC935</f>
        <v/>
      </c>
    </row>
    <row r="936">
      <c r="A936" s="2" t="n"/>
      <c r="B936" s="3" t="n"/>
      <c r="C936" s="4" t="n"/>
      <c r="D936" s="5" t="n"/>
      <c r="E936" s="3" t="n"/>
      <c r="F936" s="4" t="n"/>
      <c r="G936" s="5" t="n"/>
      <c r="H936" s="3" t="n"/>
      <c r="I936" s="4" t="n"/>
      <c r="J936" s="5" t="n"/>
      <c r="K936" s="3" t="n"/>
      <c r="L936" s="4" t="n"/>
      <c r="M936" s="5" t="n"/>
      <c r="N936" s="3" t="n"/>
      <c r="O936" s="4" t="n"/>
      <c r="P936" s="5" t="n"/>
      <c r="Q936" s="3" t="n"/>
      <c r="R936" s="4" t="n"/>
      <c r="S936" s="5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6">
        <f>IF(C936=0,0,IF(E936="",B936*D936/100,E936))</f>
        <v/>
      </c>
      <c r="AE936" s="6">
        <f>IF(F936=0,0,IF(H936="",B936*G936/100,H936))</f>
        <v/>
      </c>
      <c r="AF936" s="6">
        <f>IF(I936=0,0,IF(K936="",B936*J936/100,K936))</f>
        <v/>
      </c>
      <c r="AG936" s="6">
        <f>IF(L936=0,0,IF(N936="",B936*M936/100,N936))</f>
        <v/>
      </c>
      <c r="AH936" s="6">
        <f>IF(O936=0,0,IF(Q936="",B936*P936/100,Q936))</f>
        <v/>
      </c>
      <c r="AI936" s="6">
        <f>IF(R936=0,0,IF(T936="",B936*S936/100,T936))</f>
        <v/>
      </c>
      <c r="AJ936" s="6">
        <f>B936*0.035</f>
        <v/>
      </c>
      <c r="AK936" s="6">
        <f>B936*0.065</f>
        <v/>
      </c>
      <c r="AL936" s="6">
        <f>SUM(B936,AD936,AE936,AF936,AG936,AH936,AI936,U936,V936,AJ936,AK936)</f>
        <v/>
      </c>
      <c r="AM936" s="6">
        <f>B936*0.055</f>
        <v/>
      </c>
      <c r="AN936" s="6">
        <f>B936*0.035</f>
        <v/>
      </c>
      <c r="AO936" s="6">
        <f>B936*0.165</f>
        <v/>
      </c>
      <c r="AP936" s="6">
        <f>MAX(0,AL936-AM936-AO936)</f>
        <v/>
      </c>
      <c r="AQ936" s="6">
        <f>IF(AP936&lt;=490,0,IF(AP936&lt;=600,(AP936-490)*0.05,IF(AP936&lt;=730,5.5+(AP936-600)*0.10,IF(AP936&lt;=3896.67,18.5+(AP936-730)*0.175,IF(AP936&lt;=19896.67,572.67+(AP936-3896.67)*0.25,IF(AP936&lt;=50416.67,4572.67+(AP936-19896.67)*0.30,13728.67+(AP936-50416.67)*0.35))))))</f>
        <v/>
      </c>
      <c r="AR936" s="6">
        <f>SUM(AM936,AQ936,W936,X936,Y936,Z936,AA936,AN936,AO936)</f>
        <v/>
      </c>
      <c r="AS936" s="6">
        <f>AL936-AR936</f>
        <v/>
      </c>
      <c r="AT936" s="6">
        <f>AB936-AC936</f>
        <v/>
      </c>
    </row>
    <row r="937">
      <c r="A937" s="2" t="n"/>
      <c r="B937" s="3" t="n"/>
      <c r="C937" s="4" t="n"/>
      <c r="D937" s="5" t="n"/>
      <c r="E937" s="3" t="n"/>
      <c r="F937" s="4" t="n"/>
      <c r="G937" s="5" t="n"/>
      <c r="H937" s="3" t="n"/>
      <c r="I937" s="4" t="n"/>
      <c r="J937" s="5" t="n"/>
      <c r="K937" s="3" t="n"/>
      <c r="L937" s="4" t="n"/>
      <c r="M937" s="5" t="n"/>
      <c r="N937" s="3" t="n"/>
      <c r="O937" s="4" t="n"/>
      <c r="P937" s="5" t="n"/>
      <c r="Q937" s="3" t="n"/>
      <c r="R937" s="4" t="n"/>
      <c r="S937" s="5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6">
        <f>IF(C937=0,0,IF(E937="",B937*D937/100,E937))</f>
        <v/>
      </c>
      <c r="AE937" s="6">
        <f>IF(F937=0,0,IF(H937="",B937*G937/100,H937))</f>
        <v/>
      </c>
      <c r="AF937" s="6">
        <f>IF(I937=0,0,IF(K937="",B937*J937/100,K937))</f>
        <v/>
      </c>
      <c r="AG937" s="6">
        <f>IF(L937=0,0,IF(N937="",B937*M937/100,N937))</f>
        <v/>
      </c>
      <c r="AH937" s="6">
        <f>IF(O937=0,0,IF(Q937="",B937*P937/100,Q937))</f>
        <v/>
      </c>
      <c r="AI937" s="6">
        <f>IF(R937=0,0,IF(T937="",B937*S937/100,T937))</f>
        <v/>
      </c>
      <c r="AJ937" s="6">
        <f>B937*0.035</f>
        <v/>
      </c>
      <c r="AK937" s="6">
        <f>B937*0.065</f>
        <v/>
      </c>
      <c r="AL937" s="6">
        <f>SUM(B937,AD937,AE937,AF937,AG937,AH937,AI937,U937,V937,AJ937,AK937)</f>
        <v/>
      </c>
      <c r="AM937" s="6">
        <f>B937*0.055</f>
        <v/>
      </c>
      <c r="AN937" s="6">
        <f>B937*0.035</f>
        <v/>
      </c>
      <c r="AO937" s="6">
        <f>B937*0.165</f>
        <v/>
      </c>
      <c r="AP937" s="6">
        <f>MAX(0,AL937-AM937-AO937)</f>
        <v/>
      </c>
      <c r="AQ937" s="6">
        <f>IF(AP937&lt;=490,0,IF(AP937&lt;=600,(AP937-490)*0.05,IF(AP937&lt;=730,5.5+(AP937-600)*0.10,IF(AP937&lt;=3896.67,18.5+(AP937-730)*0.175,IF(AP937&lt;=19896.67,572.67+(AP937-3896.67)*0.25,IF(AP937&lt;=50416.67,4572.67+(AP937-19896.67)*0.30,13728.67+(AP937-50416.67)*0.35))))))</f>
        <v/>
      </c>
      <c r="AR937" s="6">
        <f>SUM(AM937,AQ937,W937,X937,Y937,Z937,AA937,AN937,AO937)</f>
        <v/>
      </c>
      <c r="AS937" s="6">
        <f>AL937-AR937</f>
        <v/>
      </c>
      <c r="AT937" s="6">
        <f>AB937-AC937</f>
        <v/>
      </c>
    </row>
    <row r="938">
      <c r="A938" s="2" t="n"/>
      <c r="B938" s="3" t="n"/>
      <c r="C938" s="4" t="n"/>
      <c r="D938" s="5" t="n"/>
      <c r="E938" s="3" t="n"/>
      <c r="F938" s="4" t="n"/>
      <c r="G938" s="5" t="n"/>
      <c r="H938" s="3" t="n"/>
      <c r="I938" s="4" t="n"/>
      <c r="J938" s="5" t="n"/>
      <c r="K938" s="3" t="n"/>
      <c r="L938" s="4" t="n"/>
      <c r="M938" s="5" t="n"/>
      <c r="N938" s="3" t="n"/>
      <c r="O938" s="4" t="n"/>
      <c r="P938" s="5" t="n"/>
      <c r="Q938" s="3" t="n"/>
      <c r="R938" s="4" t="n"/>
      <c r="S938" s="5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6">
        <f>IF(C938=0,0,IF(E938="",B938*D938/100,E938))</f>
        <v/>
      </c>
      <c r="AE938" s="6">
        <f>IF(F938=0,0,IF(H938="",B938*G938/100,H938))</f>
        <v/>
      </c>
      <c r="AF938" s="6">
        <f>IF(I938=0,0,IF(K938="",B938*J938/100,K938))</f>
        <v/>
      </c>
      <c r="AG938" s="6">
        <f>IF(L938=0,0,IF(N938="",B938*M938/100,N938))</f>
        <v/>
      </c>
      <c r="AH938" s="6">
        <f>IF(O938=0,0,IF(Q938="",B938*P938/100,Q938))</f>
        <v/>
      </c>
      <c r="AI938" s="6">
        <f>IF(R938=0,0,IF(T938="",B938*S938/100,T938))</f>
        <v/>
      </c>
      <c r="AJ938" s="6">
        <f>B938*0.035</f>
        <v/>
      </c>
      <c r="AK938" s="6">
        <f>B938*0.065</f>
        <v/>
      </c>
      <c r="AL938" s="6">
        <f>SUM(B938,AD938,AE938,AF938,AG938,AH938,AI938,U938,V938,AJ938,AK938)</f>
        <v/>
      </c>
      <c r="AM938" s="6">
        <f>B938*0.055</f>
        <v/>
      </c>
      <c r="AN938" s="6">
        <f>B938*0.035</f>
        <v/>
      </c>
      <c r="AO938" s="6">
        <f>B938*0.165</f>
        <v/>
      </c>
      <c r="AP938" s="6">
        <f>MAX(0,AL938-AM938-AO938)</f>
        <v/>
      </c>
      <c r="AQ938" s="6">
        <f>IF(AP938&lt;=490,0,IF(AP938&lt;=600,(AP938-490)*0.05,IF(AP938&lt;=730,5.5+(AP938-600)*0.10,IF(AP938&lt;=3896.67,18.5+(AP938-730)*0.175,IF(AP938&lt;=19896.67,572.67+(AP938-3896.67)*0.25,IF(AP938&lt;=50416.67,4572.67+(AP938-19896.67)*0.30,13728.67+(AP938-50416.67)*0.35))))))</f>
        <v/>
      </c>
      <c r="AR938" s="6">
        <f>SUM(AM938,AQ938,W938,X938,Y938,Z938,AA938,AN938,AO938)</f>
        <v/>
      </c>
      <c r="AS938" s="6">
        <f>AL938-AR938</f>
        <v/>
      </c>
      <c r="AT938" s="6">
        <f>AB938-AC938</f>
        <v/>
      </c>
    </row>
    <row r="939">
      <c r="A939" s="2" t="n"/>
      <c r="B939" s="3" t="n"/>
      <c r="C939" s="4" t="n"/>
      <c r="D939" s="5" t="n"/>
      <c r="E939" s="3" t="n"/>
      <c r="F939" s="4" t="n"/>
      <c r="G939" s="5" t="n"/>
      <c r="H939" s="3" t="n"/>
      <c r="I939" s="4" t="n"/>
      <c r="J939" s="5" t="n"/>
      <c r="K939" s="3" t="n"/>
      <c r="L939" s="4" t="n"/>
      <c r="M939" s="5" t="n"/>
      <c r="N939" s="3" t="n"/>
      <c r="O939" s="4" t="n"/>
      <c r="P939" s="5" t="n"/>
      <c r="Q939" s="3" t="n"/>
      <c r="R939" s="4" t="n"/>
      <c r="S939" s="5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6">
        <f>IF(C939=0,0,IF(E939="",B939*D939/100,E939))</f>
        <v/>
      </c>
      <c r="AE939" s="6">
        <f>IF(F939=0,0,IF(H939="",B939*G939/100,H939))</f>
        <v/>
      </c>
      <c r="AF939" s="6">
        <f>IF(I939=0,0,IF(K939="",B939*J939/100,K939))</f>
        <v/>
      </c>
      <c r="AG939" s="6">
        <f>IF(L939=0,0,IF(N939="",B939*M939/100,N939))</f>
        <v/>
      </c>
      <c r="AH939" s="6">
        <f>IF(O939=0,0,IF(Q939="",B939*P939/100,Q939))</f>
        <v/>
      </c>
      <c r="AI939" s="6">
        <f>IF(R939=0,0,IF(T939="",B939*S939/100,T939))</f>
        <v/>
      </c>
      <c r="AJ939" s="6">
        <f>B939*0.035</f>
        <v/>
      </c>
      <c r="AK939" s="6">
        <f>B939*0.065</f>
        <v/>
      </c>
      <c r="AL939" s="6">
        <f>SUM(B939,AD939,AE939,AF939,AG939,AH939,AI939,U939,V939,AJ939,AK939)</f>
        <v/>
      </c>
      <c r="AM939" s="6">
        <f>B939*0.055</f>
        <v/>
      </c>
      <c r="AN939" s="6">
        <f>B939*0.035</f>
        <v/>
      </c>
      <c r="AO939" s="6">
        <f>B939*0.165</f>
        <v/>
      </c>
      <c r="AP939" s="6">
        <f>MAX(0,AL939-AM939-AO939)</f>
        <v/>
      </c>
      <c r="AQ939" s="6">
        <f>IF(AP939&lt;=490,0,IF(AP939&lt;=600,(AP939-490)*0.05,IF(AP939&lt;=730,5.5+(AP939-600)*0.10,IF(AP939&lt;=3896.67,18.5+(AP939-730)*0.175,IF(AP939&lt;=19896.67,572.67+(AP939-3896.67)*0.25,IF(AP939&lt;=50416.67,4572.67+(AP939-19896.67)*0.30,13728.67+(AP939-50416.67)*0.35))))))</f>
        <v/>
      </c>
      <c r="AR939" s="6">
        <f>SUM(AM939,AQ939,W939,X939,Y939,Z939,AA939,AN939,AO939)</f>
        <v/>
      </c>
      <c r="AS939" s="6">
        <f>AL939-AR939</f>
        <v/>
      </c>
      <c r="AT939" s="6">
        <f>AB939-AC939</f>
        <v/>
      </c>
    </row>
    <row r="940">
      <c r="A940" s="2" t="n"/>
      <c r="B940" s="3" t="n"/>
      <c r="C940" s="4" t="n"/>
      <c r="D940" s="5" t="n"/>
      <c r="E940" s="3" t="n"/>
      <c r="F940" s="4" t="n"/>
      <c r="G940" s="5" t="n"/>
      <c r="H940" s="3" t="n"/>
      <c r="I940" s="4" t="n"/>
      <c r="J940" s="5" t="n"/>
      <c r="K940" s="3" t="n"/>
      <c r="L940" s="4" t="n"/>
      <c r="M940" s="5" t="n"/>
      <c r="N940" s="3" t="n"/>
      <c r="O940" s="4" t="n"/>
      <c r="P940" s="5" t="n"/>
      <c r="Q940" s="3" t="n"/>
      <c r="R940" s="4" t="n"/>
      <c r="S940" s="5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6">
        <f>IF(C940=0,0,IF(E940="",B940*D940/100,E940))</f>
        <v/>
      </c>
      <c r="AE940" s="6">
        <f>IF(F940=0,0,IF(H940="",B940*G940/100,H940))</f>
        <v/>
      </c>
      <c r="AF940" s="6">
        <f>IF(I940=0,0,IF(K940="",B940*J940/100,K940))</f>
        <v/>
      </c>
      <c r="AG940" s="6">
        <f>IF(L940=0,0,IF(N940="",B940*M940/100,N940))</f>
        <v/>
      </c>
      <c r="AH940" s="6">
        <f>IF(O940=0,0,IF(Q940="",B940*P940/100,Q940))</f>
        <v/>
      </c>
      <c r="AI940" s="6">
        <f>IF(R940=0,0,IF(T940="",B940*S940/100,T940))</f>
        <v/>
      </c>
      <c r="AJ940" s="6">
        <f>B940*0.035</f>
        <v/>
      </c>
      <c r="AK940" s="6">
        <f>B940*0.065</f>
        <v/>
      </c>
      <c r="AL940" s="6">
        <f>SUM(B940,AD940,AE940,AF940,AG940,AH940,AI940,U940,V940,AJ940,AK940)</f>
        <v/>
      </c>
      <c r="AM940" s="6">
        <f>B940*0.055</f>
        <v/>
      </c>
      <c r="AN940" s="6">
        <f>B940*0.035</f>
        <v/>
      </c>
      <c r="AO940" s="6">
        <f>B940*0.165</f>
        <v/>
      </c>
      <c r="AP940" s="6">
        <f>MAX(0,AL940-AM940-AO940)</f>
        <v/>
      </c>
      <c r="AQ940" s="6">
        <f>IF(AP940&lt;=490,0,IF(AP940&lt;=600,(AP940-490)*0.05,IF(AP940&lt;=730,5.5+(AP940-600)*0.10,IF(AP940&lt;=3896.67,18.5+(AP940-730)*0.175,IF(AP940&lt;=19896.67,572.67+(AP940-3896.67)*0.25,IF(AP940&lt;=50416.67,4572.67+(AP940-19896.67)*0.30,13728.67+(AP940-50416.67)*0.35))))))</f>
        <v/>
      </c>
      <c r="AR940" s="6">
        <f>SUM(AM940,AQ940,W940,X940,Y940,Z940,AA940,AN940,AO940)</f>
        <v/>
      </c>
      <c r="AS940" s="6">
        <f>AL940-AR940</f>
        <v/>
      </c>
      <c r="AT940" s="6">
        <f>AB940-AC940</f>
        <v/>
      </c>
    </row>
    <row r="941">
      <c r="A941" s="2" t="n"/>
      <c r="B941" s="3" t="n"/>
      <c r="C941" s="4" t="n"/>
      <c r="D941" s="5" t="n"/>
      <c r="E941" s="3" t="n"/>
      <c r="F941" s="4" t="n"/>
      <c r="G941" s="5" t="n"/>
      <c r="H941" s="3" t="n"/>
      <c r="I941" s="4" t="n"/>
      <c r="J941" s="5" t="n"/>
      <c r="K941" s="3" t="n"/>
      <c r="L941" s="4" t="n"/>
      <c r="M941" s="5" t="n"/>
      <c r="N941" s="3" t="n"/>
      <c r="O941" s="4" t="n"/>
      <c r="P941" s="5" t="n"/>
      <c r="Q941" s="3" t="n"/>
      <c r="R941" s="4" t="n"/>
      <c r="S941" s="5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6">
        <f>IF(C941=0,0,IF(E941="",B941*D941/100,E941))</f>
        <v/>
      </c>
      <c r="AE941" s="6">
        <f>IF(F941=0,0,IF(H941="",B941*G941/100,H941))</f>
        <v/>
      </c>
      <c r="AF941" s="6">
        <f>IF(I941=0,0,IF(K941="",B941*J941/100,K941))</f>
        <v/>
      </c>
      <c r="AG941" s="6">
        <f>IF(L941=0,0,IF(N941="",B941*M941/100,N941))</f>
        <v/>
      </c>
      <c r="AH941" s="6">
        <f>IF(O941=0,0,IF(Q941="",B941*P941/100,Q941))</f>
        <v/>
      </c>
      <c r="AI941" s="6">
        <f>IF(R941=0,0,IF(T941="",B941*S941/100,T941))</f>
        <v/>
      </c>
      <c r="AJ941" s="6">
        <f>B941*0.035</f>
        <v/>
      </c>
      <c r="AK941" s="6">
        <f>B941*0.065</f>
        <v/>
      </c>
      <c r="AL941" s="6">
        <f>SUM(B941,AD941,AE941,AF941,AG941,AH941,AI941,U941,V941,AJ941,AK941)</f>
        <v/>
      </c>
      <c r="AM941" s="6">
        <f>B941*0.055</f>
        <v/>
      </c>
      <c r="AN941" s="6">
        <f>B941*0.035</f>
        <v/>
      </c>
      <c r="AO941" s="6">
        <f>B941*0.165</f>
        <v/>
      </c>
      <c r="AP941" s="6">
        <f>MAX(0,AL941-AM941-AO941)</f>
        <v/>
      </c>
      <c r="AQ941" s="6">
        <f>IF(AP941&lt;=490,0,IF(AP941&lt;=600,(AP941-490)*0.05,IF(AP941&lt;=730,5.5+(AP941-600)*0.10,IF(AP941&lt;=3896.67,18.5+(AP941-730)*0.175,IF(AP941&lt;=19896.67,572.67+(AP941-3896.67)*0.25,IF(AP941&lt;=50416.67,4572.67+(AP941-19896.67)*0.30,13728.67+(AP941-50416.67)*0.35))))))</f>
        <v/>
      </c>
      <c r="AR941" s="6">
        <f>SUM(AM941,AQ941,W941,X941,Y941,Z941,AA941,AN941,AO941)</f>
        <v/>
      </c>
      <c r="AS941" s="6">
        <f>AL941-AR941</f>
        <v/>
      </c>
      <c r="AT941" s="6">
        <f>AB941-AC941</f>
        <v/>
      </c>
    </row>
    <row r="942">
      <c r="A942" s="2" t="n"/>
      <c r="B942" s="3" t="n"/>
      <c r="C942" s="4" t="n"/>
      <c r="D942" s="5" t="n"/>
      <c r="E942" s="3" t="n"/>
      <c r="F942" s="4" t="n"/>
      <c r="G942" s="5" t="n"/>
      <c r="H942" s="3" t="n"/>
      <c r="I942" s="4" t="n"/>
      <c r="J942" s="5" t="n"/>
      <c r="K942" s="3" t="n"/>
      <c r="L942" s="4" t="n"/>
      <c r="M942" s="5" t="n"/>
      <c r="N942" s="3" t="n"/>
      <c r="O942" s="4" t="n"/>
      <c r="P942" s="5" t="n"/>
      <c r="Q942" s="3" t="n"/>
      <c r="R942" s="4" t="n"/>
      <c r="S942" s="5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6">
        <f>IF(C942=0,0,IF(E942="",B942*D942/100,E942))</f>
        <v/>
      </c>
      <c r="AE942" s="6">
        <f>IF(F942=0,0,IF(H942="",B942*G942/100,H942))</f>
        <v/>
      </c>
      <c r="AF942" s="6">
        <f>IF(I942=0,0,IF(K942="",B942*J942/100,K942))</f>
        <v/>
      </c>
      <c r="AG942" s="6">
        <f>IF(L942=0,0,IF(N942="",B942*M942/100,N942))</f>
        <v/>
      </c>
      <c r="AH942" s="6">
        <f>IF(O942=0,0,IF(Q942="",B942*P942/100,Q942))</f>
        <v/>
      </c>
      <c r="AI942" s="6">
        <f>IF(R942=0,0,IF(T942="",B942*S942/100,T942))</f>
        <v/>
      </c>
      <c r="AJ942" s="6">
        <f>B942*0.035</f>
        <v/>
      </c>
      <c r="AK942" s="6">
        <f>B942*0.065</f>
        <v/>
      </c>
      <c r="AL942" s="6">
        <f>SUM(B942,AD942,AE942,AF942,AG942,AH942,AI942,U942,V942,AJ942,AK942)</f>
        <v/>
      </c>
      <c r="AM942" s="6">
        <f>B942*0.055</f>
        <v/>
      </c>
      <c r="AN942" s="6">
        <f>B942*0.035</f>
        <v/>
      </c>
      <c r="AO942" s="6">
        <f>B942*0.165</f>
        <v/>
      </c>
      <c r="AP942" s="6">
        <f>MAX(0,AL942-AM942-AO942)</f>
        <v/>
      </c>
      <c r="AQ942" s="6">
        <f>IF(AP942&lt;=490,0,IF(AP942&lt;=600,(AP942-490)*0.05,IF(AP942&lt;=730,5.5+(AP942-600)*0.10,IF(AP942&lt;=3896.67,18.5+(AP942-730)*0.175,IF(AP942&lt;=19896.67,572.67+(AP942-3896.67)*0.25,IF(AP942&lt;=50416.67,4572.67+(AP942-19896.67)*0.30,13728.67+(AP942-50416.67)*0.35))))))</f>
        <v/>
      </c>
      <c r="AR942" s="6">
        <f>SUM(AM942,AQ942,W942,X942,Y942,Z942,AA942,AN942,AO942)</f>
        <v/>
      </c>
      <c r="AS942" s="6">
        <f>AL942-AR942</f>
        <v/>
      </c>
      <c r="AT942" s="6">
        <f>AB942-AC942</f>
        <v/>
      </c>
    </row>
    <row r="943">
      <c r="A943" s="2" t="n"/>
      <c r="B943" s="3" t="n"/>
      <c r="C943" s="4" t="n"/>
      <c r="D943" s="5" t="n"/>
      <c r="E943" s="3" t="n"/>
      <c r="F943" s="4" t="n"/>
      <c r="G943" s="5" t="n"/>
      <c r="H943" s="3" t="n"/>
      <c r="I943" s="4" t="n"/>
      <c r="J943" s="5" t="n"/>
      <c r="K943" s="3" t="n"/>
      <c r="L943" s="4" t="n"/>
      <c r="M943" s="5" t="n"/>
      <c r="N943" s="3" t="n"/>
      <c r="O943" s="4" t="n"/>
      <c r="P943" s="5" t="n"/>
      <c r="Q943" s="3" t="n"/>
      <c r="R943" s="4" t="n"/>
      <c r="S943" s="5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6">
        <f>IF(C943=0,0,IF(E943="",B943*D943/100,E943))</f>
        <v/>
      </c>
      <c r="AE943" s="6">
        <f>IF(F943=0,0,IF(H943="",B943*G943/100,H943))</f>
        <v/>
      </c>
      <c r="AF943" s="6">
        <f>IF(I943=0,0,IF(K943="",B943*J943/100,K943))</f>
        <v/>
      </c>
      <c r="AG943" s="6">
        <f>IF(L943=0,0,IF(N943="",B943*M943/100,N943))</f>
        <v/>
      </c>
      <c r="AH943" s="6">
        <f>IF(O943=0,0,IF(Q943="",B943*P943/100,Q943))</f>
        <v/>
      </c>
      <c r="AI943" s="6">
        <f>IF(R943=0,0,IF(T943="",B943*S943/100,T943))</f>
        <v/>
      </c>
      <c r="AJ943" s="6">
        <f>B943*0.035</f>
        <v/>
      </c>
      <c r="AK943" s="6">
        <f>B943*0.065</f>
        <v/>
      </c>
      <c r="AL943" s="6">
        <f>SUM(B943,AD943,AE943,AF943,AG943,AH943,AI943,U943,V943,AJ943,AK943)</f>
        <v/>
      </c>
      <c r="AM943" s="6">
        <f>B943*0.055</f>
        <v/>
      </c>
      <c r="AN943" s="6">
        <f>B943*0.035</f>
        <v/>
      </c>
      <c r="AO943" s="6">
        <f>B943*0.165</f>
        <v/>
      </c>
      <c r="AP943" s="6">
        <f>MAX(0,AL943-AM943-AO943)</f>
        <v/>
      </c>
      <c r="AQ943" s="6">
        <f>IF(AP943&lt;=490,0,IF(AP943&lt;=600,(AP943-490)*0.05,IF(AP943&lt;=730,5.5+(AP943-600)*0.10,IF(AP943&lt;=3896.67,18.5+(AP943-730)*0.175,IF(AP943&lt;=19896.67,572.67+(AP943-3896.67)*0.25,IF(AP943&lt;=50416.67,4572.67+(AP943-19896.67)*0.30,13728.67+(AP943-50416.67)*0.35))))))</f>
        <v/>
      </c>
      <c r="AR943" s="6">
        <f>SUM(AM943,AQ943,W943,X943,Y943,Z943,AA943,AN943,AO943)</f>
        <v/>
      </c>
      <c r="AS943" s="6">
        <f>AL943-AR943</f>
        <v/>
      </c>
      <c r="AT943" s="6">
        <f>AB943-AC943</f>
        <v/>
      </c>
    </row>
    <row r="944">
      <c r="A944" s="2" t="n"/>
      <c r="B944" s="3" t="n"/>
      <c r="C944" s="4" t="n"/>
      <c r="D944" s="5" t="n"/>
      <c r="E944" s="3" t="n"/>
      <c r="F944" s="4" t="n"/>
      <c r="G944" s="5" t="n"/>
      <c r="H944" s="3" t="n"/>
      <c r="I944" s="4" t="n"/>
      <c r="J944" s="5" t="n"/>
      <c r="K944" s="3" t="n"/>
      <c r="L944" s="4" t="n"/>
      <c r="M944" s="5" t="n"/>
      <c r="N944" s="3" t="n"/>
      <c r="O944" s="4" t="n"/>
      <c r="P944" s="5" t="n"/>
      <c r="Q944" s="3" t="n"/>
      <c r="R944" s="4" t="n"/>
      <c r="S944" s="5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6">
        <f>IF(C944=0,0,IF(E944="",B944*D944/100,E944))</f>
        <v/>
      </c>
      <c r="AE944" s="6">
        <f>IF(F944=0,0,IF(H944="",B944*G944/100,H944))</f>
        <v/>
      </c>
      <c r="AF944" s="6">
        <f>IF(I944=0,0,IF(K944="",B944*J944/100,K944))</f>
        <v/>
      </c>
      <c r="AG944" s="6">
        <f>IF(L944=0,0,IF(N944="",B944*M944/100,N944))</f>
        <v/>
      </c>
      <c r="AH944" s="6">
        <f>IF(O944=0,0,IF(Q944="",B944*P944/100,Q944))</f>
        <v/>
      </c>
      <c r="AI944" s="6">
        <f>IF(R944=0,0,IF(T944="",B944*S944/100,T944))</f>
        <v/>
      </c>
      <c r="AJ944" s="6">
        <f>B944*0.035</f>
        <v/>
      </c>
      <c r="AK944" s="6">
        <f>B944*0.065</f>
        <v/>
      </c>
      <c r="AL944" s="6">
        <f>SUM(B944,AD944,AE944,AF944,AG944,AH944,AI944,U944,V944,AJ944,AK944)</f>
        <v/>
      </c>
      <c r="AM944" s="6">
        <f>B944*0.055</f>
        <v/>
      </c>
      <c r="AN944" s="6">
        <f>B944*0.035</f>
        <v/>
      </c>
      <c r="AO944" s="6">
        <f>B944*0.165</f>
        <v/>
      </c>
      <c r="AP944" s="6">
        <f>MAX(0,AL944-AM944-AO944)</f>
        <v/>
      </c>
      <c r="AQ944" s="6">
        <f>IF(AP944&lt;=490,0,IF(AP944&lt;=600,(AP944-490)*0.05,IF(AP944&lt;=730,5.5+(AP944-600)*0.10,IF(AP944&lt;=3896.67,18.5+(AP944-730)*0.175,IF(AP944&lt;=19896.67,572.67+(AP944-3896.67)*0.25,IF(AP944&lt;=50416.67,4572.67+(AP944-19896.67)*0.30,13728.67+(AP944-50416.67)*0.35))))))</f>
        <v/>
      </c>
      <c r="AR944" s="6">
        <f>SUM(AM944,AQ944,W944,X944,Y944,Z944,AA944,AN944,AO944)</f>
        <v/>
      </c>
      <c r="AS944" s="6">
        <f>AL944-AR944</f>
        <v/>
      </c>
      <c r="AT944" s="6">
        <f>AB944-AC944</f>
        <v/>
      </c>
    </row>
    <row r="945">
      <c r="A945" s="2" t="n"/>
      <c r="B945" s="3" t="n"/>
      <c r="C945" s="4" t="n"/>
      <c r="D945" s="5" t="n"/>
      <c r="E945" s="3" t="n"/>
      <c r="F945" s="4" t="n"/>
      <c r="G945" s="5" t="n"/>
      <c r="H945" s="3" t="n"/>
      <c r="I945" s="4" t="n"/>
      <c r="J945" s="5" t="n"/>
      <c r="K945" s="3" t="n"/>
      <c r="L945" s="4" t="n"/>
      <c r="M945" s="5" t="n"/>
      <c r="N945" s="3" t="n"/>
      <c r="O945" s="4" t="n"/>
      <c r="P945" s="5" t="n"/>
      <c r="Q945" s="3" t="n"/>
      <c r="R945" s="4" t="n"/>
      <c r="S945" s="5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6">
        <f>IF(C945=0,0,IF(E945="",B945*D945/100,E945))</f>
        <v/>
      </c>
      <c r="AE945" s="6">
        <f>IF(F945=0,0,IF(H945="",B945*G945/100,H945))</f>
        <v/>
      </c>
      <c r="AF945" s="6">
        <f>IF(I945=0,0,IF(K945="",B945*J945/100,K945))</f>
        <v/>
      </c>
      <c r="AG945" s="6">
        <f>IF(L945=0,0,IF(N945="",B945*M945/100,N945))</f>
        <v/>
      </c>
      <c r="AH945" s="6">
        <f>IF(O945=0,0,IF(Q945="",B945*P945/100,Q945))</f>
        <v/>
      </c>
      <c r="AI945" s="6">
        <f>IF(R945=0,0,IF(T945="",B945*S945/100,T945))</f>
        <v/>
      </c>
      <c r="AJ945" s="6">
        <f>B945*0.035</f>
        <v/>
      </c>
      <c r="AK945" s="6">
        <f>B945*0.065</f>
        <v/>
      </c>
      <c r="AL945" s="6">
        <f>SUM(B945,AD945,AE945,AF945,AG945,AH945,AI945,U945,V945,AJ945,AK945)</f>
        <v/>
      </c>
      <c r="AM945" s="6">
        <f>B945*0.055</f>
        <v/>
      </c>
      <c r="AN945" s="6">
        <f>B945*0.035</f>
        <v/>
      </c>
      <c r="AO945" s="6">
        <f>B945*0.165</f>
        <v/>
      </c>
      <c r="AP945" s="6">
        <f>MAX(0,AL945-AM945-AO945)</f>
        <v/>
      </c>
      <c r="AQ945" s="6">
        <f>IF(AP945&lt;=490,0,IF(AP945&lt;=600,(AP945-490)*0.05,IF(AP945&lt;=730,5.5+(AP945-600)*0.10,IF(AP945&lt;=3896.67,18.5+(AP945-730)*0.175,IF(AP945&lt;=19896.67,572.67+(AP945-3896.67)*0.25,IF(AP945&lt;=50416.67,4572.67+(AP945-19896.67)*0.30,13728.67+(AP945-50416.67)*0.35))))))</f>
        <v/>
      </c>
      <c r="AR945" s="6">
        <f>SUM(AM945,AQ945,W945,X945,Y945,Z945,AA945,AN945,AO945)</f>
        <v/>
      </c>
      <c r="AS945" s="6">
        <f>AL945-AR945</f>
        <v/>
      </c>
      <c r="AT945" s="6">
        <f>AB945-AC945</f>
        <v/>
      </c>
    </row>
    <row r="946">
      <c r="A946" s="2" t="n"/>
      <c r="B946" s="3" t="n"/>
      <c r="C946" s="4" t="n"/>
      <c r="D946" s="5" t="n"/>
      <c r="E946" s="3" t="n"/>
      <c r="F946" s="4" t="n"/>
      <c r="G946" s="5" t="n"/>
      <c r="H946" s="3" t="n"/>
      <c r="I946" s="4" t="n"/>
      <c r="J946" s="5" t="n"/>
      <c r="K946" s="3" t="n"/>
      <c r="L946" s="4" t="n"/>
      <c r="M946" s="5" t="n"/>
      <c r="N946" s="3" t="n"/>
      <c r="O946" s="4" t="n"/>
      <c r="P946" s="5" t="n"/>
      <c r="Q946" s="3" t="n"/>
      <c r="R946" s="4" t="n"/>
      <c r="S946" s="5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6">
        <f>IF(C946=0,0,IF(E946="",B946*D946/100,E946))</f>
        <v/>
      </c>
      <c r="AE946" s="6">
        <f>IF(F946=0,0,IF(H946="",B946*G946/100,H946))</f>
        <v/>
      </c>
      <c r="AF946" s="6">
        <f>IF(I946=0,0,IF(K946="",B946*J946/100,K946))</f>
        <v/>
      </c>
      <c r="AG946" s="6">
        <f>IF(L946=0,0,IF(N946="",B946*M946/100,N946))</f>
        <v/>
      </c>
      <c r="AH946" s="6">
        <f>IF(O946=0,0,IF(Q946="",B946*P946/100,Q946))</f>
        <v/>
      </c>
      <c r="AI946" s="6">
        <f>IF(R946=0,0,IF(T946="",B946*S946/100,T946))</f>
        <v/>
      </c>
      <c r="AJ946" s="6">
        <f>B946*0.035</f>
        <v/>
      </c>
      <c r="AK946" s="6">
        <f>B946*0.065</f>
        <v/>
      </c>
      <c r="AL946" s="6">
        <f>SUM(B946,AD946,AE946,AF946,AG946,AH946,AI946,U946,V946,AJ946,AK946)</f>
        <v/>
      </c>
      <c r="AM946" s="6">
        <f>B946*0.055</f>
        <v/>
      </c>
      <c r="AN946" s="6">
        <f>B946*0.035</f>
        <v/>
      </c>
      <c r="AO946" s="6">
        <f>B946*0.165</f>
        <v/>
      </c>
      <c r="AP946" s="6">
        <f>MAX(0,AL946-AM946-AO946)</f>
        <v/>
      </c>
      <c r="AQ946" s="6">
        <f>IF(AP946&lt;=490,0,IF(AP946&lt;=600,(AP946-490)*0.05,IF(AP946&lt;=730,5.5+(AP946-600)*0.10,IF(AP946&lt;=3896.67,18.5+(AP946-730)*0.175,IF(AP946&lt;=19896.67,572.67+(AP946-3896.67)*0.25,IF(AP946&lt;=50416.67,4572.67+(AP946-19896.67)*0.30,13728.67+(AP946-50416.67)*0.35))))))</f>
        <v/>
      </c>
      <c r="AR946" s="6">
        <f>SUM(AM946,AQ946,W946,X946,Y946,Z946,AA946,AN946,AO946)</f>
        <v/>
      </c>
      <c r="AS946" s="6">
        <f>AL946-AR946</f>
        <v/>
      </c>
      <c r="AT946" s="6">
        <f>AB946-AC946</f>
        <v/>
      </c>
    </row>
    <row r="947">
      <c r="A947" s="2" t="n"/>
      <c r="B947" s="3" t="n"/>
      <c r="C947" s="4" t="n"/>
      <c r="D947" s="5" t="n"/>
      <c r="E947" s="3" t="n"/>
      <c r="F947" s="4" t="n"/>
      <c r="G947" s="5" t="n"/>
      <c r="H947" s="3" t="n"/>
      <c r="I947" s="4" t="n"/>
      <c r="J947" s="5" t="n"/>
      <c r="K947" s="3" t="n"/>
      <c r="L947" s="4" t="n"/>
      <c r="M947" s="5" t="n"/>
      <c r="N947" s="3" t="n"/>
      <c r="O947" s="4" t="n"/>
      <c r="P947" s="5" t="n"/>
      <c r="Q947" s="3" t="n"/>
      <c r="R947" s="4" t="n"/>
      <c r="S947" s="5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6">
        <f>IF(C947=0,0,IF(E947="",B947*D947/100,E947))</f>
        <v/>
      </c>
      <c r="AE947" s="6">
        <f>IF(F947=0,0,IF(H947="",B947*G947/100,H947))</f>
        <v/>
      </c>
      <c r="AF947" s="6">
        <f>IF(I947=0,0,IF(K947="",B947*J947/100,K947))</f>
        <v/>
      </c>
      <c r="AG947" s="6">
        <f>IF(L947=0,0,IF(N947="",B947*M947/100,N947))</f>
        <v/>
      </c>
      <c r="AH947" s="6">
        <f>IF(O947=0,0,IF(Q947="",B947*P947/100,Q947))</f>
        <v/>
      </c>
      <c r="AI947" s="6">
        <f>IF(R947=0,0,IF(T947="",B947*S947/100,T947))</f>
        <v/>
      </c>
      <c r="AJ947" s="6">
        <f>B947*0.035</f>
        <v/>
      </c>
      <c r="AK947" s="6">
        <f>B947*0.065</f>
        <v/>
      </c>
      <c r="AL947" s="6">
        <f>SUM(B947,AD947,AE947,AF947,AG947,AH947,AI947,U947,V947,AJ947,AK947)</f>
        <v/>
      </c>
      <c r="AM947" s="6">
        <f>B947*0.055</f>
        <v/>
      </c>
      <c r="AN947" s="6">
        <f>B947*0.035</f>
        <v/>
      </c>
      <c r="AO947" s="6">
        <f>B947*0.165</f>
        <v/>
      </c>
      <c r="AP947" s="6">
        <f>MAX(0,AL947-AM947-AO947)</f>
        <v/>
      </c>
      <c r="AQ947" s="6">
        <f>IF(AP947&lt;=490,0,IF(AP947&lt;=600,(AP947-490)*0.05,IF(AP947&lt;=730,5.5+(AP947-600)*0.10,IF(AP947&lt;=3896.67,18.5+(AP947-730)*0.175,IF(AP947&lt;=19896.67,572.67+(AP947-3896.67)*0.25,IF(AP947&lt;=50416.67,4572.67+(AP947-19896.67)*0.30,13728.67+(AP947-50416.67)*0.35))))))</f>
        <v/>
      </c>
      <c r="AR947" s="6">
        <f>SUM(AM947,AQ947,W947,X947,Y947,Z947,AA947,AN947,AO947)</f>
        <v/>
      </c>
      <c r="AS947" s="6">
        <f>AL947-AR947</f>
        <v/>
      </c>
      <c r="AT947" s="6">
        <f>AB947-AC947</f>
        <v/>
      </c>
    </row>
    <row r="948">
      <c r="A948" s="2" t="n"/>
      <c r="B948" s="3" t="n"/>
      <c r="C948" s="4" t="n"/>
      <c r="D948" s="5" t="n"/>
      <c r="E948" s="3" t="n"/>
      <c r="F948" s="4" t="n"/>
      <c r="G948" s="5" t="n"/>
      <c r="H948" s="3" t="n"/>
      <c r="I948" s="4" t="n"/>
      <c r="J948" s="5" t="n"/>
      <c r="K948" s="3" t="n"/>
      <c r="L948" s="4" t="n"/>
      <c r="M948" s="5" t="n"/>
      <c r="N948" s="3" t="n"/>
      <c r="O948" s="4" t="n"/>
      <c r="P948" s="5" t="n"/>
      <c r="Q948" s="3" t="n"/>
      <c r="R948" s="4" t="n"/>
      <c r="S948" s="5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6">
        <f>IF(C948=0,0,IF(E948="",B948*D948/100,E948))</f>
        <v/>
      </c>
      <c r="AE948" s="6">
        <f>IF(F948=0,0,IF(H948="",B948*G948/100,H948))</f>
        <v/>
      </c>
      <c r="AF948" s="6">
        <f>IF(I948=0,0,IF(K948="",B948*J948/100,K948))</f>
        <v/>
      </c>
      <c r="AG948" s="6">
        <f>IF(L948=0,0,IF(N948="",B948*M948/100,N948))</f>
        <v/>
      </c>
      <c r="AH948" s="6">
        <f>IF(O948=0,0,IF(Q948="",B948*P948/100,Q948))</f>
        <v/>
      </c>
      <c r="AI948" s="6">
        <f>IF(R948=0,0,IF(T948="",B948*S948/100,T948))</f>
        <v/>
      </c>
      <c r="AJ948" s="6">
        <f>B948*0.035</f>
        <v/>
      </c>
      <c r="AK948" s="6">
        <f>B948*0.065</f>
        <v/>
      </c>
      <c r="AL948" s="6">
        <f>SUM(B948,AD948,AE948,AF948,AG948,AH948,AI948,U948,V948,AJ948,AK948)</f>
        <v/>
      </c>
      <c r="AM948" s="6">
        <f>B948*0.055</f>
        <v/>
      </c>
      <c r="AN948" s="6">
        <f>B948*0.035</f>
        <v/>
      </c>
      <c r="AO948" s="6">
        <f>B948*0.165</f>
        <v/>
      </c>
      <c r="AP948" s="6">
        <f>MAX(0,AL948-AM948-AO948)</f>
        <v/>
      </c>
      <c r="AQ948" s="6">
        <f>IF(AP948&lt;=490,0,IF(AP948&lt;=600,(AP948-490)*0.05,IF(AP948&lt;=730,5.5+(AP948-600)*0.10,IF(AP948&lt;=3896.67,18.5+(AP948-730)*0.175,IF(AP948&lt;=19896.67,572.67+(AP948-3896.67)*0.25,IF(AP948&lt;=50416.67,4572.67+(AP948-19896.67)*0.30,13728.67+(AP948-50416.67)*0.35))))))</f>
        <v/>
      </c>
      <c r="AR948" s="6">
        <f>SUM(AM948,AQ948,W948,X948,Y948,Z948,AA948,AN948,AO948)</f>
        <v/>
      </c>
      <c r="AS948" s="6">
        <f>AL948-AR948</f>
        <v/>
      </c>
      <c r="AT948" s="6">
        <f>AB948-AC948</f>
        <v/>
      </c>
    </row>
    <row r="949">
      <c r="A949" s="2" t="n"/>
      <c r="B949" s="3" t="n"/>
      <c r="C949" s="4" t="n"/>
      <c r="D949" s="5" t="n"/>
      <c r="E949" s="3" t="n"/>
      <c r="F949" s="4" t="n"/>
      <c r="G949" s="5" t="n"/>
      <c r="H949" s="3" t="n"/>
      <c r="I949" s="4" t="n"/>
      <c r="J949" s="5" t="n"/>
      <c r="K949" s="3" t="n"/>
      <c r="L949" s="4" t="n"/>
      <c r="M949" s="5" t="n"/>
      <c r="N949" s="3" t="n"/>
      <c r="O949" s="4" t="n"/>
      <c r="P949" s="5" t="n"/>
      <c r="Q949" s="3" t="n"/>
      <c r="R949" s="4" t="n"/>
      <c r="S949" s="5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6">
        <f>IF(C949=0,0,IF(E949="",B949*D949/100,E949))</f>
        <v/>
      </c>
      <c r="AE949" s="6">
        <f>IF(F949=0,0,IF(H949="",B949*G949/100,H949))</f>
        <v/>
      </c>
      <c r="AF949" s="6">
        <f>IF(I949=0,0,IF(K949="",B949*J949/100,K949))</f>
        <v/>
      </c>
      <c r="AG949" s="6">
        <f>IF(L949=0,0,IF(N949="",B949*M949/100,N949))</f>
        <v/>
      </c>
      <c r="AH949" s="6">
        <f>IF(O949=0,0,IF(Q949="",B949*P949/100,Q949))</f>
        <v/>
      </c>
      <c r="AI949" s="6">
        <f>IF(R949=0,0,IF(T949="",B949*S949/100,T949))</f>
        <v/>
      </c>
      <c r="AJ949" s="6">
        <f>B949*0.035</f>
        <v/>
      </c>
      <c r="AK949" s="6">
        <f>B949*0.065</f>
        <v/>
      </c>
      <c r="AL949" s="6">
        <f>SUM(B949,AD949,AE949,AF949,AG949,AH949,AI949,U949,V949,AJ949,AK949)</f>
        <v/>
      </c>
      <c r="AM949" s="6">
        <f>B949*0.055</f>
        <v/>
      </c>
      <c r="AN949" s="6">
        <f>B949*0.035</f>
        <v/>
      </c>
      <c r="AO949" s="6">
        <f>B949*0.165</f>
        <v/>
      </c>
      <c r="AP949" s="6">
        <f>MAX(0,AL949-AM949-AO949)</f>
        <v/>
      </c>
      <c r="AQ949" s="6">
        <f>IF(AP949&lt;=490,0,IF(AP949&lt;=600,(AP949-490)*0.05,IF(AP949&lt;=730,5.5+(AP949-600)*0.10,IF(AP949&lt;=3896.67,18.5+(AP949-730)*0.175,IF(AP949&lt;=19896.67,572.67+(AP949-3896.67)*0.25,IF(AP949&lt;=50416.67,4572.67+(AP949-19896.67)*0.30,13728.67+(AP949-50416.67)*0.35))))))</f>
        <v/>
      </c>
      <c r="AR949" s="6">
        <f>SUM(AM949,AQ949,W949,X949,Y949,Z949,AA949,AN949,AO949)</f>
        <v/>
      </c>
      <c r="AS949" s="6">
        <f>AL949-AR949</f>
        <v/>
      </c>
      <c r="AT949" s="6">
        <f>AB949-AC949</f>
        <v/>
      </c>
    </row>
    <row r="950">
      <c r="A950" s="2" t="n"/>
      <c r="B950" s="3" t="n"/>
      <c r="C950" s="4" t="n"/>
      <c r="D950" s="5" t="n"/>
      <c r="E950" s="3" t="n"/>
      <c r="F950" s="4" t="n"/>
      <c r="G950" s="5" t="n"/>
      <c r="H950" s="3" t="n"/>
      <c r="I950" s="4" t="n"/>
      <c r="J950" s="5" t="n"/>
      <c r="K950" s="3" t="n"/>
      <c r="L950" s="4" t="n"/>
      <c r="M950" s="5" t="n"/>
      <c r="N950" s="3" t="n"/>
      <c r="O950" s="4" t="n"/>
      <c r="P950" s="5" t="n"/>
      <c r="Q950" s="3" t="n"/>
      <c r="R950" s="4" t="n"/>
      <c r="S950" s="5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6">
        <f>IF(C950=0,0,IF(E950="",B950*D950/100,E950))</f>
        <v/>
      </c>
      <c r="AE950" s="6">
        <f>IF(F950=0,0,IF(H950="",B950*G950/100,H950))</f>
        <v/>
      </c>
      <c r="AF950" s="6">
        <f>IF(I950=0,0,IF(K950="",B950*J950/100,K950))</f>
        <v/>
      </c>
      <c r="AG950" s="6">
        <f>IF(L950=0,0,IF(N950="",B950*M950/100,N950))</f>
        <v/>
      </c>
      <c r="AH950" s="6">
        <f>IF(O950=0,0,IF(Q950="",B950*P950/100,Q950))</f>
        <v/>
      </c>
      <c r="AI950" s="6">
        <f>IF(R950=0,0,IF(T950="",B950*S950/100,T950))</f>
        <v/>
      </c>
      <c r="AJ950" s="6">
        <f>B950*0.035</f>
        <v/>
      </c>
      <c r="AK950" s="6">
        <f>B950*0.065</f>
        <v/>
      </c>
      <c r="AL950" s="6">
        <f>SUM(B950,AD950,AE950,AF950,AG950,AH950,AI950,U950,V950,AJ950,AK950)</f>
        <v/>
      </c>
      <c r="AM950" s="6">
        <f>B950*0.055</f>
        <v/>
      </c>
      <c r="AN950" s="6">
        <f>B950*0.035</f>
        <v/>
      </c>
      <c r="AO950" s="6">
        <f>B950*0.165</f>
        <v/>
      </c>
      <c r="AP950" s="6">
        <f>MAX(0,AL950-AM950-AO950)</f>
        <v/>
      </c>
      <c r="AQ950" s="6">
        <f>IF(AP950&lt;=490,0,IF(AP950&lt;=600,(AP950-490)*0.05,IF(AP950&lt;=730,5.5+(AP950-600)*0.10,IF(AP950&lt;=3896.67,18.5+(AP950-730)*0.175,IF(AP950&lt;=19896.67,572.67+(AP950-3896.67)*0.25,IF(AP950&lt;=50416.67,4572.67+(AP950-19896.67)*0.30,13728.67+(AP950-50416.67)*0.35))))))</f>
        <v/>
      </c>
      <c r="AR950" s="6">
        <f>SUM(AM950,AQ950,W950,X950,Y950,Z950,AA950,AN950,AO950)</f>
        <v/>
      </c>
      <c r="AS950" s="6">
        <f>AL950-AR950</f>
        <v/>
      </c>
      <c r="AT950" s="6">
        <f>AB950-AC950</f>
        <v/>
      </c>
    </row>
    <row r="951">
      <c r="A951" s="2" t="n"/>
      <c r="B951" s="3" t="n"/>
      <c r="C951" s="4" t="n"/>
      <c r="D951" s="5" t="n"/>
      <c r="E951" s="3" t="n"/>
      <c r="F951" s="4" t="n"/>
      <c r="G951" s="5" t="n"/>
      <c r="H951" s="3" t="n"/>
      <c r="I951" s="4" t="n"/>
      <c r="J951" s="5" t="n"/>
      <c r="K951" s="3" t="n"/>
      <c r="L951" s="4" t="n"/>
      <c r="M951" s="5" t="n"/>
      <c r="N951" s="3" t="n"/>
      <c r="O951" s="4" t="n"/>
      <c r="P951" s="5" t="n"/>
      <c r="Q951" s="3" t="n"/>
      <c r="R951" s="4" t="n"/>
      <c r="S951" s="5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6">
        <f>IF(C951=0,0,IF(E951="",B951*D951/100,E951))</f>
        <v/>
      </c>
      <c r="AE951" s="6">
        <f>IF(F951=0,0,IF(H951="",B951*G951/100,H951))</f>
        <v/>
      </c>
      <c r="AF951" s="6">
        <f>IF(I951=0,0,IF(K951="",B951*J951/100,K951))</f>
        <v/>
      </c>
      <c r="AG951" s="6">
        <f>IF(L951=0,0,IF(N951="",B951*M951/100,N951))</f>
        <v/>
      </c>
      <c r="AH951" s="6">
        <f>IF(O951=0,0,IF(Q951="",B951*P951/100,Q951))</f>
        <v/>
      </c>
      <c r="AI951" s="6">
        <f>IF(R951=0,0,IF(T951="",B951*S951/100,T951))</f>
        <v/>
      </c>
      <c r="AJ951" s="6">
        <f>B951*0.035</f>
        <v/>
      </c>
      <c r="AK951" s="6">
        <f>B951*0.065</f>
        <v/>
      </c>
      <c r="AL951" s="6">
        <f>SUM(B951,AD951,AE951,AF951,AG951,AH951,AI951,U951,V951,AJ951,AK951)</f>
        <v/>
      </c>
      <c r="AM951" s="6">
        <f>B951*0.055</f>
        <v/>
      </c>
      <c r="AN951" s="6">
        <f>B951*0.035</f>
        <v/>
      </c>
      <c r="AO951" s="6">
        <f>B951*0.165</f>
        <v/>
      </c>
      <c r="AP951" s="6">
        <f>MAX(0,AL951-AM951-AO951)</f>
        <v/>
      </c>
      <c r="AQ951" s="6">
        <f>IF(AP951&lt;=490,0,IF(AP951&lt;=600,(AP951-490)*0.05,IF(AP951&lt;=730,5.5+(AP951-600)*0.10,IF(AP951&lt;=3896.67,18.5+(AP951-730)*0.175,IF(AP951&lt;=19896.67,572.67+(AP951-3896.67)*0.25,IF(AP951&lt;=50416.67,4572.67+(AP951-19896.67)*0.30,13728.67+(AP951-50416.67)*0.35))))))</f>
        <v/>
      </c>
      <c r="AR951" s="6">
        <f>SUM(AM951,AQ951,W951,X951,Y951,Z951,AA951,AN951,AO951)</f>
        <v/>
      </c>
      <c r="AS951" s="6">
        <f>AL951-AR951</f>
        <v/>
      </c>
      <c r="AT951" s="6">
        <f>AB951-AC951</f>
        <v/>
      </c>
    </row>
    <row r="952">
      <c r="A952" s="2" t="n"/>
      <c r="B952" s="3" t="n"/>
      <c r="C952" s="4" t="n"/>
      <c r="D952" s="5" t="n"/>
      <c r="E952" s="3" t="n"/>
      <c r="F952" s="4" t="n"/>
      <c r="G952" s="5" t="n"/>
      <c r="H952" s="3" t="n"/>
      <c r="I952" s="4" t="n"/>
      <c r="J952" s="5" t="n"/>
      <c r="K952" s="3" t="n"/>
      <c r="L952" s="4" t="n"/>
      <c r="M952" s="5" t="n"/>
      <c r="N952" s="3" t="n"/>
      <c r="O952" s="4" t="n"/>
      <c r="P952" s="5" t="n"/>
      <c r="Q952" s="3" t="n"/>
      <c r="R952" s="4" t="n"/>
      <c r="S952" s="5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6">
        <f>IF(C952=0,0,IF(E952="",B952*D952/100,E952))</f>
        <v/>
      </c>
      <c r="AE952" s="6">
        <f>IF(F952=0,0,IF(H952="",B952*G952/100,H952))</f>
        <v/>
      </c>
      <c r="AF952" s="6">
        <f>IF(I952=0,0,IF(K952="",B952*J952/100,K952))</f>
        <v/>
      </c>
      <c r="AG952" s="6">
        <f>IF(L952=0,0,IF(N952="",B952*M952/100,N952))</f>
        <v/>
      </c>
      <c r="AH952" s="6">
        <f>IF(O952=0,0,IF(Q952="",B952*P952/100,Q952))</f>
        <v/>
      </c>
      <c r="AI952" s="6">
        <f>IF(R952=0,0,IF(T952="",B952*S952/100,T952))</f>
        <v/>
      </c>
      <c r="AJ952" s="6">
        <f>B952*0.035</f>
        <v/>
      </c>
      <c r="AK952" s="6">
        <f>B952*0.065</f>
        <v/>
      </c>
      <c r="AL952" s="6">
        <f>SUM(B952,AD952,AE952,AF952,AG952,AH952,AI952,U952,V952,AJ952,AK952)</f>
        <v/>
      </c>
      <c r="AM952" s="6">
        <f>B952*0.055</f>
        <v/>
      </c>
      <c r="AN952" s="6">
        <f>B952*0.035</f>
        <v/>
      </c>
      <c r="AO952" s="6">
        <f>B952*0.165</f>
        <v/>
      </c>
      <c r="AP952" s="6">
        <f>MAX(0,AL952-AM952-AO952)</f>
        <v/>
      </c>
      <c r="AQ952" s="6">
        <f>IF(AP952&lt;=490,0,IF(AP952&lt;=600,(AP952-490)*0.05,IF(AP952&lt;=730,5.5+(AP952-600)*0.10,IF(AP952&lt;=3896.67,18.5+(AP952-730)*0.175,IF(AP952&lt;=19896.67,572.67+(AP952-3896.67)*0.25,IF(AP952&lt;=50416.67,4572.67+(AP952-19896.67)*0.30,13728.67+(AP952-50416.67)*0.35))))))</f>
        <v/>
      </c>
      <c r="AR952" s="6">
        <f>SUM(AM952,AQ952,W952,X952,Y952,Z952,AA952,AN952,AO952)</f>
        <v/>
      </c>
      <c r="AS952" s="6">
        <f>AL952-AR952</f>
        <v/>
      </c>
      <c r="AT952" s="6">
        <f>AB952-AC952</f>
        <v/>
      </c>
    </row>
    <row r="953">
      <c r="A953" s="2" t="n"/>
      <c r="B953" s="3" t="n"/>
      <c r="C953" s="4" t="n"/>
      <c r="D953" s="5" t="n"/>
      <c r="E953" s="3" t="n"/>
      <c r="F953" s="4" t="n"/>
      <c r="G953" s="5" t="n"/>
      <c r="H953" s="3" t="n"/>
      <c r="I953" s="4" t="n"/>
      <c r="J953" s="5" t="n"/>
      <c r="K953" s="3" t="n"/>
      <c r="L953" s="4" t="n"/>
      <c r="M953" s="5" t="n"/>
      <c r="N953" s="3" t="n"/>
      <c r="O953" s="4" t="n"/>
      <c r="P953" s="5" t="n"/>
      <c r="Q953" s="3" t="n"/>
      <c r="R953" s="4" t="n"/>
      <c r="S953" s="5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6">
        <f>IF(C953=0,0,IF(E953="",B953*D953/100,E953))</f>
        <v/>
      </c>
      <c r="AE953" s="6">
        <f>IF(F953=0,0,IF(H953="",B953*G953/100,H953))</f>
        <v/>
      </c>
      <c r="AF953" s="6">
        <f>IF(I953=0,0,IF(K953="",B953*J953/100,K953))</f>
        <v/>
      </c>
      <c r="AG953" s="6">
        <f>IF(L953=0,0,IF(N953="",B953*M953/100,N953))</f>
        <v/>
      </c>
      <c r="AH953" s="6">
        <f>IF(O953=0,0,IF(Q953="",B953*P953/100,Q953))</f>
        <v/>
      </c>
      <c r="AI953" s="6">
        <f>IF(R953=0,0,IF(T953="",B953*S953/100,T953))</f>
        <v/>
      </c>
      <c r="AJ953" s="6">
        <f>B953*0.035</f>
        <v/>
      </c>
      <c r="AK953" s="6">
        <f>B953*0.065</f>
        <v/>
      </c>
      <c r="AL953" s="6">
        <f>SUM(B953,AD953,AE953,AF953,AG953,AH953,AI953,U953,V953,AJ953,AK953)</f>
        <v/>
      </c>
      <c r="AM953" s="6">
        <f>B953*0.055</f>
        <v/>
      </c>
      <c r="AN953" s="6">
        <f>B953*0.035</f>
        <v/>
      </c>
      <c r="AO953" s="6">
        <f>B953*0.165</f>
        <v/>
      </c>
      <c r="AP953" s="6">
        <f>MAX(0,AL953-AM953-AO953)</f>
        <v/>
      </c>
      <c r="AQ953" s="6">
        <f>IF(AP953&lt;=490,0,IF(AP953&lt;=600,(AP953-490)*0.05,IF(AP953&lt;=730,5.5+(AP953-600)*0.10,IF(AP953&lt;=3896.67,18.5+(AP953-730)*0.175,IF(AP953&lt;=19896.67,572.67+(AP953-3896.67)*0.25,IF(AP953&lt;=50416.67,4572.67+(AP953-19896.67)*0.30,13728.67+(AP953-50416.67)*0.35))))))</f>
        <v/>
      </c>
      <c r="AR953" s="6">
        <f>SUM(AM953,AQ953,W953,X953,Y953,Z953,AA953,AN953,AO953)</f>
        <v/>
      </c>
      <c r="AS953" s="6">
        <f>AL953-AR953</f>
        <v/>
      </c>
      <c r="AT953" s="6">
        <f>AB953-AC953</f>
        <v/>
      </c>
    </row>
    <row r="954">
      <c r="A954" s="2" t="n"/>
      <c r="B954" s="3" t="n"/>
      <c r="C954" s="4" t="n"/>
      <c r="D954" s="5" t="n"/>
      <c r="E954" s="3" t="n"/>
      <c r="F954" s="4" t="n"/>
      <c r="G954" s="5" t="n"/>
      <c r="H954" s="3" t="n"/>
      <c r="I954" s="4" t="n"/>
      <c r="J954" s="5" t="n"/>
      <c r="K954" s="3" t="n"/>
      <c r="L954" s="4" t="n"/>
      <c r="M954" s="5" t="n"/>
      <c r="N954" s="3" t="n"/>
      <c r="O954" s="4" t="n"/>
      <c r="P954" s="5" t="n"/>
      <c r="Q954" s="3" t="n"/>
      <c r="R954" s="4" t="n"/>
      <c r="S954" s="5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6">
        <f>IF(C954=0,0,IF(E954="",B954*D954/100,E954))</f>
        <v/>
      </c>
      <c r="AE954" s="6">
        <f>IF(F954=0,0,IF(H954="",B954*G954/100,H954))</f>
        <v/>
      </c>
      <c r="AF954" s="6">
        <f>IF(I954=0,0,IF(K954="",B954*J954/100,K954))</f>
        <v/>
      </c>
      <c r="AG954" s="6">
        <f>IF(L954=0,0,IF(N954="",B954*M954/100,N954))</f>
        <v/>
      </c>
      <c r="AH954" s="6">
        <f>IF(O954=0,0,IF(Q954="",B954*P954/100,Q954))</f>
        <v/>
      </c>
      <c r="AI954" s="6">
        <f>IF(R954=0,0,IF(T954="",B954*S954/100,T954))</f>
        <v/>
      </c>
      <c r="AJ954" s="6">
        <f>B954*0.035</f>
        <v/>
      </c>
      <c r="AK954" s="6">
        <f>B954*0.065</f>
        <v/>
      </c>
      <c r="AL954" s="6">
        <f>SUM(B954,AD954,AE954,AF954,AG954,AH954,AI954,U954,V954,AJ954,AK954)</f>
        <v/>
      </c>
      <c r="AM954" s="6">
        <f>B954*0.055</f>
        <v/>
      </c>
      <c r="AN954" s="6">
        <f>B954*0.035</f>
        <v/>
      </c>
      <c r="AO954" s="6">
        <f>B954*0.165</f>
        <v/>
      </c>
      <c r="AP954" s="6">
        <f>MAX(0,AL954-AM954-AO954)</f>
        <v/>
      </c>
      <c r="AQ954" s="6">
        <f>IF(AP954&lt;=490,0,IF(AP954&lt;=600,(AP954-490)*0.05,IF(AP954&lt;=730,5.5+(AP954-600)*0.10,IF(AP954&lt;=3896.67,18.5+(AP954-730)*0.175,IF(AP954&lt;=19896.67,572.67+(AP954-3896.67)*0.25,IF(AP954&lt;=50416.67,4572.67+(AP954-19896.67)*0.30,13728.67+(AP954-50416.67)*0.35))))))</f>
        <v/>
      </c>
      <c r="AR954" s="6">
        <f>SUM(AM954,AQ954,W954,X954,Y954,Z954,AA954,AN954,AO954)</f>
        <v/>
      </c>
      <c r="AS954" s="6">
        <f>AL954-AR954</f>
        <v/>
      </c>
      <c r="AT954" s="6">
        <f>AB954-AC954</f>
        <v/>
      </c>
    </row>
    <row r="955">
      <c r="A955" s="2" t="n"/>
      <c r="B955" s="3" t="n"/>
      <c r="C955" s="4" t="n"/>
      <c r="D955" s="5" t="n"/>
      <c r="E955" s="3" t="n"/>
      <c r="F955" s="4" t="n"/>
      <c r="G955" s="5" t="n"/>
      <c r="H955" s="3" t="n"/>
      <c r="I955" s="4" t="n"/>
      <c r="J955" s="5" t="n"/>
      <c r="K955" s="3" t="n"/>
      <c r="L955" s="4" t="n"/>
      <c r="M955" s="5" t="n"/>
      <c r="N955" s="3" t="n"/>
      <c r="O955" s="4" t="n"/>
      <c r="P955" s="5" t="n"/>
      <c r="Q955" s="3" t="n"/>
      <c r="R955" s="4" t="n"/>
      <c r="S955" s="5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6">
        <f>IF(C955=0,0,IF(E955="",B955*D955/100,E955))</f>
        <v/>
      </c>
      <c r="AE955" s="6">
        <f>IF(F955=0,0,IF(H955="",B955*G955/100,H955))</f>
        <v/>
      </c>
      <c r="AF955" s="6">
        <f>IF(I955=0,0,IF(K955="",B955*J955/100,K955))</f>
        <v/>
      </c>
      <c r="AG955" s="6">
        <f>IF(L955=0,0,IF(N955="",B955*M955/100,N955))</f>
        <v/>
      </c>
      <c r="AH955" s="6">
        <f>IF(O955=0,0,IF(Q955="",B955*P955/100,Q955))</f>
        <v/>
      </c>
      <c r="AI955" s="6">
        <f>IF(R955=0,0,IF(T955="",B955*S955/100,T955))</f>
        <v/>
      </c>
      <c r="AJ955" s="6">
        <f>B955*0.035</f>
        <v/>
      </c>
      <c r="AK955" s="6">
        <f>B955*0.065</f>
        <v/>
      </c>
      <c r="AL955" s="6">
        <f>SUM(B955,AD955,AE955,AF955,AG955,AH955,AI955,U955,V955,AJ955,AK955)</f>
        <v/>
      </c>
      <c r="AM955" s="6">
        <f>B955*0.055</f>
        <v/>
      </c>
      <c r="AN955" s="6">
        <f>B955*0.035</f>
        <v/>
      </c>
      <c r="AO955" s="6">
        <f>B955*0.165</f>
        <v/>
      </c>
      <c r="AP955" s="6">
        <f>MAX(0,AL955-AM955-AO955)</f>
        <v/>
      </c>
      <c r="AQ955" s="6">
        <f>IF(AP955&lt;=490,0,IF(AP955&lt;=600,(AP955-490)*0.05,IF(AP955&lt;=730,5.5+(AP955-600)*0.10,IF(AP955&lt;=3896.67,18.5+(AP955-730)*0.175,IF(AP955&lt;=19896.67,572.67+(AP955-3896.67)*0.25,IF(AP955&lt;=50416.67,4572.67+(AP955-19896.67)*0.30,13728.67+(AP955-50416.67)*0.35))))))</f>
        <v/>
      </c>
      <c r="AR955" s="6">
        <f>SUM(AM955,AQ955,W955,X955,Y955,Z955,AA955,AN955,AO955)</f>
        <v/>
      </c>
      <c r="AS955" s="6">
        <f>AL955-AR955</f>
        <v/>
      </c>
      <c r="AT955" s="6">
        <f>AB955-AC955</f>
        <v/>
      </c>
    </row>
    <row r="956">
      <c r="A956" s="2" t="n"/>
      <c r="B956" s="3" t="n"/>
      <c r="C956" s="4" t="n"/>
      <c r="D956" s="5" t="n"/>
      <c r="E956" s="3" t="n"/>
      <c r="F956" s="4" t="n"/>
      <c r="G956" s="5" t="n"/>
      <c r="H956" s="3" t="n"/>
      <c r="I956" s="4" t="n"/>
      <c r="J956" s="5" t="n"/>
      <c r="K956" s="3" t="n"/>
      <c r="L956" s="4" t="n"/>
      <c r="M956" s="5" t="n"/>
      <c r="N956" s="3" t="n"/>
      <c r="O956" s="4" t="n"/>
      <c r="P956" s="5" t="n"/>
      <c r="Q956" s="3" t="n"/>
      <c r="R956" s="4" t="n"/>
      <c r="S956" s="5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6">
        <f>IF(C956=0,0,IF(E956="",B956*D956/100,E956))</f>
        <v/>
      </c>
      <c r="AE956" s="6">
        <f>IF(F956=0,0,IF(H956="",B956*G956/100,H956))</f>
        <v/>
      </c>
      <c r="AF956" s="6">
        <f>IF(I956=0,0,IF(K956="",B956*J956/100,K956))</f>
        <v/>
      </c>
      <c r="AG956" s="6">
        <f>IF(L956=0,0,IF(N956="",B956*M956/100,N956))</f>
        <v/>
      </c>
      <c r="AH956" s="6">
        <f>IF(O956=0,0,IF(Q956="",B956*P956/100,Q956))</f>
        <v/>
      </c>
      <c r="AI956" s="6">
        <f>IF(R956=0,0,IF(T956="",B956*S956/100,T956))</f>
        <v/>
      </c>
      <c r="AJ956" s="6">
        <f>B956*0.035</f>
        <v/>
      </c>
      <c r="AK956" s="6">
        <f>B956*0.065</f>
        <v/>
      </c>
      <c r="AL956" s="6">
        <f>SUM(B956,AD956,AE956,AF956,AG956,AH956,AI956,U956,V956,AJ956,AK956)</f>
        <v/>
      </c>
      <c r="AM956" s="6">
        <f>B956*0.055</f>
        <v/>
      </c>
      <c r="AN956" s="6">
        <f>B956*0.035</f>
        <v/>
      </c>
      <c r="AO956" s="6">
        <f>B956*0.165</f>
        <v/>
      </c>
      <c r="AP956" s="6">
        <f>MAX(0,AL956-AM956-AO956)</f>
        <v/>
      </c>
      <c r="AQ956" s="6">
        <f>IF(AP956&lt;=490,0,IF(AP956&lt;=600,(AP956-490)*0.05,IF(AP956&lt;=730,5.5+(AP956-600)*0.10,IF(AP956&lt;=3896.67,18.5+(AP956-730)*0.175,IF(AP956&lt;=19896.67,572.67+(AP956-3896.67)*0.25,IF(AP956&lt;=50416.67,4572.67+(AP956-19896.67)*0.30,13728.67+(AP956-50416.67)*0.35))))))</f>
        <v/>
      </c>
      <c r="AR956" s="6">
        <f>SUM(AM956,AQ956,W956,X956,Y956,Z956,AA956,AN956,AO956)</f>
        <v/>
      </c>
      <c r="AS956" s="6">
        <f>AL956-AR956</f>
        <v/>
      </c>
      <c r="AT956" s="6">
        <f>AB956-AC956</f>
        <v/>
      </c>
    </row>
    <row r="957">
      <c r="A957" s="2" t="n"/>
      <c r="B957" s="3" t="n"/>
      <c r="C957" s="4" t="n"/>
      <c r="D957" s="5" t="n"/>
      <c r="E957" s="3" t="n"/>
      <c r="F957" s="4" t="n"/>
      <c r="G957" s="5" t="n"/>
      <c r="H957" s="3" t="n"/>
      <c r="I957" s="4" t="n"/>
      <c r="J957" s="5" t="n"/>
      <c r="K957" s="3" t="n"/>
      <c r="L957" s="4" t="n"/>
      <c r="M957" s="5" t="n"/>
      <c r="N957" s="3" t="n"/>
      <c r="O957" s="4" t="n"/>
      <c r="P957" s="5" t="n"/>
      <c r="Q957" s="3" t="n"/>
      <c r="R957" s="4" t="n"/>
      <c r="S957" s="5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6">
        <f>IF(C957=0,0,IF(E957="",B957*D957/100,E957))</f>
        <v/>
      </c>
      <c r="AE957" s="6">
        <f>IF(F957=0,0,IF(H957="",B957*G957/100,H957))</f>
        <v/>
      </c>
      <c r="AF957" s="6">
        <f>IF(I957=0,0,IF(K957="",B957*J957/100,K957))</f>
        <v/>
      </c>
      <c r="AG957" s="6">
        <f>IF(L957=0,0,IF(N957="",B957*M957/100,N957))</f>
        <v/>
      </c>
      <c r="AH957" s="6">
        <f>IF(O957=0,0,IF(Q957="",B957*P957/100,Q957))</f>
        <v/>
      </c>
      <c r="AI957" s="6">
        <f>IF(R957=0,0,IF(T957="",B957*S957/100,T957))</f>
        <v/>
      </c>
      <c r="AJ957" s="6">
        <f>B957*0.035</f>
        <v/>
      </c>
      <c r="AK957" s="6">
        <f>B957*0.065</f>
        <v/>
      </c>
      <c r="AL957" s="6">
        <f>SUM(B957,AD957,AE957,AF957,AG957,AH957,AI957,U957,V957,AJ957,AK957)</f>
        <v/>
      </c>
      <c r="AM957" s="6">
        <f>B957*0.055</f>
        <v/>
      </c>
      <c r="AN957" s="6">
        <f>B957*0.035</f>
        <v/>
      </c>
      <c r="AO957" s="6">
        <f>B957*0.165</f>
        <v/>
      </c>
      <c r="AP957" s="6">
        <f>MAX(0,AL957-AM957-AO957)</f>
        <v/>
      </c>
      <c r="AQ957" s="6">
        <f>IF(AP957&lt;=490,0,IF(AP957&lt;=600,(AP957-490)*0.05,IF(AP957&lt;=730,5.5+(AP957-600)*0.10,IF(AP957&lt;=3896.67,18.5+(AP957-730)*0.175,IF(AP957&lt;=19896.67,572.67+(AP957-3896.67)*0.25,IF(AP957&lt;=50416.67,4572.67+(AP957-19896.67)*0.30,13728.67+(AP957-50416.67)*0.35))))))</f>
        <v/>
      </c>
      <c r="AR957" s="6">
        <f>SUM(AM957,AQ957,W957,X957,Y957,Z957,AA957,AN957,AO957)</f>
        <v/>
      </c>
      <c r="AS957" s="6">
        <f>AL957-AR957</f>
        <v/>
      </c>
      <c r="AT957" s="6">
        <f>AB957-AC957</f>
        <v/>
      </c>
    </row>
    <row r="958">
      <c r="A958" s="2" t="n"/>
      <c r="B958" s="3" t="n"/>
      <c r="C958" s="4" t="n"/>
      <c r="D958" s="5" t="n"/>
      <c r="E958" s="3" t="n"/>
      <c r="F958" s="4" t="n"/>
      <c r="G958" s="5" t="n"/>
      <c r="H958" s="3" t="n"/>
      <c r="I958" s="4" t="n"/>
      <c r="J958" s="5" t="n"/>
      <c r="K958" s="3" t="n"/>
      <c r="L958" s="4" t="n"/>
      <c r="M958" s="5" t="n"/>
      <c r="N958" s="3" t="n"/>
      <c r="O958" s="4" t="n"/>
      <c r="P958" s="5" t="n"/>
      <c r="Q958" s="3" t="n"/>
      <c r="R958" s="4" t="n"/>
      <c r="S958" s="5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6">
        <f>IF(C958=0,0,IF(E958="",B958*D958/100,E958))</f>
        <v/>
      </c>
      <c r="AE958" s="6">
        <f>IF(F958=0,0,IF(H958="",B958*G958/100,H958))</f>
        <v/>
      </c>
      <c r="AF958" s="6">
        <f>IF(I958=0,0,IF(K958="",B958*J958/100,K958))</f>
        <v/>
      </c>
      <c r="AG958" s="6">
        <f>IF(L958=0,0,IF(N958="",B958*M958/100,N958))</f>
        <v/>
      </c>
      <c r="AH958" s="6">
        <f>IF(O958=0,0,IF(Q958="",B958*P958/100,Q958))</f>
        <v/>
      </c>
      <c r="AI958" s="6">
        <f>IF(R958=0,0,IF(T958="",B958*S958/100,T958))</f>
        <v/>
      </c>
      <c r="AJ958" s="6">
        <f>B958*0.035</f>
        <v/>
      </c>
      <c r="AK958" s="6">
        <f>B958*0.065</f>
        <v/>
      </c>
      <c r="AL958" s="6">
        <f>SUM(B958,AD958,AE958,AF958,AG958,AH958,AI958,U958,V958,AJ958,AK958)</f>
        <v/>
      </c>
      <c r="AM958" s="6">
        <f>B958*0.055</f>
        <v/>
      </c>
      <c r="AN958" s="6">
        <f>B958*0.035</f>
        <v/>
      </c>
      <c r="AO958" s="6">
        <f>B958*0.165</f>
        <v/>
      </c>
      <c r="AP958" s="6">
        <f>MAX(0,AL958-AM958-AO958)</f>
        <v/>
      </c>
      <c r="AQ958" s="6">
        <f>IF(AP958&lt;=490,0,IF(AP958&lt;=600,(AP958-490)*0.05,IF(AP958&lt;=730,5.5+(AP958-600)*0.10,IF(AP958&lt;=3896.67,18.5+(AP958-730)*0.175,IF(AP958&lt;=19896.67,572.67+(AP958-3896.67)*0.25,IF(AP958&lt;=50416.67,4572.67+(AP958-19896.67)*0.30,13728.67+(AP958-50416.67)*0.35))))))</f>
        <v/>
      </c>
      <c r="AR958" s="6">
        <f>SUM(AM958,AQ958,W958,X958,Y958,Z958,AA958,AN958,AO958)</f>
        <v/>
      </c>
      <c r="AS958" s="6">
        <f>AL958-AR958</f>
        <v/>
      </c>
      <c r="AT958" s="6">
        <f>AB958-AC958</f>
        <v/>
      </c>
    </row>
    <row r="959">
      <c r="A959" s="2" t="n"/>
      <c r="B959" s="3" t="n"/>
      <c r="C959" s="4" t="n"/>
      <c r="D959" s="5" t="n"/>
      <c r="E959" s="3" t="n"/>
      <c r="F959" s="4" t="n"/>
      <c r="G959" s="5" t="n"/>
      <c r="H959" s="3" t="n"/>
      <c r="I959" s="4" t="n"/>
      <c r="J959" s="5" t="n"/>
      <c r="K959" s="3" t="n"/>
      <c r="L959" s="4" t="n"/>
      <c r="M959" s="5" t="n"/>
      <c r="N959" s="3" t="n"/>
      <c r="O959" s="4" t="n"/>
      <c r="P959" s="5" t="n"/>
      <c r="Q959" s="3" t="n"/>
      <c r="R959" s="4" t="n"/>
      <c r="S959" s="5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6">
        <f>IF(C959=0,0,IF(E959="",B959*D959/100,E959))</f>
        <v/>
      </c>
      <c r="AE959" s="6">
        <f>IF(F959=0,0,IF(H959="",B959*G959/100,H959))</f>
        <v/>
      </c>
      <c r="AF959" s="6">
        <f>IF(I959=0,0,IF(K959="",B959*J959/100,K959))</f>
        <v/>
      </c>
      <c r="AG959" s="6">
        <f>IF(L959=0,0,IF(N959="",B959*M959/100,N959))</f>
        <v/>
      </c>
      <c r="AH959" s="6">
        <f>IF(O959=0,0,IF(Q959="",B959*P959/100,Q959))</f>
        <v/>
      </c>
      <c r="AI959" s="6">
        <f>IF(R959=0,0,IF(T959="",B959*S959/100,T959))</f>
        <v/>
      </c>
      <c r="AJ959" s="6">
        <f>B959*0.035</f>
        <v/>
      </c>
      <c r="AK959" s="6">
        <f>B959*0.065</f>
        <v/>
      </c>
      <c r="AL959" s="6">
        <f>SUM(B959,AD959,AE959,AF959,AG959,AH959,AI959,U959,V959,AJ959,AK959)</f>
        <v/>
      </c>
      <c r="AM959" s="6">
        <f>B959*0.055</f>
        <v/>
      </c>
      <c r="AN959" s="6">
        <f>B959*0.035</f>
        <v/>
      </c>
      <c r="AO959" s="6">
        <f>B959*0.165</f>
        <v/>
      </c>
      <c r="AP959" s="6">
        <f>MAX(0,AL959-AM959-AO959)</f>
        <v/>
      </c>
      <c r="AQ959" s="6">
        <f>IF(AP959&lt;=490,0,IF(AP959&lt;=600,(AP959-490)*0.05,IF(AP959&lt;=730,5.5+(AP959-600)*0.10,IF(AP959&lt;=3896.67,18.5+(AP959-730)*0.175,IF(AP959&lt;=19896.67,572.67+(AP959-3896.67)*0.25,IF(AP959&lt;=50416.67,4572.67+(AP959-19896.67)*0.30,13728.67+(AP959-50416.67)*0.35))))))</f>
        <v/>
      </c>
      <c r="AR959" s="6">
        <f>SUM(AM959,AQ959,W959,X959,Y959,Z959,AA959,AN959,AO959)</f>
        <v/>
      </c>
      <c r="AS959" s="6">
        <f>AL959-AR959</f>
        <v/>
      </c>
      <c r="AT959" s="6">
        <f>AB959-AC959</f>
        <v/>
      </c>
    </row>
    <row r="960">
      <c r="A960" s="2" t="n"/>
      <c r="B960" s="3" t="n"/>
      <c r="C960" s="4" t="n"/>
      <c r="D960" s="5" t="n"/>
      <c r="E960" s="3" t="n"/>
      <c r="F960" s="4" t="n"/>
      <c r="G960" s="5" t="n"/>
      <c r="H960" s="3" t="n"/>
      <c r="I960" s="4" t="n"/>
      <c r="J960" s="5" t="n"/>
      <c r="K960" s="3" t="n"/>
      <c r="L960" s="4" t="n"/>
      <c r="M960" s="5" t="n"/>
      <c r="N960" s="3" t="n"/>
      <c r="O960" s="4" t="n"/>
      <c r="P960" s="5" t="n"/>
      <c r="Q960" s="3" t="n"/>
      <c r="R960" s="4" t="n"/>
      <c r="S960" s="5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6">
        <f>IF(C960=0,0,IF(E960="",B960*D960/100,E960))</f>
        <v/>
      </c>
      <c r="AE960" s="6">
        <f>IF(F960=0,0,IF(H960="",B960*G960/100,H960))</f>
        <v/>
      </c>
      <c r="AF960" s="6">
        <f>IF(I960=0,0,IF(K960="",B960*J960/100,K960))</f>
        <v/>
      </c>
      <c r="AG960" s="6">
        <f>IF(L960=0,0,IF(N960="",B960*M960/100,N960))</f>
        <v/>
      </c>
      <c r="AH960" s="6">
        <f>IF(O960=0,0,IF(Q960="",B960*P960/100,Q960))</f>
        <v/>
      </c>
      <c r="AI960" s="6">
        <f>IF(R960=0,0,IF(T960="",B960*S960/100,T960))</f>
        <v/>
      </c>
      <c r="AJ960" s="6">
        <f>B960*0.035</f>
        <v/>
      </c>
      <c r="AK960" s="6">
        <f>B960*0.065</f>
        <v/>
      </c>
      <c r="AL960" s="6">
        <f>SUM(B960,AD960,AE960,AF960,AG960,AH960,AI960,U960,V960,AJ960,AK960)</f>
        <v/>
      </c>
      <c r="AM960" s="6">
        <f>B960*0.055</f>
        <v/>
      </c>
      <c r="AN960" s="6">
        <f>B960*0.035</f>
        <v/>
      </c>
      <c r="AO960" s="6">
        <f>B960*0.165</f>
        <v/>
      </c>
      <c r="AP960" s="6">
        <f>MAX(0,AL960-AM960-AO960)</f>
        <v/>
      </c>
      <c r="AQ960" s="6">
        <f>IF(AP960&lt;=490,0,IF(AP960&lt;=600,(AP960-490)*0.05,IF(AP960&lt;=730,5.5+(AP960-600)*0.10,IF(AP960&lt;=3896.67,18.5+(AP960-730)*0.175,IF(AP960&lt;=19896.67,572.67+(AP960-3896.67)*0.25,IF(AP960&lt;=50416.67,4572.67+(AP960-19896.67)*0.30,13728.67+(AP960-50416.67)*0.35))))))</f>
        <v/>
      </c>
      <c r="AR960" s="6">
        <f>SUM(AM960,AQ960,W960,X960,Y960,Z960,AA960,AN960,AO960)</f>
        <v/>
      </c>
      <c r="AS960" s="6">
        <f>AL960-AR960</f>
        <v/>
      </c>
      <c r="AT960" s="6">
        <f>AB960-AC960</f>
        <v/>
      </c>
    </row>
    <row r="961">
      <c r="A961" s="2" t="n"/>
      <c r="B961" s="3" t="n"/>
      <c r="C961" s="4" t="n"/>
      <c r="D961" s="5" t="n"/>
      <c r="E961" s="3" t="n"/>
      <c r="F961" s="4" t="n"/>
      <c r="G961" s="5" t="n"/>
      <c r="H961" s="3" t="n"/>
      <c r="I961" s="4" t="n"/>
      <c r="J961" s="5" t="n"/>
      <c r="K961" s="3" t="n"/>
      <c r="L961" s="4" t="n"/>
      <c r="M961" s="5" t="n"/>
      <c r="N961" s="3" t="n"/>
      <c r="O961" s="4" t="n"/>
      <c r="P961" s="5" t="n"/>
      <c r="Q961" s="3" t="n"/>
      <c r="R961" s="4" t="n"/>
      <c r="S961" s="5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6">
        <f>IF(C961=0,0,IF(E961="",B961*D961/100,E961))</f>
        <v/>
      </c>
      <c r="AE961" s="6">
        <f>IF(F961=0,0,IF(H961="",B961*G961/100,H961))</f>
        <v/>
      </c>
      <c r="AF961" s="6">
        <f>IF(I961=0,0,IF(K961="",B961*J961/100,K961))</f>
        <v/>
      </c>
      <c r="AG961" s="6">
        <f>IF(L961=0,0,IF(N961="",B961*M961/100,N961))</f>
        <v/>
      </c>
      <c r="AH961" s="6">
        <f>IF(O961=0,0,IF(Q961="",B961*P961/100,Q961))</f>
        <v/>
      </c>
      <c r="AI961" s="6">
        <f>IF(R961=0,0,IF(T961="",B961*S961/100,T961))</f>
        <v/>
      </c>
      <c r="AJ961" s="6">
        <f>B961*0.035</f>
        <v/>
      </c>
      <c r="AK961" s="6">
        <f>B961*0.065</f>
        <v/>
      </c>
      <c r="AL961" s="6">
        <f>SUM(B961,AD961,AE961,AF961,AG961,AH961,AI961,U961,V961,AJ961,AK961)</f>
        <v/>
      </c>
      <c r="AM961" s="6">
        <f>B961*0.055</f>
        <v/>
      </c>
      <c r="AN961" s="6">
        <f>B961*0.035</f>
        <v/>
      </c>
      <c r="AO961" s="6">
        <f>B961*0.165</f>
        <v/>
      </c>
      <c r="AP961" s="6">
        <f>MAX(0,AL961-AM961-AO961)</f>
        <v/>
      </c>
      <c r="AQ961" s="6">
        <f>IF(AP961&lt;=490,0,IF(AP961&lt;=600,(AP961-490)*0.05,IF(AP961&lt;=730,5.5+(AP961-600)*0.10,IF(AP961&lt;=3896.67,18.5+(AP961-730)*0.175,IF(AP961&lt;=19896.67,572.67+(AP961-3896.67)*0.25,IF(AP961&lt;=50416.67,4572.67+(AP961-19896.67)*0.30,13728.67+(AP961-50416.67)*0.35))))))</f>
        <v/>
      </c>
      <c r="AR961" s="6">
        <f>SUM(AM961,AQ961,W961,X961,Y961,Z961,AA961,AN961,AO961)</f>
        <v/>
      </c>
      <c r="AS961" s="6">
        <f>AL961-AR961</f>
        <v/>
      </c>
      <c r="AT961" s="6">
        <f>AB961-AC961</f>
        <v/>
      </c>
    </row>
    <row r="962">
      <c r="A962" s="2" t="n"/>
      <c r="B962" s="3" t="n"/>
      <c r="C962" s="4" t="n"/>
      <c r="D962" s="5" t="n"/>
      <c r="E962" s="3" t="n"/>
      <c r="F962" s="4" t="n"/>
      <c r="G962" s="5" t="n"/>
      <c r="H962" s="3" t="n"/>
      <c r="I962" s="4" t="n"/>
      <c r="J962" s="5" t="n"/>
      <c r="K962" s="3" t="n"/>
      <c r="L962" s="4" t="n"/>
      <c r="M962" s="5" t="n"/>
      <c r="N962" s="3" t="n"/>
      <c r="O962" s="4" t="n"/>
      <c r="P962" s="5" t="n"/>
      <c r="Q962" s="3" t="n"/>
      <c r="R962" s="4" t="n"/>
      <c r="S962" s="5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6">
        <f>IF(C962=0,0,IF(E962="",B962*D962/100,E962))</f>
        <v/>
      </c>
      <c r="AE962" s="6">
        <f>IF(F962=0,0,IF(H962="",B962*G962/100,H962))</f>
        <v/>
      </c>
      <c r="AF962" s="6">
        <f>IF(I962=0,0,IF(K962="",B962*J962/100,K962))</f>
        <v/>
      </c>
      <c r="AG962" s="6">
        <f>IF(L962=0,0,IF(N962="",B962*M962/100,N962))</f>
        <v/>
      </c>
      <c r="AH962" s="6">
        <f>IF(O962=0,0,IF(Q962="",B962*P962/100,Q962))</f>
        <v/>
      </c>
      <c r="AI962" s="6">
        <f>IF(R962=0,0,IF(T962="",B962*S962/100,T962))</f>
        <v/>
      </c>
      <c r="AJ962" s="6">
        <f>B962*0.035</f>
        <v/>
      </c>
      <c r="AK962" s="6">
        <f>B962*0.065</f>
        <v/>
      </c>
      <c r="AL962" s="6">
        <f>SUM(B962,AD962,AE962,AF962,AG962,AH962,AI962,U962,V962,AJ962,AK962)</f>
        <v/>
      </c>
      <c r="AM962" s="6">
        <f>B962*0.055</f>
        <v/>
      </c>
      <c r="AN962" s="6">
        <f>B962*0.035</f>
        <v/>
      </c>
      <c r="AO962" s="6">
        <f>B962*0.165</f>
        <v/>
      </c>
      <c r="AP962" s="6">
        <f>MAX(0,AL962-AM962-AO962)</f>
        <v/>
      </c>
      <c r="AQ962" s="6">
        <f>IF(AP962&lt;=490,0,IF(AP962&lt;=600,(AP962-490)*0.05,IF(AP962&lt;=730,5.5+(AP962-600)*0.10,IF(AP962&lt;=3896.67,18.5+(AP962-730)*0.175,IF(AP962&lt;=19896.67,572.67+(AP962-3896.67)*0.25,IF(AP962&lt;=50416.67,4572.67+(AP962-19896.67)*0.30,13728.67+(AP962-50416.67)*0.35))))))</f>
        <v/>
      </c>
      <c r="AR962" s="6">
        <f>SUM(AM962,AQ962,W962,X962,Y962,Z962,AA962,AN962,AO962)</f>
        <v/>
      </c>
      <c r="AS962" s="6">
        <f>AL962-AR962</f>
        <v/>
      </c>
      <c r="AT962" s="6">
        <f>AB962-AC962</f>
        <v/>
      </c>
    </row>
    <row r="963">
      <c r="A963" s="2" t="n"/>
      <c r="B963" s="3" t="n"/>
      <c r="C963" s="4" t="n"/>
      <c r="D963" s="5" t="n"/>
      <c r="E963" s="3" t="n"/>
      <c r="F963" s="4" t="n"/>
      <c r="G963" s="5" t="n"/>
      <c r="H963" s="3" t="n"/>
      <c r="I963" s="4" t="n"/>
      <c r="J963" s="5" t="n"/>
      <c r="K963" s="3" t="n"/>
      <c r="L963" s="4" t="n"/>
      <c r="M963" s="5" t="n"/>
      <c r="N963" s="3" t="n"/>
      <c r="O963" s="4" t="n"/>
      <c r="P963" s="5" t="n"/>
      <c r="Q963" s="3" t="n"/>
      <c r="R963" s="4" t="n"/>
      <c r="S963" s="5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6">
        <f>IF(C963=0,0,IF(E963="",B963*D963/100,E963))</f>
        <v/>
      </c>
      <c r="AE963" s="6">
        <f>IF(F963=0,0,IF(H963="",B963*G963/100,H963))</f>
        <v/>
      </c>
      <c r="AF963" s="6">
        <f>IF(I963=0,0,IF(K963="",B963*J963/100,K963))</f>
        <v/>
      </c>
      <c r="AG963" s="6">
        <f>IF(L963=0,0,IF(N963="",B963*M963/100,N963))</f>
        <v/>
      </c>
      <c r="AH963" s="6">
        <f>IF(O963=0,0,IF(Q963="",B963*P963/100,Q963))</f>
        <v/>
      </c>
      <c r="AI963" s="6">
        <f>IF(R963=0,0,IF(T963="",B963*S963/100,T963))</f>
        <v/>
      </c>
      <c r="AJ963" s="6">
        <f>B963*0.035</f>
        <v/>
      </c>
      <c r="AK963" s="6">
        <f>B963*0.065</f>
        <v/>
      </c>
      <c r="AL963" s="6">
        <f>SUM(B963,AD963,AE963,AF963,AG963,AH963,AI963,U963,V963,AJ963,AK963)</f>
        <v/>
      </c>
      <c r="AM963" s="6">
        <f>B963*0.055</f>
        <v/>
      </c>
      <c r="AN963" s="6">
        <f>B963*0.035</f>
        <v/>
      </c>
      <c r="AO963" s="6">
        <f>B963*0.165</f>
        <v/>
      </c>
      <c r="AP963" s="6">
        <f>MAX(0,AL963-AM963-AO963)</f>
        <v/>
      </c>
      <c r="AQ963" s="6">
        <f>IF(AP963&lt;=490,0,IF(AP963&lt;=600,(AP963-490)*0.05,IF(AP963&lt;=730,5.5+(AP963-600)*0.10,IF(AP963&lt;=3896.67,18.5+(AP963-730)*0.175,IF(AP963&lt;=19896.67,572.67+(AP963-3896.67)*0.25,IF(AP963&lt;=50416.67,4572.67+(AP963-19896.67)*0.30,13728.67+(AP963-50416.67)*0.35))))))</f>
        <v/>
      </c>
      <c r="AR963" s="6">
        <f>SUM(AM963,AQ963,W963,X963,Y963,Z963,AA963,AN963,AO963)</f>
        <v/>
      </c>
      <c r="AS963" s="6">
        <f>AL963-AR963</f>
        <v/>
      </c>
      <c r="AT963" s="6">
        <f>AB963-AC963</f>
        <v/>
      </c>
    </row>
    <row r="964">
      <c r="A964" s="2" t="n"/>
      <c r="B964" s="3" t="n"/>
      <c r="C964" s="4" t="n"/>
      <c r="D964" s="5" t="n"/>
      <c r="E964" s="3" t="n"/>
      <c r="F964" s="4" t="n"/>
      <c r="G964" s="5" t="n"/>
      <c r="H964" s="3" t="n"/>
      <c r="I964" s="4" t="n"/>
      <c r="J964" s="5" t="n"/>
      <c r="K964" s="3" t="n"/>
      <c r="L964" s="4" t="n"/>
      <c r="M964" s="5" t="n"/>
      <c r="N964" s="3" t="n"/>
      <c r="O964" s="4" t="n"/>
      <c r="P964" s="5" t="n"/>
      <c r="Q964" s="3" t="n"/>
      <c r="R964" s="4" t="n"/>
      <c r="S964" s="5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6">
        <f>IF(C964=0,0,IF(E964="",B964*D964/100,E964))</f>
        <v/>
      </c>
      <c r="AE964" s="6">
        <f>IF(F964=0,0,IF(H964="",B964*G964/100,H964))</f>
        <v/>
      </c>
      <c r="AF964" s="6">
        <f>IF(I964=0,0,IF(K964="",B964*J964/100,K964))</f>
        <v/>
      </c>
      <c r="AG964" s="6">
        <f>IF(L964=0,0,IF(N964="",B964*M964/100,N964))</f>
        <v/>
      </c>
      <c r="AH964" s="6">
        <f>IF(O964=0,0,IF(Q964="",B964*P964/100,Q964))</f>
        <v/>
      </c>
      <c r="AI964" s="6">
        <f>IF(R964=0,0,IF(T964="",B964*S964/100,T964))</f>
        <v/>
      </c>
      <c r="AJ964" s="6">
        <f>B964*0.035</f>
        <v/>
      </c>
      <c r="AK964" s="6">
        <f>B964*0.065</f>
        <v/>
      </c>
      <c r="AL964" s="6">
        <f>SUM(B964,AD964,AE964,AF964,AG964,AH964,AI964,U964,V964,AJ964,AK964)</f>
        <v/>
      </c>
      <c r="AM964" s="6">
        <f>B964*0.055</f>
        <v/>
      </c>
      <c r="AN964" s="6">
        <f>B964*0.035</f>
        <v/>
      </c>
      <c r="AO964" s="6">
        <f>B964*0.165</f>
        <v/>
      </c>
      <c r="AP964" s="6">
        <f>MAX(0,AL964-AM964-AO964)</f>
        <v/>
      </c>
      <c r="AQ964" s="6">
        <f>IF(AP964&lt;=490,0,IF(AP964&lt;=600,(AP964-490)*0.05,IF(AP964&lt;=730,5.5+(AP964-600)*0.10,IF(AP964&lt;=3896.67,18.5+(AP964-730)*0.175,IF(AP964&lt;=19896.67,572.67+(AP964-3896.67)*0.25,IF(AP964&lt;=50416.67,4572.67+(AP964-19896.67)*0.30,13728.67+(AP964-50416.67)*0.35))))))</f>
        <v/>
      </c>
      <c r="AR964" s="6">
        <f>SUM(AM964,AQ964,W964,X964,Y964,Z964,AA964,AN964,AO964)</f>
        <v/>
      </c>
      <c r="AS964" s="6">
        <f>AL964-AR964</f>
        <v/>
      </c>
      <c r="AT964" s="6">
        <f>AB964-AC964</f>
        <v/>
      </c>
    </row>
    <row r="965">
      <c r="A965" s="2" t="n"/>
      <c r="B965" s="3" t="n"/>
      <c r="C965" s="4" t="n"/>
      <c r="D965" s="5" t="n"/>
      <c r="E965" s="3" t="n"/>
      <c r="F965" s="4" t="n"/>
      <c r="G965" s="5" t="n"/>
      <c r="H965" s="3" t="n"/>
      <c r="I965" s="4" t="n"/>
      <c r="J965" s="5" t="n"/>
      <c r="K965" s="3" t="n"/>
      <c r="L965" s="4" t="n"/>
      <c r="M965" s="5" t="n"/>
      <c r="N965" s="3" t="n"/>
      <c r="O965" s="4" t="n"/>
      <c r="P965" s="5" t="n"/>
      <c r="Q965" s="3" t="n"/>
      <c r="R965" s="4" t="n"/>
      <c r="S965" s="5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6">
        <f>IF(C965=0,0,IF(E965="",B965*D965/100,E965))</f>
        <v/>
      </c>
      <c r="AE965" s="6">
        <f>IF(F965=0,0,IF(H965="",B965*G965/100,H965))</f>
        <v/>
      </c>
      <c r="AF965" s="6">
        <f>IF(I965=0,0,IF(K965="",B965*J965/100,K965))</f>
        <v/>
      </c>
      <c r="AG965" s="6">
        <f>IF(L965=0,0,IF(N965="",B965*M965/100,N965))</f>
        <v/>
      </c>
      <c r="AH965" s="6">
        <f>IF(O965=0,0,IF(Q965="",B965*P965/100,Q965))</f>
        <v/>
      </c>
      <c r="AI965" s="6">
        <f>IF(R965=0,0,IF(T965="",B965*S965/100,T965))</f>
        <v/>
      </c>
      <c r="AJ965" s="6">
        <f>B965*0.035</f>
        <v/>
      </c>
      <c r="AK965" s="6">
        <f>B965*0.065</f>
        <v/>
      </c>
      <c r="AL965" s="6">
        <f>SUM(B965,AD965,AE965,AF965,AG965,AH965,AI965,U965,V965,AJ965,AK965)</f>
        <v/>
      </c>
      <c r="AM965" s="6">
        <f>B965*0.055</f>
        <v/>
      </c>
      <c r="AN965" s="6">
        <f>B965*0.035</f>
        <v/>
      </c>
      <c r="AO965" s="6">
        <f>B965*0.165</f>
        <v/>
      </c>
      <c r="AP965" s="6">
        <f>MAX(0,AL965-AM965-AO965)</f>
        <v/>
      </c>
      <c r="AQ965" s="6">
        <f>IF(AP965&lt;=490,0,IF(AP965&lt;=600,(AP965-490)*0.05,IF(AP965&lt;=730,5.5+(AP965-600)*0.10,IF(AP965&lt;=3896.67,18.5+(AP965-730)*0.175,IF(AP965&lt;=19896.67,572.67+(AP965-3896.67)*0.25,IF(AP965&lt;=50416.67,4572.67+(AP965-19896.67)*0.30,13728.67+(AP965-50416.67)*0.35))))))</f>
        <v/>
      </c>
      <c r="AR965" s="6">
        <f>SUM(AM965,AQ965,W965,X965,Y965,Z965,AA965,AN965,AO965)</f>
        <v/>
      </c>
      <c r="AS965" s="6">
        <f>AL965-AR965</f>
        <v/>
      </c>
      <c r="AT965" s="6">
        <f>AB965-AC965</f>
        <v/>
      </c>
    </row>
    <row r="966">
      <c r="A966" s="2" t="n"/>
      <c r="B966" s="3" t="n"/>
      <c r="C966" s="4" t="n"/>
      <c r="D966" s="5" t="n"/>
      <c r="E966" s="3" t="n"/>
      <c r="F966" s="4" t="n"/>
      <c r="G966" s="5" t="n"/>
      <c r="H966" s="3" t="n"/>
      <c r="I966" s="4" t="n"/>
      <c r="J966" s="5" t="n"/>
      <c r="K966" s="3" t="n"/>
      <c r="L966" s="4" t="n"/>
      <c r="M966" s="5" t="n"/>
      <c r="N966" s="3" t="n"/>
      <c r="O966" s="4" t="n"/>
      <c r="P966" s="5" t="n"/>
      <c r="Q966" s="3" t="n"/>
      <c r="R966" s="4" t="n"/>
      <c r="S966" s="5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6">
        <f>IF(C966=0,0,IF(E966="",B966*D966/100,E966))</f>
        <v/>
      </c>
      <c r="AE966" s="6">
        <f>IF(F966=0,0,IF(H966="",B966*G966/100,H966))</f>
        <v/>
      </c>
      <c r="AF966" s="6">
        <f>IF(I966=0,0,IF(K966="",B966*J966/100,K966))</f>
        <v/>
      </c>
      <c r="AG966" s="6">
        <f>IF(L966=0,0,IF(N966="",B966*M966/100,N966))</f>
        <v/>
      </c>
      <c r="AH966" s="6">
        <f>IF(O966=0,0,IF(Q966="",B966*P966/100,Q966))</f>
        <v/>
      </c>
      <c r="AI966" s="6">
        <f>IF(R966=0,0,IF(T966="",B966*S966/100,T966))</f>
        <v/>
      </c>
      <c r="AJ966" s="6">
        <f>B966*0.035</f>
        <v/>
      </c>
      <c r="AK966" s="6">
        <f>B966*0.065</f>
        <v/>
      </c>
      <c r="AL966" s="6">
        <f>SUM(B966,AD966,AE966,AF966,AG966,AH966,AI966,U966,V966,AJ966,AK966)</f>
        <v/>
      </c>
      <c r="AM966" s="6">
        <f>B966*0.055</f>
        <v/>
      </c>
      <c r="AN966" s="6">
        <f>B966*0.035</f>
        <v/>
      </c>
      <c r="AO966" s="6">
        <f>B966*0.165</f>
        <v/>
      </c>
      <c r="AP966" s="6">
        <f>MAX(0,AL966-AM966-AO966)</f>
        <v/>
      </c>
      <c r="AQ966" s="6">
        <f>IF(AP966&lt;=490,0,IF(AP966&lt;=600,(AP966-490)*0.05,IF(AP966&lt;=730,5.5+(AP966-600)*0.10,IF(AP966&lt;=3896.67,18.5+(AP966-730)*0.175,IF(AP966&lt;=19896.67,572.67+(AP966-3896.67)*0.25,IF(AP966&lt;=50416.67,4572.67+(AP966-19896.67)*0.30,13728.67+(AP966-50416.67)*0.35))))))</f>
        <v/>
      </c>
      <c r="AR966" s="6">
        <f>SUM(AM966,AQ966,W966,X966,Y966,Z966,AA966,AN966,AO966)</f>
        <v/>
      </c>
      <c r="AS966" s="6">
        <f>AL966-AR966</f>
        <v/>
      </c>
      <c r="AT966" s="6">
        <f>AB966-AC966</f>
        <v/>
      </c>
    </row>
    <row r="967">
      <c r="A967" s="2" t="n"/>
      <c r="B967" s="3" t="n"/>
      <c r="C967" s="4" t="n"/>
      <c r="D967" s="5" t="n"/>
      <c r="E967" s="3" t="n"/>
      <c r="F967" s="4" t="n"/>
      <c r="G967" s="5" t="n"/>
      <c r="H967" s="3" t="n"/>
      <c r="I967" s="4" t="n"/>
      <c r="J967" s="5" t="n"/>
      <c r="K967" s="3" t="n"/>
      <c r="L967" s="4" t="n"/>
      <c r="M967" s="5" t="n"/>
      <c r="N967" s="3" t="n"/>
      <c r="O967" s="4" t="n"/>
      <c r="P967" s="5" t="n"/>
      <c r="Q967" s="3" t="n"/>
      <c r="R967" s="4" t="n"/>
      <c r="S967" s="5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6">
        <f>IF(C967=0,0,IF(E967="",B967*D967/100,E967))</f>
        <v/>
      </c>
      <c r="AE967" s="6">
        <f>IF(F967=0,0,IF(H967="",B967*G967/100,H967))</f>
        <v/>
      </c>
      <c r="AF967" s="6">
        <f>IF(I967=0,0,IF(K967="",B967*J967/100,K967))</f>
        <v/>
      </c>
      <c r="AG967" s="6">
        <f>IF(L967=0,0,IF(N967="",B967*M967/100,N967))</f>
        <v/>
      </c>
      <c r="AH967" s="6">
        <f>IF(O967=0,0,IF(Q967="",B967*P967/100,Q967))</f>
        <v/>
      </c>
      <c r="AI967" s="6">
        <f>IF(R967=0,0,IF(T967="",B967*S967/100,T967))</f>
        <v/>
      </c>
      <c r="AJ967" s="6">
        <f>B967*0.035</f>
        <v/>
      </c>
      <c r="AK967" s="6">
        <f>B967*0.065</f>
        <v/>
      </c>
      <c r="AL967" s="6">
        <f>SUM(B967,AD967,AE967,AF967,AG967,AH967,AI967,U967,V967,AJ967,AK967)</f>
        <v/>
      </c>
      <c r="AM967" s="6">
        <f>B967*0.055</f>
        <v/>
      </c>
      <c r="AN967" s="6">
        <f>B967*0.035</f>
        <v/>
      </c>
      <c r="AO967" s="6">
        <f>B967*0.165</f>
        <v/>
      </c>
      <c r="AP967" s="6">
        <f>MAX(0,AL967-AM967-AO967)</f>
        <v/>
      </c>
      <c r="AQ967" s="6">
        <f>IF(AP967&lt;=490,0,IF(AP967&lt;=600,(AP967-490)*0.05,IF(AP967&lt;=730,5.5+(AP967-600)*0.10,IF(AP967&lt;=3896.67,18.5+(AP967-730)*0.175,IF(AP967&lt;=19896.67,572.67+(AP967-3896.67)*0.25,IF(AP967&lt;=50416.67,4572.67+(AP967-19896.67)*0.30,13728.67+(AP967-50416.67)*0.35))))))</f>
        <v/>
      </c>
      <c r="AR967" s="6">
        <f>SUM(AM967,AQ967,W967,X967,Y967,Z967,AA967,AN967,AO967)</f>
        <v/>
      </c>
      <c r="AS967" s="6">
        <f>AL967-AR967</f>
        <v/>
      </c>
      <c r="AT967" s="6">
        <f>AB967-AC967</f>
        <v/>
      </c>
    </row>
    <row r="968">
      <c r="A968" s="2" t="n"/>
      <c r="B968" s="3" t="n"/>
      <c r="C968" s="4" t="n"/>
      <c r="D968" s="5" t="n"/>
      <c r="E968" s="3" t="n"/>
      <c r="F968" s="4" t="n"/>
      <c r="G968" s="5" t="n"/>
      <c r="H968" s="3" t="n"/>
      <c r="I968" s="4" t="n"/>
      <c r="J968" s="5" t="n"/>
      <c r="K968" s="3" t="n"/>
      <c r="L968" s="4" t="n"/>
      <c r="M968" s="5" t="n"/>
      <c r="N968" s="3" t="n"/>
      <c r="O968" s="4" t="n"/>
      <c r="P968" s="5" t="n"/>
      <c r="Q968" s="3" t="n"/>
      <c r="R968" s="4" t="n"/>
      <c r="S968" s="5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6">
        <f>IF(C968=0,0,IF(E968="",B968*D968/100,E968))</f>
        <v/>
      </c>
      <c r="AE968" s="6">
        <f>IF(F968=0,0,IF(H968="",B968*G968/100,H968))</f>
        <v/>
      </c>
      <c r="AF968" s="6">
        <f>IF(I968=0,0,IF(K968="",B968*J968/100,K968))</f>
        <v/>
      </c>
      <c r="AG968" s="6">
        <f>IF(L968=0,0,IF(N968="",B968*M968/100,N968))</f>
        <v/>
      </c>
      <c r="AH968" s="6">
        <f>IF(O968=0,0,IF(Q968="",B968*P968/100,Q968))</f>
        <v/>
      </c>
      <c r="AI968" s="6">
        <f>IF(R968=0,0,IF(T968="",B968*S968/100,T968))</f>
        <v/>
      </c>
      <c r="AJ968" s="6">
        <f>B968*0.035</f>
        <v/>
      </c>
      <c r="AK968" s="6">
        <f>B968*0.065</f>
        <v/>
      </c>
      <c r="AL968" s="6">
        <f>SUM(B968,AD968,AE968,AF968,AG968,AH968,AI968,U968,V968,AJ968,AK968)</f>
        <v/>
      </c>
      <c r="AM968" s="6">
        <f>B968*0.055</f>
        <v/>
      </c>
      <c r="AN968" s="6">
        <f>B968*0.035</f>
        <v/>
      </c>
      <c r="AO968" s="6">
        <f>B968*0.165</f>
        <v/>
      </c>
      <c r="AP968" s="6">
        <f>MAX(0,AL968-AM968-AO968)</f>
        <v/>
      </c>
      <c r="AQ968" s="6">
        <f>IF(AP968&lt;=490,0,IF(AP968&lt;=600,(AP968-490)*0.05,IF(AP968&lt;=730,5.5+(AP968-600)*0.10,IF(AP968&lt;=3896.67,18.5+(AP968-730)*0.175,IF(AP968&lt;=19896.67,572.67+(AP968-3896.67)*0.25,IF(AP968&lt;=50416.67,4572.67+(AP968-19896.67)*0.30,13728.67+(AP968-50416.67)*0.35))))))</f>
        <v/>
      </c>
      <c r="AR968" s="6">
        <f>SUM(AM968,AQ968,W968,X968,Y968,Z968,AA968,AN968,AO968)</f>
        <v/>
      </c>
      <c r="AS968" s="6">
        <f>AL968-AR968</f>
        <v/>
      </c>
      <c r="AT968" s="6">
        <f>AB968-AC968</f>
        <v/>
      </c>
    </row>
    <row r="969">
      <c r="A969" s="2" t="n"/>
      <c r="B969" s="3" t="n"/>
      <c r="C969" s="4" t="n"/>
      <c r="D969" s="5" t="n"/>
      <c r="E969" s="3" t="n"/>
      <c r="F969" s="4" t="n"/>
      <c r="G969" s="5" t="n"/>
      <c r="H969" s="3" t="n"/>
      <c r="I969" s="4" t="n"/>
      <c r="J969" s="5" t="n"/>
      <c r="K969" s="3" t="n"/>
      <c r="L969" s="4" t="n"/>
      <c r="M969" s="5" t="n"/>
      <c r="N969" s="3" t="n"/>
      <c r="O969" s="4" t="n"/>
      <c r="P969" s="5" t="n"/>
      <c r="Q969" s="3" t="n"/>
      <c r="R969" s="4" t="n"/>
      <c r="S969" s="5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6">
        <f>IF(C969=0,0,IF(E969="",B969*D969/100,E969))</f>
        <v/>
      </c>
      <c r="AE969" s="6">
        <f>IF(F969=0,0,IF(H969="",B969*G969/100,H969))</f>
        <v/>
      </c>
      <c r="AF969" s="6">
        <f>IF(I969=0,0,IF(K969="",B969*J969/100,K969))</f>
        <v/>
      </c>
      <c r="AG969" s="6">
        <f>IF(L969=0,0,IF(N969="",B969*M969/100,N969))</f>
        <v/>
      </c>
      <c r="AH969" s="6">
        <f>IF(O969=0,0,IF(Q969="",B969*P969/100,Q969))</f>
        <v/>
      </c>
      <c r="AI969" s="6">
        <f>IF(R969=0,0,IF(T969="",B969*S969/100,T969))</f>
        <v/>
      </c>
      <c r="AJ969" s="6">
        <f>B969*0.035</f>
        <v/>
      </c>
      <c r="AK969" s="6">
        <f>B969*0.065</f>
        <v/>
      </c>
      <c r="AL969" s="6">
        <f>SUM(B969,AD969,AE969,AF969,AG969,AH969,AI969,U969,V969,AJ969,AK969)</f>
        <v/>
      </c>
      <c r="AM969" s="6">
        <f>B969*0.055</f>
        <v/>
      </c>
      <c r="AN969" s="6">
        <f>B969*0.035</f>
        <v/>
      </c>
      <c r="AO969" s="6">
        <f>B969*0.165</f>
        <v/>
      </c>
      <c r="AP969" s="6">
        <f>MAX(0,AL969-AM969-AO969)</f>
        <v/>
      </c>
      <c r="AQ969" s="6">
        <f>IF(AP969&lt;=490,0,IF(AP969&lt;=600,(AP969-490)*0.05,IF(AP969&lt;=730,5.5+(AP969-600)*0.10,IF(AP969&lt;=3896.67,18.5+(AP969-730)*0.175,IF(AP969&lt;=19896.67,572.67+(AP969-3896.67)*0.25,IF(AP969&lt;=50416.67,4572.67+(AP969-19896.67)*0.30,13728.67+(AP969-50416.67)*0.35))))))</f>
        <v/>
      </c>
      <c r="AR969" s="6">
        <f>SUM(AM969,AQ969,W969,X969,Y969,Z969,AA969,AN969,AO969)</f>
        <v/>
      </c>
      <c r="AS969" s="6">
        <f>AL969-AR969</f>
        <v/>
      </c>
      <c r="AT969" s="6">
        <f>AB969-AC969</f>
        <v/>
      </c>
    </row>
    <row r="970">
      <c r="A970" s="2" t="n"/>
      <c r="B970" s="3" t="n"/>
      <c r="C970" s="4" t="n"/>
      <c r="D970" s="5" t="n"/>
      <c r="E970" s="3" t="n"/>
      <c r="F970" s="4" t="n"/>
      <c r="G970" s="5" t="n"/>
      <c r="H970" s="3" t="n"/>
      <c r="I970" s="4" t="n"/>
      <c r="J970" s="5" t="n"/>
      <c r="K970" s="3" t="n"/>
      <c r="L970" s="4" t="n"/>
      <c r="M970" s="5" t="n"/>
      <c r="N970" s="3" t="n"/>
      <c r="O970" s="4" t="n"/>
      <c r="P970" s="5" t="n"/>
      <c r="Q970" s="3" t="n"/>
      <c r="R970" s="4" t="n"/>
      <c r="S970" s="5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6">
        <f>IF(C970=0,0,IF(E970="",B970*D970/100,E970))</f>
        <v/>
      </c>
      <c r="AE970" s="6">
        <f>IF(F970=0,0,IF(H970="",B970*G970/100,H970))</f>
        <v/>
      </c>
      <c r="AF970" s="6">
        <f>IF(I970=0,0,IF(K970="",B970*J970/100,K970))</f>
        <v/>
      </c>
      <c r="AG970" s="6">
        <f>IF(L970=0,0,IF(N970="",B970*M970/100,N970))</f>
        <v/>
      </c>
      <c r="AH970" s="6">
        <f>IF(O970=0,0,IF(Q970="",B970*P970/100,Q970))</f>
        <v/>
      </c>
      <c r="AI970" s="6">
        <f>IF(R970=0,0,IF(T970="",B970*S970/100,T970))</f>
        <v/>
      </c>
      <c r="AJ970" s="6">
        <f>B970*0.035</f>
        <v/>
      </c>
      <c r="AK970" s="6">
        <f>B970*0.065</f>
        <v/>
      </c>
      <c r="AL970" s="6">
        <f>SUM(B970,AD970,AE970,AF970,AG970,AH970,AI970,U970,V970,AJ970,AK970)</f>
        <v/>
      </c>
      <c r="AM970" s="6">
        <f>B970*0.055</f>
        <v/>
      </c>
      <c r="AN970" s="6">
        <f>B970*0.035</f>
        <v/>
      </c>
      <c r="AO970" s="6">
        <f>B970*0.165</f>
        <v/>
      </c>
      <c r="AP970" s="6">
        <f>MAX(0,AL970-AM970-AO970)</f>
        <v/>
      </c>
      <c r="AQ970" s="6">
        <f>IF(AP970&lt;=490,0,IF(AP970&lt;=600,(AP970-490)*0.05,IF(AP970&lt;=730,5.5+(AP970-600)*0.10,IF(AP970&lt;=3896.67,18.5+(AP970-730)*0.175,IF(AP970&lt;=19896.67,572.67+(AP970-3896.67)*0.25,IF(AP970&lt;=50416.67,4572.67+(AP970-19896.67)*0.30,13728.67+(AP970-50416.67)*0.35))))))</f>
        <v/>
      </c>
      <c r="AR970" s="6">
        <f>SUM(AM970,AQ970,W970,X970,Y970,Z970,AA970,AN970,AO970)</f>
        <v/>
      </c>
      <c r="AS970" s="6">
        <f>AL970-AR970</f>
        <v/>
      </c>
      <c r="AT970" s="6">
        <f>AB970-AC970</f>
        <v/>
      </c>
    </row>
    <row r="971">
      <c r="A971" s="2" t="n"/>
      <c r="B971" s="3" t="n"/>
      <c r="C971" s="4" t="n"/>
      <c r="D971" s="5" t="n"/>
      <c r="E971" s="3" t="n"/>
      <c r="F971" s="4" t="n"/>
      <c r="G971" s="5" t="n"/>
      <c r="H971" s="3" t="n"/>
      <c r="I971" s="4" t="n"/>
      <c r="J971" s="5" t="n"/>
      <c r="K971" s="3" t="n"/>
      <c r="L971" s="4" t="n"/>
      <c r="M971" s="5" t="n"/>
      <c r="N971" s="3" t="n"/>
      <c r="O971" s="4" t="n"/>
      <c r="P971" s="5" t="n"/>
      <c r="Q971" s="3" t="n"/>
      <c r="R971" s="4" t="n"/>
      <c r="S971" s="5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6">
        <f>IF(C971=0,0,IF(E971="",B971*D971/100,E971))</f>
        <v/>
      </c>
      <c r="AE971" s="6">
        <f>IF(F971=0,0,IF(H971="",B971*G971/100,H971))</f>
        <v/>
      </c>
      <c r="AF971" s="6">
        <f>IF(I971=0,0,IF(K971="",B971*J971/100,K971))</f>
        <v/>
      </c>
      <c r="AG971" s="6">
        <f>IF(L971=0,0,IF(N971="",B971*M971/100,N971))</f>
        <v/>
      </c>
      <c r="AH971" s="6">
        <f>IF(O971=0,0,IF(Q971="",B971*P971/100,Q971))</f>
        <v/>
      </c>
      <c r="AI971" s="6">
        <f>IF(R971=0,0,IF(T971="",B971*S971/100,T971))</f>
        <v/>
      </c>
      <c r="AJ971" s="6">
        <f>B971*0.035</f>
        <v/>
      </c>
      <c r="AK971" s="6">
        <f>B971*0.065</f>
        <v/>
      </c>
      <c r="AL971" s="6">
        <f>SUM(B971,AD971,AE971,AF971,AG971,AH971,AI971,U971,V971,AJ971,AK971)</f>
        <v/>
      </c>
      <c r="AM971" s="6">
        <f>B971*0.055</f>
        <v/>
      </c>
      <c r="AN971" s="6">
        <f>B971*0.035</f>
        <v/>
      </c>
      <c r="AO971" s="6">
        <f>B971*0.165</f>
        <v/>
      </c>
      <c r="AP971" s="6">
        <f>MAX(0,AL971-AM971-AO971)</f>
        <v/>
      </c>
      <c r="AQ971" s="6">
        <f>IF(AP971&lt;=490,0,IF(AP971&lt;=600,(AP971-490)*0.05,IF(AP971&lt;=730,5.5+(AP971-600)*0.10,IF(AP971&lt;=3896.67,18.5+(AP971-730)*0.175,IF(AP971&lt;=19896.67,572.67+(AP971-3896.67)*0.25,IF(AP971&lt;=50416.67,4572.67+(AP971-19896.67)*0.30,13728.67+(AP971-50416.67)*0.35))))))</f>
        <v/>
      </c>
      <c r="AR971" s="6">
        <f>SUM(AM971,AQ971,W971,X971,Y971,Z971,AA971,AN971,AO971)</f>
        <v/>
      </c>
      <c r="AS971" s="6">
        <f>AL971-AR971</f>
        <v/>
      </c>
      <c r="AT971" s="6">
        <f>AB971-AC971</f>
        <v/>
      </c>
    </row>
    <row r="972">
      <c r="A972" s="2" t="n"/>
      <c r="B972" s="3" t="n"/>
      <c r="C972" s="4" t="n"/>
      <c r="D972" s="5" t="n"/>
      <c r="E972" s="3" t="n"/>
      <c r="F972" s="4" t="n"/>
      <c r="G972" s="5" t="n"/>
      <c r="H972" s="3" t="n"/>
      <c r="I972" s="4" t="n"/>
      <c r="J972" s="5" t="n"/>
      <c r="K972" s="3" t="n"/>
      <c r="L972" s="4" t="n"/>
      <c r="M972" s="5" t="n"/>
      <c r="N972" s="3" t="n"/>
      <c r="O972" s="4" t="n"/>
      <c r="P972" s="5" t="n"/>
      <c r="Q972" s="3" t="n"/>
      <c r="R972" s="4" t="n"/>
      <c r="S972" s="5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6">
        <f>IF(C972=0,0,IF(E972="",B972*D972/100,E972))</f>
        <v/>
      </c>
      <c r="AE972" s="6">
        <f>IF(F972=0,0,IF(H972="",B972*G972/100,H972))</f>
        <v/>
      </c>
      <c r="AF972" s="6">
        <f>IF(I972=0,0,IF(K972="",B972*J972/100,K972))</f>
        <v/>
      </c>
      <c r="AG972" s="6">
        <f>IF(L972=0,0,IF(N972="",B972*M972/100,N972))</f>
        <v/>
      </c>
      <c r="AH972" s="6">
        <f>IF(O972=0,0,IF(Q972="",B972*P972/100,Q972))</f>
        <v/>
      </c>
      <c r="AI972" s="6">
        <f>IF(R972=0,0,IF(T972="",B972*S972/100,T972))</f>
        <v/>
      </c>
      <c r="AJ972" s="6">
        <f>B972*0.035</f>
        <v/>
      </c>
      <c r="AK972" s="6">
        <f>B972*0.065</f>
        <v/>
      </c>
      <c r="AL972" s="6">
        <f>SUM(B972,AD972,AE972,AF972,AG972,AH972,AI972,U972,V972,AJ972,AK972)</f>
        <v/>
      </c>
      <c r="AM972" s="6">
        <f>B972*0.055</f>
        <v/>
      </c>
      <c r="AN972" s="6">
        <f>B972*0.035</f>
        <v/>
      </c>
      <c r="AO972" s="6">
        <f>B972*0.165</f>
        <v/>
      </c>
      <c r="AP972" s="6">
        <f>MAX(0,AL972-AM972-AO972)</f>
        <v/>
      </c>
      <c r="AQ972" s="6">
        <f>IF(AP972&lt;=490,0,IF(AP972&lt;=600,(AP972-490)*0.05,IF(AP972&lt;=730,5.5+(AP972-600)*0.10,IF(AP972&lt;=3896.67,18.5+(AP972-730)*0.175,IF(AP972&lt;=19896.67,572.67+(AP972-3896.67)*0.25,IF(AP972&lt;=50416.67,4572.67+(AP972-19896.67)*0.30,13728.67+(AP972-50416.67)*0.35))))))</f>
        <v/>
      </c>
      <c r="AR972" s="6">
        <f>SUM(AM972,AQ972,W972,X972,Y972,Z972,AA972,AN972,AO972)</f>
        <v/>
      </c>
      <c r="AS972" s="6">
        <f>AL972-AR972</f>
        <v/>
      </c>
      <c r="AT972" s="6">
        <f>AB972-AC972</f>
        <v/>
      </c>
    </row>
    <row r="973">
      <c r="A973" s="2" t="n"/>
      <c r="B973" s="3" t="n"/>
      <c r="C973" s="4" t="n"/>
      <c r="D973" s="5" t="n"/>
      <c r="E973" s="3" t="n"/>
      <c r="F973" s="4" t="n"/>
      <c r="G973" s="5" t="n"/>
      <c r="H973" s="3" t="n"/>
      <c r="I973" s="4" t="n"/>
      <c r="J973" s="5" t="n"/>
      <c r="K973" s="3" t="n"/>
      <c r="L973" s="4" t="n"/>
      <c r="M973" s="5" t="n"/>
      <c r="N973" s="3" t="n"/>
      <c r="O973" s="4" t="n"/>
      <c r="P973" s="5" t="n"/>
      <c r="Q973" s="3" t="n"/>
      <c r="R973" s="4" t="n"/>
      <c r="S973" s="5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6">
        <f>IF(C973=0,0,IF(E973="",B973*D973/100,E973))</f>
        <v/>
      </c>
      <c r="AE973" s="6">
        <f>IF(F973=0,0,IF(H973="",B973*G973/100,H973))</f>
        <v/>
      </c>
      <c r="AF973" s="6">
        <f>IF(I973=0,0,IF(K973="",B973*J973/100,K973))</f>
        <v/>
      </c>
      <c r="AG973" s="6">
        <f>IF(L973=0,0,IF(N973="",B973*M973/100,N973))</f>
        <v/>
      </c>
      <c r="AH973" s="6">
        <f>IF(O973=0,0,IF(Q973="",B973*P973/100,Q973))</f>
        <v/>
      </c>
      <c r="AI973" s="6">
        <f>IF(R973=0,0,IF(T973="",B973*S973/100,T973))</f>
        <v/>
      </c>
      <c r="AJ973" s="6">
        <f>B973*0.035</f>
        <v/>
      </c>
      <c r="AK973" s="6">
        <f>B973*0.065</f>
        <v/>
      </c>
      <c r="AL973" s="6">
        <f>SUM(B973,AD973,AE973,AF973,AG973,AH973,AI973,U973,V973,AJ973,AK973)</f>
        <v/>
      </c>
      <c r="AM973" s="6">
        <f>B973*0.055</f>
        <v/>
      </c>
      <c r="AN973" s="6">
        <f>B973*0.035</f>
        <v/>
      </c>
      <c r="AO973" s="6">
        <f>B973*0.165</f>
        <v/>
      </c>
      <c r="AP973" s="6">
        <f>MAX(0,AL973-AM973-AO973)</f>
        <v/>
      </c>
      <c r="AQ973" s="6">
        <f>IF(AP973&lt;=490,0,IF(AP973&lt;=600,(AP973-490)*0.05,IF(AP973&lt;=730,5.5+(AP973-600)*0.10,IF(AP973&lt;=3896.67,18.5+(AP973-730)*0.175,IF(AP973&lt;=19896.67,572.67+(AP973-3896.67)*0.25,IF(AP973&lt;=50416.67,4572.67+(AP973-19896.67)*0.30,13728.67+(AP973-50416.67)*0.35))))))</f>
        <v/>
      </c>
      <c r="AR973" s="6">
        <f>SUM(AM973,AQ973,W973,X973,Y973,Z973,AA973,AN973,AO973)</f>
        <v/>
      </c>
      <c r="AS973" s="6">
        <f>AL973-AR973</f>
        <v/>
      </c>
      <c r="AT973" s="6">
        <f>AB973-AC973</f>
        <v/>
      </c>
    </row>
    <row r="974">
      <c r="A974" s="2" t="n"/>
      <c r="B974" s="3" t="n"/>
      <c r="C974" s="4" t="n"/>
      <c r="D974" s="5" t="n"/>
      <c r="E974" s="3" t="n"/>
      <c r="F974" s="4" t="n"/>
      <c r="G974" s="5" t="n"/>
      <c r="H974" s="3" t="n"/>
      <c r="I974" s="4" t="n"/>
      <c r="J974" s="5" t="n"/>
      <c r="K974" s="3" t="n"/>
      <c r="L974" s="4" t="n"/>
      <c r="M974" s="5" t="n"/>
      <c r="N974" s="3" t="n"/>
      <c r="O974" s="4" t="n"/>
      <c r="P974" s="5" t="n"/>
      <c r="Q974" s="3" t="n"/>
      <c r="R974" s="4" t="n"/>
      <c r="S974" s="5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6">
        <f>IF(C974=0,0,IF(E974="",B974*D974/100,E974))</f>
        <v/>
      </c>
      <c r="AE974" s="6">
        <f>IF(F974=0,0,IF(H974="",B974*G974/100,H974))</f>
        <v/>
      </c>
      <c r="AF974" s="6">
        <f>IF(I974=0,0,IF(K974="",B974*J974/100,K974))</f>
        <v/>
      </c>
      <c r="AG974" s="6">
        <f>IF(L974=0,0,IF(N974="",B974*M974/100,N974))</f>
        <v/>
      </c>
      <c r="AH974" s="6">
        <f>IF(O974=0,0,IF(Q974="",B974*P974/100,Q974))</f>
        <v/>
      </c>
      <c r="AI974" s="6">
        <f>IF(R974=0,0,IF(T974="",B974*S974/100,T974))</f>
        <v/>
      </c>
      <c r="AJ974" s="6">
        <f>B974*0.035</f>
        <v/>
      </c>
      <c r="AK974" s="6">
        <f>B974*0.065</f>
        <v/>
      </c>
      <c r="AL974" s="6">
        <f>SUM(B974,AD974,AE974,AF974,AG974,AH974,AI974,U974,V974,AJ974,AK974)</f>
        <v/>
      </c>
      <c r="AM974" s="6">
        <f>B974*0.055</f>
        <v/>
      </c>
      <c r="AN974" s="6">
        <f>B974*0.035</f>
        <v/>
      </c>
      <c r="AO974" s="6">
        <f>B974*0.165</f>
        <v/>
      </c>
      <c r="AP974" s="6">
        <f>MAX(0,AL974-AM974-AO974)</f>
        <v/>
      </c>
      <c r="AQ974" s="6">
        <f>IF(AP974&lt;=490,0,IF(AP974&lt;=600,(AP974-490)*0.05,IF(AP974&lt;=730,5.5+(AP974-600)*0.10,IF(AP974&lt;=3896.67,18.5+(AP974-730)*0.175,IF(AP974&lt;=19896.67,572.67+(AP974-3896.67)*0.25,IF(AP974&lt;=50416.67,4572.67+(AP974-19896.67)*0.30,13728.67+(AP974-50416.67)*0.35))))))</f>
        <v/>
      </c>
      <c r="AR974" s="6">
        <f>SUM(AM974,AQ974,W974,X974,Y974,Z974,AA974,AN974,AO974)</f>
        <v/>
      </c>
      <c r="AS974" s="6">
        <f>AL974-AR974</f>
        <v/>
      </c>
      <c r="AT974" s="6">
        <f>AB974-AC974</f>
        <v/>
      </c>
    </row>
    <row r="975">
      <c r="A975" s="2" t="n"/>
      <c r="B975" s="3" t="n"/>
      <c r="C975" s="4" t="n"/>
      <c r="D975" s="5" t="n"/>
      <c r="E975" s="3" t="n"/>
      <c r="F975" s="4" t="n"/>
      <c r="G975" s="5" t="n"/>
      <c r="H975" s="3" t="n"/>
      <c r="I975" s="4" t="n"/>
      <c r="J975" s="5" t="n"/>
      <c r="K975" s="3" t="n"/>
      <c r="L975" s="4" t="n"/>
      <c r="M975" s="5" t="n"/>
      <c r="N975" s="3" t="n"/>
      <c r="O975" s="4" t="n"/>
      <c r="P975" s="5" t="n"/>
      <c r="Q975" s="3" t="n"/>
      <c r="R975" s="4" t="n"/>
      <c r="S975" s="5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6">
        <f>IF(C975=0,0,IF(E975="",B975*D975/100,E975))</f>
        <v/>
      </c>
      <c r="AE975" s="6">
        <f>IF(F975=0,0,IF(H975="",B975*G975/100,H975))</f>
        <v/>
      </c>
      <c r="AF975" s="6">
        <f>IF(I975=0,0,IF(K975="",B975*J975/100,K975))</f>
        <v/>
      </c>
      <c r="AG975" s="6">
        <f>IF(L975=0,0,IF(N975="",B975*M975/100,N975))</f>
        <v/>
      </c>
      <c r="AH975" s="6">
        <f>IF(O975=0,0,IF(Q975="",B975*P975/100,Q975))</f>
        <v/>
      </c>
      <c r="AI975" s="6">
        <f>IF(R975=0,0,IF(T975="",B975*S975/100,T975))</f>
        <v/>
      </c>
      <c r="AJ975" s="6">
        <f>B975*0.035</f>
        <v/>
      </c>
      <c r="AK975" s="6">
        <f>B975*0.065</f>
        <v/>
      </c>
      <c r="AL975" s="6">
        <f>SUM(B975,AD975,AE975,AF975,AG975,AH975,AI975,U975,V975,AJ975,AK975)</f>
        <v/>
      </c>
      <c r="AM975" s="6">
        <f>B975*0.055</f>
        <v/>
      </c>
      <c r="AN975" s="6">
        <f>B975*0.035</f>
        <v/>
      </c>
      <c r="AO975" s="6">
        <f>B975*0.165</f>
        <v/>
      </c>
      <c r="AP975" s="6">
        <f>MAX(0,AL975-AM975-AO975)</f>
        <v/>
      </c>
      <c r="AQ975" s="6">
        <f>IF(AP975&lt;=490,0,IF(AP975&lt;=600,(AP975-490)*0.05,IF(AP975&lt;=730,5.5+(AP975-600)*0.10,IF(AP975&lt;=3896.67,18.5+(AP975-730)*0.175,IF(AP975&lt;=19896.67,572.67+(AP975-3896.67)*0.25,IF(AP975&lt;=50416.67,4572.67+(AP975-19896.67)*0.30,13728.67+(AP975-50416.67)*0.35))))))</f>
        <v/>
      </c>
      <c r="AR975" s="6">
        <f>SUM(AM975,AQ975,W975,X975,Y975,Z975,AA975,AN975,AO975)</f>
        <v/>
      </c>
      <c r="AS975" s="6">
        <f>AL975-AR975</f>
        <v/>
      </c>
      <c r="AT975" s="6">
        <f>AB975-AC975</f>
        <v/>
      </c>
    </row>
    <row r="976">
      <c r="A976" s="2" t="n"/>
      <c r="B976" s="3" t="n"/>
      <c r="C976" s="4" t="n"/>
      <c r="D976" s="5" t="n"/>
      <c r="E976" s="3" t="n"/>
      <c r="F976" s="4" t="n"/>
      <c r="G976" s="5" t="n"/>
      <c r="H976" s="3" t="n"/>
      <c r="I976" s="4" t="n"/>
      <c r="J976" s="5" t="n"/>
      <c r="K976" s="3" t="n"/>
      <c r="L976" s="4" t="n"/>
      <c r="M976" s="5" t="n"/>
      <c r="N976" s="3" t="n"/>
      <c r="O976" s="4" t="n"/>
      <c r="P976" s="5" t="n"/>
      <c r="Q976" s="3" t="n"/>
      <c r="R976" s="4" t="n"/>
      <c r="S976" s="5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6">
        <f>IF(C976=0,0,IF(E976="",B976*D976/100,E976))</f>
        <v/>
      </c>
      <c r="AE976" s="6">
        <f>IF(F976=0,0,IF(H976="",B976*G976/100,H976))</f>
        <v/>
      </c>
      <c r="AF976" s="6">
        <f>IF(I976=0,0,IF(K976="",B976*J976/100,K976))</f>
        <v/>
      </c>
      <c r="AG976" s="6">
        <f>IF(L976=0,0,IF(N976="",B976*M976/100,N976))</f>
        <v/>
      </c>
      <c r="AH976" s="6">
        <f>IF(O976=0,0,IF(Q976="",B976*P976/100,Q976))</f>
        <v/>
      </c>
      <c r="AI976" s="6">
        <f>IF(R976=0,0,IF(T976="",B976*S976/100,T976))</f>
        <v/>
      </c>
      <c r="AJ976" s="6">
        <f>B976*0.035</f>
        <v/>
      </c>
      <c r="AK976" s="6">
        <f>B976*0.065</f>
        <v/>
      </c>
      <c r="AL976" s="6">
        <f>SUM(B976,AD976,AE976,AF976,AG976,AH976,AI976,U976,V976,AJ976,AK976)</f>
        <v/>
      </c>
      <c r="AM976" s="6">
        <f>B976*0.055</f>
        <v/>
      </c>
      <c r="AN976" s="6">
        <f>B976*0.035</f>
        <v/>
      </c>
      <c r="AO976" s="6">
        <f>B976*0.165</f>
        <v/>
      </c>
      <c r="AP976" s="6">
        <f>MAX(0,AL976-AM976-AO976)</f>
        <v/>
      </c>
      <c r="AQ976" s="6">
        <f>IF(AP976&lt;=490,0,IF(AP976&lt;=600,(AP976-490)*0.05,IF(AP976&lt;=730,5.5+(AP976-600)*0.10,IF(AP976&lt;=3896.67,18.5+(AP976-730)*0.175,IF(AP976&lt;=19896.67,572.67+(AP976-3896.67)*0.25,IF(AP976&lt;=50416.67,4572.67+(AP976-19896.67)*0.30,13728.67+(AP976-50416.67)*0.35))))))</f>
        <v/>
      </c>
      <c r="AR976" s="6">
        <f>SUM(AM976,AQ976,W976,X976,Y976,Z976,AA976,AN976,AO976)</f>
        <v/>
      </c>
      <c r="AS976" s="6">
        <f>AL976-AR976</f>
        <v/>
      </c>
      <c r="AT976" s="6">
        <f>AB976-AC976</f>
        <v/>
      </c>
    </row>
    <row r="977">
      <c r="A977" s="2" t="n"/>
      <c r="B977" s="3" t="n"/>
      <c r="C977" s="4" t="n"/>
      <c r="D977" s="5" t="n"/>
      <c r="E977" s="3" t="n"/>
      <c r="F977" s="4" t="n"/>
      <c r="G977" s="5" t="n"/>
      <c r="H977" s="3" t="n"/>
      <c r="I977" s="4" t="n"/>
      <c r="J977" s="5" t="n"/>
      <c r="K977" s="3" t="n"/>
      <c r="L977" s="4" t="n"/>
      <c r="M977" s="5" t="n"/>
      <c r="N977" s="3" t="n"/>
      <c r="O977" s="4" t="n"/>
      <c r="P977" s="5" t="n"/>
      <c r="Q977" s="3" t="n"/>
      <c r="R977" s="4" t="n"/>
      <c r="S977" s="5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6">
        <f>IF(C977=0,0,IF(E977="",B977*D977/100,E977))</f>
        <v/>
      </c>
      <c r="AE977" s="6">
        <f>IF(F977=0,0,IF(H977="",B977*G977/100,H977))</f>
        <v/>
      </c>
      <c r="AF977" s="6">
        <f>IF(I977=0,0,IF(K977="",B977*J977/100,K977))</f>
        <v/>
      </c>
      <c r="AG977" s="6">
        <f>IF(L977=0,0,IF(N977="",B977*M977/100,N977))</f>
        <v/>
      </c>
      <c r="AH977" s="6">
        <f>IF(O977=0,0,IF(Q977="",B977*P977/100,Q977))</f>
        <v/>
      </c>
      <c r="AI977" s="6">
        <f>IF(R977=0,0,IF(T977="",B977*S977/100,T977))</f>
        <v/>
      </c>
      <c r="AJ977" s="6">
        <f>B977*0.035</f>
        <v/>
      </c>
      <c r="AK977" s="6">
        <f>B977*0.065</f>
        <v/>
      </c>
      <c r="AL977" s="6">
        <f>SUM(B977,AD977,AE977,AF977,AG977,AH977,AI977,U977,V977,AJ977,AK977)</f>
        <v/>
      </c>
      <c r="AM977" s="6">
        <f>B977*0.055</f>
        <v/>
      </c>
      <c r="AN977" s="6">
        <f>B977*0.035</f>
        <v/>
      </c>
      <c r="AO977" s="6">
        <f>B977*0.165</f>
        <v/>
      </c>
      <c r="AP977" s="6">
        <f>MAX(0,AL977-AM977-AO977)</f>
        <v/>
      </c>
      <c r="AQ977" s="6">
        <f>IF(AP977&lt;=490,0,IF(AP977&lt;=600,(AP977-490)*0.05,IF(AP977&lt;=730,5.5+(AP977-600)*0.10,IF(AP977&lt;=3896.67,18.5+(AP977-730)*0.175,IF(AP977&lt;=19896.67,572.67+(AP977-3896.67)*0.25,IF(AP977&lt;=50416.67,4572.67+(AP977-19896.67)*0.30,13728.67+(AP977-50416.67)*0.35))))))</f>
        <v/>
      </c>
      <c r="AR977" s="6">
        <f>SUM(AM977,AQ977,W977,X977,Y977,Z977,AA977,AN977,AO977)</f>
        <v/>
      </c>
      <c r="AS977" s="6">
        <f>AL977-AR977</f>
        <v/>
      </c>
      <c r="AT977" s="6">
        <f>AB977-AC977</f>
        <v/>
      </c>
    </row>
    <row r="978">
      <c r="A978" s="2" t="n"/>
      <c r="B978" s="3" t="n"/>
      <c r="C978" s="4" t="n"/>
      <c r="D978" s="5" t="n"/>
      <c r="E978" s="3" t="n"/>
      <c r="F978" s="4" t="n"/>
      <c r="G978" s="5" t="n"/>
      <c r="H978" s="3" t="n"/>
      <c r="I978" s="4" t="n"/>
      <c r="J978" s="5" t="n"/>
      <c r="K978" s="3" t="n"/>
      <c r="L978" s="4" t="n"/>
      <c r="M978" s="5" t="n"/>
      <c r="N978" s="3" t="n"/>
      <c r="O978" s="4" t="n"/>
      <c r="P978" s="5" t="n"/>
      <c r="Q978" s="3" t="n"/>
      <c r="R978" s="4" t="n"/>
      <c r="S978" s="5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6">
        <f>IF(C978=0,0,IF(E978="",B978*D978/100,E978))</f>
        <v/>
      </c>
      <c r="AE978" s="6">
        <f>IF(F978=0,0,IF(H978="",B978*G978/100,H978))</f>
        <v/>
      </c>
      <c r="AF978" s="6">
        <f>IF(I978=0,0,IF(K978="",B978*J978/100,K978))</f>
        <v/>
      </c>
      <c r="AG978" s="6">
        <f>IF(L978=0,0,IF(N978="",B978*M978/100,N978))</f>
        <v/>
      </c>
      <c r="AH978" s="6">
        <f>IF(O978=0,0,IF(Q978="",B978*P978/100,Q978))</f>
        <v/>
      </c>
      <c r="AI978" s="6">
        <f>IF(R978=0,0,IF(T978="",B978*S978/100,T978))</f>
        <v/>
      </c>
      <c r="AJ978" s="6">
        <f>B978*0.035</f>
        <v/>
      </c>
      <c r="AK978" s="6">
        <f>B978*0.065</f>
        <v/>
      </c>
      <c r="AL978" s="6">
        <f>SUM(B978,AD978,AE978,AF978,AG978,AH978,AI978,U978,V978,AJ978,AK978)</f>
        <v/>
      </c>
      <c r="AM978" s="6">
        <f>B978*0.055</f>
        <v/>
      </c>
      <c r="AN978" s="6">
        <f>B978*0.035</f>
        <v/>
      </c>
      <c r="AO978" s="6">
        <f>B978*0.165</f>
        <v/>
      </c>
      <c r="AP978" s="6">
        <f>MAX(0,AL978-AM978-AO978)</f>
        <v/>
      </c>
      <c r="AQ978" s="6">
        <f>IF(AP978&lt;=490,0,IF(AP978&lt;=600,(AP978-490)*0.05,IF(AP978&lt;=730,5.5+(AP978-600)*0.10,IF(AP978&lt;=3896.67,18.5+(AP978-730)*0.175,IF(AP978&lt;=19896.67,572.67+(AP978-3896.67)*0.25,IF(AP978&lt;=50416.67,4572.67+(AP978-19896.67)*0.30,13728.67+(AP978-50416.67)*0.35))))))</f>
        <v/>
      </c>
      <c r="AR978" s="6">
        <f>SUM(AM978,AQ978,W978,X978,Y978,Z978,AA978,AN978,AO978)</f>
        <v/>
      </c>
      <c r="AS978" s="6">
        <f>AL978-AR978</f>
        <v/>
      </c>
      <c r="AT978" s="6">
        <f>AB978-AC978</f>
        <v/>
      </c>
    </row>
    <row r="979">
      <c r="A979" s="2" t="n"/>
      <c r="B979" s="3" t="n"/>
      <c r="C979" s="4" t="n"/>
      <c r="D979" s="5" t="n"/>
      <c r="E979" s="3" t="n"/>
      <c r="F979" s="4" t="n"/>
      <c r="G979" s="5" t="n"/>
      <c r="H979" s="3" t="n"/>
      <c r="I979" s="4" t="n"/>
      <c r="J979" s="5" t="n"/>
      <c r="K979" s="3" t="n"/>
      <c r="L979" s="4" t="n"/>
      <c r="M979" s="5" t="n"/>
      <c r="N979" s="3" t="n"/>
      <c r="O979" s="4" t="n"/>
      <c r="P979" s="5" t="n"/>
      <c r="Q979" s="3" t="n"/>
      <c r="R979" s="4" t="n"/>
      <c r="S979" s="5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6">
        <f>IF(C979=0,0,IF(E979="",B979*D979/100,E979))</f>
        <v/>
      </c>
      <c r="AE979" s="6">
        <f>IF(F979=0,0,IF(H979="",B979*G979/100,H979))</f>
        <v/>
      </c>
      <c r="AF979" s="6">
        <f>IF(I979=0,0,IF(K979="",B979*J979/100,K979))</f>
        <v/>
      </c>
      <c r="AG979" s="6">
        <f>IF(L979=0,0,IF(N979="",B979*M979/100,N979))</f>
        <v/>
      </c>
      <c r="AH979" s="6">
        <f>IF(O979=0,0,IF(Q979="",B979*P979/100,Q979))</f>
        <v/>
      </c>
      <c r="AI979" s="6">
        <f>IF(R979=0,0,IF(T979="",B979*S979/100,T979))</f>
        <v/>
      </c>
      <c r="AJ979" s="6">
        <f>B979*0.035</f>
        <v/>
      </c>
      <c r="AK979" s="6">
        <f>B979*0.065</f>
        <v/>
      </c>
      <c r="AL979" s="6">
        <f>SUM(B979,AD979,AE979,AF979,AG979,AH979,AI979,U979,V979,AJ979,AK979)</f>
        <v/>
      </c>
      <c r="AM979" s="6">
        <f>B979*0.055</f>
        <v/>
      </c>
      <c r="AN979" s="6">
        <f>B979*0.035</f>
        <v/>
      </c>
      <c r="AO979" s="6">
        <f>B979*0.165</f>
        <v/>
      </c>
      <c r="AP979" s="6">
        <f>MAX(0,AL979-AM979-AO979)</f>
        <v/>
      </c>
      <c r="AQ979" s="6">
        <f>IF(AP979&lt;=490,0,IF(AP979&lt;=600,(AP979-490)*0.05,IF(AP979&lt;=730,5.5+(AP979-600)*0.10,IF(AP979&lt;=3896.67,18.5+(AP979-730)*0.175,IF(AP979&lt;=19896.67,572.67+(AP979-3896.67)*0.25,IF(AP979&lt;=50416.67,4572.67+(AP979-19896.67)*0.30,13728.67+(AP979-50416.67)*0.35))))))</f>
        <v/>
      </c>
      <c r="AR979" s="6">
        <f>SUM(AM979,AQ979,W979,X979,Y979,Z979,AA979,AN979,AO979)</f>
        <v/>
      </c>
      <c r="AS979" s="6">
        <f>AL979-AR979</f>
        <v/>
      </c>
      <c r="AT979" s="6">
        <f>AB979-AC979</f>
        <v/>
      </c>
    </row>
    <row r="980">
      <c r="A980" s="2" t="n"/>
      <c r="B980" s="3" t="n"/>
      <c r="C980" s="4" t="n"/>
      <c r="D980" s="5" t="n"/>
      <c r="E980" s="3" t="n"/>
      <c r="F980" s="4" t="n"/>
      <c r="G980" s="5" t="n"/>
      <c r="H980" s="3" t="n"/>
      <c r="I980" s="4" t="n"/>
      <c r="J980" s="5" t="n"/>
      <c r="K980" s="3" t="n"/>
      <c r="L980" s="4" t="n"/>
      <c r="M980" s="5" t="n"/>
      <c r="N980" s="3" t="n"/>
      <c r="O980" s="4" t="n"/>
      <c r="P980" s="5" t="n"/>
      <c r="Q980" s="3" t="n"/>
      <c r="R980" s="4" t="n"/>
      <c r="S980" s="5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6">
        <f>IF(C980=0,0,IF(E980="",B980*D980/100,E980))</f>
        <v/>
      </c>
      <c r="AE980" s="6">
        <f>IF(F980=0,0,IF(H980="",B980*G980/100,H980))</f>
        <v/>
      </c>
      <c r="AF980" s="6">
        <f>IF(I980=0,0,IF(K980="",B980*J980/100,K980))</f>
        <v/>
      </c>
      <c r="AG980" s="6">
        <f>IF(L980=0,0,IF(N980="",B980*M980/100,N980))</f>
        <v/>
      </c>
      <c r="AH980" s="6">
        <f>IF(O980=0,0,IF(Q980="",B980*P980/100,Q980))</f>
        <v/>
      </c>
      <c r="AI980" s="6">
        <f>IF(R980=0,0,IF(T980="",B980*S980/100,T980))</f>
        <v/>
      </c>
      <c r="AJ980" s="6">
        <f>B980*0.035</f>
        <v/>
      </c>
      <c r="AK980" s="6">
        <f>B980*0.065</f>
        <v/>
      </c>
      <c r="AL980" s="6">
        <f>SUM(B980,AD980,AE980,AF980,AG980,AH980,AI980,U980,V980,AJ980,AK980)</f>
        <v/>
      </c>
      <c r="AM980" s="6">
        <f>B980*0.055</f>
        <v/>
      </c>
      <c r="AN980" s="6">
        <f>B980*0.035</f>
        <v/>
      </c>
      <c r="AO980" s="6">
        <f>B980*0.165</f>
        <v/>
      </c>
      <c r="AP980" s="6">
        <f>MAX(0,AL980-AM980-AO980)</f>
        <v/>
      </c>
      <c r="AQ980" s="6">
        <f>IF(AP980&lt;=490,0,IF(AP980&lt;=600,(AP980-490)*0.05,IF(AP980&lt;=730,5.5+(AP980-600)*0.10,IF(AP980&lt;=3896.67,18.5+(AP980-730)*0.175,IF(AP980&lt;=19896.67,572.67+(AP980-3896.67)*0.25,IF(AP980&lt;=50416.67,4572.67+(AP980-19896.67)*0.30,13728.67+(AP980-50416.67)*0.35))))))</f>
        <v/>
      </c>
      <c r="AR980" s="6">
        <f>SUM(AM980,AQ980,W980,X980,Y980,Z980,AA980,AN980,AO980)</f>
        <v/>
      </c>
      <c r="AS980" s="6">
        <f>AL980-AR980</f>
        <v/>
      </c>
      <c r="AT980" s="6">
        <f>AB980-AC980</f>
        <v/>
      </c>
    </row>
    <row r="981">
      <c r="A981" s="2" t="n"/>
      <c r="B981" s="3" t="n"/>
      <c r="C981" s="4" t="n"/>
      <c r="D981" s="5" t="n"/>
      <c r="E981" s="3" t="n"/>
      <c r="F981" s="4" t="n"/>
      <c r="G981" s="5" t="n"/>
      <c r="H981" s="3" t="n"/>
      <c r="I981" s="4" t="n"/>
      <c r="J981" s="5" t="n"/>
      <c r="K981" s="3" t="n"/>
      <c r="L981" s="4" t="n"/>
      <c r="M981" s="5" t="n"/>
      <c r="N981" s="3" t="n"/>
      <c r="O981" s="4" t="n"/>
      <c r="P981" s="5" t="n"/>
      <c r="Q981" s="3" t="n"/>
      <c r="R981" s="4" t="n"/>
      <c r="S981" s="5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6">
        <f>IF(C981=0,0,IF(E981="",B981*D981/100,E981))</f>
        <v/>
      </c>
      <c r="AE981" s="6">
        <f>IF(F981=0,0,IF(H981="",B981*G981/100,H981))</f>
        <v/>
      </c>
      <c r="AF981" s="6">
        <f>IF(I981=0,0,IF(K981="",B981*J981/100,K981))</f>
        <v/>
      </c>
      <c r="AG981" s="6">
        <f>IF(L981=0,0,IF(N981="",B981*M981/100,N981))</f>
        <v/>
      </c>
      <c r="AH981" s="6">
        <f>IF(O981=0,0,IF(Q981="",B981*P981/100,Q981))</f>
        <v/>
      </c>
      <c r="AI981" s="6">
        <f>IF(R981=0,0,IF(T981="",B981*S981/100,T981))</f>
        <v/>
      </c>
      <c r="AJ981" s="6">
        <f>B981*0.035</f>
        <v/>
      </c>
      <c r="AK981" s="6">
        <f>B981*0.065</f>
        <v/>
      </c>
      <c r="AL981" s="6">
        <f>SUM(B981,AD981,AE981,AF981,AG981,AH981,AI981,U981,V981,AJ981,AK981)</f>
        <v/>
      </c>
      <c r="AM981" s="6">
        <f>B981*0.055</f>
        <v/>
      </c>
      <c r="AN981" s="6">
        <f>B981*0.035</f>
        <v/>
      </c>
      <c r="AO981" s="6">
        <f>B981*0.165</f>
        <v/>
      </c>
      <c r="AP981" s="6">
        <f>MAX(0,AL981-AM981-AO981)</f>
        <v/>
      </c>
      <c r="AQ981" s="6">
        <f>IF(AP981&lt;=490,0,IF(AP981&lt;=600,(AP981-490)*0.05,IF(AP981&lt;=730,5.5+(AP981-600)*0.10,IF(AP981&lt;=3896.67,18.5+(AP981-730)*0.175,IF(AP981&lt;=19896.67,572.67+(AP981-3896.67)*0.25,IF(AP981&lt;=50416.67,4572.67+(AP981-19896.67)*0.30,13728.67+(AP981-50416.67)*0.35))))))</f>
        <v/>
      </c>
      <c r="AR981" s="6">
        <f>SUM(AM981,AQ981,W981,X981,Y981,Z981,AA981,AN981,AO981)</f>
        <v/>
      </c>
      <c r="AS981" s="6">
        <f>AL981-AR981</f>
        <v/>
      </c>
      <c r="AT981" s="6">
        <f>AB981-AC981</f>
        <v/>
      </c>
    </row>
    <row r="982">
      <c r="A982" s="2" t="n"/>
      <c r="B982" s="3" t="n"/>
      <c r="C982" s="4" t="n"/>
      <c r="D982" s="5" t="n"/>
      <c r="E982" s="3" t="n"/>
      <c r="F982" s="4" t="n"/>
      <c r="G982" s="5" t="n"/>
      <c r="H982" s="3" t="n"/>
      <c r="I982" s="4" t="n"/>
      <c r="J982" s="5" t="n"/>
      <c r="K982" s="3" t="n"/>
      <c r="L982" s="4" t="n"/>
      <c r="M982" s="5" t="n"/>
      <c r="N982" s="3" t="n"/>
      <c r="O982" s="4" t="n"/>
      <c r="P982" s="5" t="n"/>
      <c r="Q982" s="3" t="n"/>
      <c r="R982" s="4" t="n"/>
      <c r="S982" s="5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6">
        <f>IF(C982=0,0,IF(E982="",B982*D982/100,E982))</f>
        <v/>
      </c>
      <c r="AE982" s="6">
        <f>IF(F982=0,0,IF(H982="",B982*G982/100,H982))</f>
        <v/>
      </c>
      <c r="AF982" s="6">
        <f>IF(I982=0,0,IF(K982="",B982*J982/100,K982))</f>
        <v/>
      </c>
      <c r="AG982" s="6">
        <f>IF(L982=0,0,IF(N982="",B982*M982/100,N982))</f>
        <v/>
      </c>
      <c r="AH982" s="6">
        <f>IF(O982=0,0,IF(Q982="",B982*P982/100,Q982))</f>
        <v/>
      </c>
      <c r="AI982" s="6">
        <f>IF(R982=0,0,IF(T982="",B982*S982/100,T982))</f>
        <v/>
      </c>
      <c r="AJ982" s="6">
        <f>B982*0.035</f>
        <v/>
      </c>
      <c r="AK982" s="6">
        <f>B982*0.065</f>
        <v/>
      </c>
      <c r="AL982" s="6">
        <f>SUM(B982,AD982,AE982,AF982,AG982,AH982,AI982,U982,V982,AJ982,AK982)</f>
        <v/>
      </c>
      <c r="AM982" s="6">
        <f>B982*0.055</f>
        <v/>
      </c>
      <c r="AN982" s="6">
        <f>B982*0.035</f>
        <v/>
      </c>
      <c r="AO982" s="6">
        <f>B982*0.165</f>
        <v/>
      </c>
      <c r="AP982" s="6">
        <f>MAX(0,AL982-AM982-AO982)</f>
        <v/>
      </c>
      <c r="AQ982" s="6">
        <f>IF(AP982&lt;=490,0,IF(AP982&lt;=600,(AP982-490)*0.05,IF(AP982&lt;=730,5.5+(AP982-600)*0.10,IF(AP982&lt;=3896.67,18.5+(AP982-730)*0.175,IF(AP982&lt;=19896.67,572.67+(AP982-3896.67)*0.25,IF(AP982&lt;=50416.67,4572.67+(AP982-19896.67)*0.30,13728.67+(AP982-50416.67)*0.35))))))</f>
        <v/>
      </c>
      <c r="AR982" s="6">
        <f>SUM(AM982,AQ982,W982,X982,Y982,Z982,AA982,AN982,AO982)</f>
        <v/>
      </c>
      <c r="AS982" s="6">
        <f>AL982-AR982</f>
        <v/>
      </c>
      <c r="AT982" s="6">
        <f>AB982-AC982</f>
        <v/>
      </c>
    </row>
    <row r="983">
      <c r="A983" s="2" t="n"/>
      <c r="B983" s="3" t="n"/>
      <c r="C983" s="4" t="n"/>
      <c r="D983" s="5" t="n"/>
      <c r="E983" s="3" t="n"/>
      <c r="F983" s="4" t="n"/>
      <c r="G983" s="5" t="n"/>
      <c r="H983" s="3" t="n"/>
      <c r="I983" s="4" t="n"/>
      <c r="J983" s="5" t="n"/>
      <c r="K983" s="3" t="n"/>
      <c r="L983" s="4" t="n"/>
      <c r="M983" s="5" t="n"/>
      <c r="N983" s="3" t="n"/>
      <c r="O983" s="4" t="n"/>
      <c r="P983" s="5" t="n"/>
      <c r="Q983" s="3" t="n"/>
      <c r="R983" s="4" t="n"/>
      <c r="S983" s="5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6">
        <f>IF(C983=0,0,IF(E983="",B983*D983/100,E983))</f>
        <v/>
      </c>
      <c r="AE983" s="6">
        <f>IF(F983=0,0,IF(H983="",B983*G983/100,H983))</f>
        <v/>
      </c>
      <c r="AF983" s="6">
        <f>IF(I983=0,0,IF(K983="",B983*J983/100,K983))</f>
        <v/>
      </c>
      <c r="AG983" s="6">
        <f>IF(L983=0,0,IF(N983="",B983*M983/100,N983))</f>
        <v/>
      </c>
      <c r="AH983" s="6">
        <f>IF(O983=0,0,IF(Q983="",B983*P983/100,Q983))</f>
        <v/>
      </c>
      <c r="AI983" s="6">
        <f>IF(R983=0,0,IF(T983="",B983*S983/100,T983))</f>
        <v/>
      </c>
      <c r="AJ983" s="6">
        <f>B983*0.035</f>
        <v/>
      </c>
      <c r="AK983" s="6">
        <f>B983*0.065</f>
        <v/>
      </c>
      <c r="AL983" s="6">
        <f>SUM(B983,AD983,AE983,AF983,AG983,AH983,AI983,U983,V983,AJ983,AK983)</f>
        <v/>
      </c>
      <c r="AM983" s="6">
        <f>B983*0.055</f>
        <v/>
      </c>
      <c r="AN983" s="6">
        <f>B983*0.035</f>
        <v/>
      </c>
      <c r="AO983" s="6">
        <f>B983*0.165</f>
        <v/>
      </c>
      <c r="AP983" s="6">
        <f>MAX(0,AL983-AM983-AO983)</f>
        <v/>
      </c>
      <c r="AQ983" s="6">
        <f>IF(AP983&lt;=490,0,IF(AP983&lt;=600,(AP983-490)*0.05,IF(AP983&lt;=730,5.5+(AP983-600)*0.10,IF(AP983&lt;=3896.67,18.5+(AP983-730)*0.175,IF(AP983&lt;=19896.67,572.67+(AP983-3896.67)*0.25,IF(AP983&lt;=50416.67,4572.67+(AP983-19896.67)*0.30,13728.67+(AP983-50416.67)*0.35))))))</f>
        <v/>
      </c>
      <c r="AR983" s="6">
        <f>SUM(AM983,AQ983,W983,X983,Y983,Z983,AA983,AN983,AO983)</f>
        <v/>
      </c>
      <c r="AS983" s="6">
        <f>AL983-AR983</f>
        <v/>
      </c>
      <c r="AT983" s="6">
        <f>AB983-AC983</f>
        <v/>
      </c>
    </row>
    <row r="984">
      <c r="A984" s="2" t="n"/>
      <c r="B984" s="3" t="n"/>
      <c r="C984" s="4" t="n"/>
      <c r="D984" s="5" t="n"/>
      <c r="E984" s="3" t="n"/>
      <c r="F984" s="4" t="n"/>
      <c r="G984" s="5" t="n"/>
      <c r="H984" s="3" t="n"/>
      <c r="I984" s="4" t="n"/>
      <c r="J984" s="5" t="n"/>
      <c r="K984" s="3" t="n"/>
      <c r="L984" s="4" t="n"/>
      <c r="M984" s="5" t="n"/>
      <c r="N984" s="3" t="n"/>
      <c r="O984" s="4" t="n"/>
      <c r="P984" s="5" t="n"/>
      <c r="Q984" s="3" t="n"/>
      <c r="R984" s="4" t="n"/>
      <c r="S984" s="5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6">
        <f>IF(C984=0,0,IF(E984="",B984*D984/100,E984))</f>
        <v/>
      </c>
      <c r="AE984" s="6">
        <f>IF(F984=0,0,IF(H984="",B984*G984/100,H984))</f>
        <v/>
      </c>
      <c r="AF984" s="6">
        <f>IF(I984=0,0,IF(K984="",B984*J984/100,K984))</f>
        <v/>
      </c>
      <c r="AG984" s="6">
        <f>IF(L984=0,0,IF(N984="",B984*M984/100,N984))</f>
        <v/>
      </c>
      <c r="AH984" s="6">
        <f>IF(O984=0,0,IF(Q984="",B984*P984/100,Q984))</f>
        <v/>
      </c>
      <c r="AI984" s="6">
        <f>IF(R984=0,0,IF(T984="",B984*S984/100,T984))</f>
        <v/>
      </c>
      <c r="AJ984" s="6">
        <f>B984*0.035</f>
        <v/>
      </c>
      <c r="AK984" s="6">
        <f>B984*0.065</f>
        <v/>
      </c>
      <c r="AL984" s="6">
        <f>SUM(B984,AD984,AE984,AF984,AG984,AH984,AI984,U984,V984,AJ984,AK984)</f>
        <v/>
      </c>
      <c r="AM984" s="6">
        <f>B984*0.055</f>
        <v/>
      </c>
      <c r="AN984" s="6">
        <f>B984*0.035</f>
        <v/>
      </c>
      <c r="AO984" s="6">
        <f>B984*0.165</f>
        <v/>
      </c>
      <c r="AP984" s="6">
        <f>MAX(0,AL984-AM984-AO984)</f>
        <v/>
      </c>
      <c r="AQ984" s="6">
        <f>IF(AP984&lt;=490,0,IF(AP984&lt;=600,(AP984-490)*0.05,IF(AP984&lt;=730,5.5+(AP984-600)*0.10,IF(AP984&lt;=3896.67,18.5+(AP984-730)*0.175,IF(AP984&lt;=19896.67,572.67+(AP984-3896.67)*0.25,IF(AP984&lt;=50416.67,4572.67+(AP984-19896.67)*0.30,13728.67+(AP984-50416.67)*0.35))))))</f>
        <v/>
      </c>
      <c r="AR984" s="6">
        <f>SUM(AM984,AQ984,W984,X984,Y984,Z984,AA984,AN984,AO984)</f>
        <v/>
      </c>
      <c r="AS984" s="6">
        <f>AL984-AR984</f>
        <v/>
      </c>
      <c r="AT984" s="6">
        <f>AB984-AC984</f>
        <v/>
      </c>
    </row>
    <row r="985">
      <c r="A985" s="2" t="n"/>
      <c r="B985" s="3" t="n"/>
      <c r="C985" s="4" t="n"/>
      <c r="D985" s="5" t="n"/>
      <c r="E985" s="3" t="n"/>
      <c r="F985" s="4" t="n"/>
      <c r="G985" s="5" t="n"/>
      <c r="H985" s="3" t="n"/>
      <c r="I985" s="4" t="n"/>
      <c r="J985" s="5" t="n"/>
      <c r="K985" s="3" t="n"/>
      <c r="L985" s="4" t="n"/>
      <c r="M985" s="5" t="n"/>
      <c r="N985" s="3" t="n"/>
      <c r="O985" s="4" t="n"/>
      <c r="P985" s="5" t="n"/>
      <c r="Q985" s="3" t="n"/>
      <c r="R985" s="4" t="n"/>
      <c r="S985" s="5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6">
        <f>IF(C985=0,0,IF(E985="",B985*D985/100,E985))</f>
        <v/>
      </c>
      <c r="AE985" s="6">
        <f>IF(F985=0,0,IF(H985="",B985*G985/100,H985))</f>
        <v/>
      </c>
      <c r="AF985" s="6">
        <f>IF(I985=0,0,IF(K985="",B985*J985/100,K985))</f>
        <v/>
      </c>
      <c r="AG985" s="6">
        <f>IF(L985=0,0,IF(N985="",B985*M985/100,N985))</f>
        <v/>
      </c>
      <c r="AH985" s="6">
        <f>IF(O985=0,0,IF(Q985="",B985*P985/100,Q985))</f>
        <v/>
      </c>
      <c r="AI985" s="6">
        <f>IF(R985=0,0,IF(T985="",B985*S985/100,T985))</f>
        <v/>
      </c>
      <c r="AJ985" s="6">
        <f>B985*0.035</f>
        <v/>
      </c>
      <c r="AK985" s="6">
        <f>B985*0.065</f>
        <v/>
      </c>
      <c r="AL985" s="6">
        <f>SUM(B985,AD985,AE985,AF985,AG985,AH985,AI985,U985,V985,AJ985,AK985)</f>
        <v/>
      </c>
      <c r="AM985" s="6">
        <f>B985*0.055</f>
        <v/>
      </c>
      <c r="AN985" s="6">
        <f>B985*0.035</f>
        <v/>
      </c>
      <c r="AO985" s="6">
        <f>B985*0.165</f>
        <v/>
      </c>
      <c r="AP985" s="6">
        <f>MAX(0,AL985-AM985-AO985)</f>
        <v/>
      </c>
      <c r="AQ985" s="6">
        <f>IF(AP985&lt;=490,0,IF(AP985&lt;=600,(AP985-490)*0.05,IF(AP985&lt;=730,5.5+(AP985-600)*0.10,IF(AP985&lt;=3896.67,18.5+(AP985-730)*0.175,IF(AP985&lt;=19896.67,572.67+(AP985-3896.67)*0.25,IF(AP985&lt;=50416.67,4572.67+(AP985-19896.67)*0.30,13728.67+(AP985-50416.67)*0.35))))))</f>
        <v/>
      </c>
      <c r="AR985" s="6">
        <f>SUM(AM985,AQ985,W985,X985,Y985,Z985,AA985,AN985,AO985)</f>
        <v/>
      </c>
      <c r="AS985" s="6">
        <f>AL985-AR985</f>
        <v/>
      </c>
      <c r="AT985" s="6">
        <f>AB985-AC985</f>
        <v/>
      </c>
    </row>
    <row r="986">
      <c r="A986" s="2" t="n"/>
      <c r="B986" s="3" t="n"/>
      <c r="C986" s="4" t="n"/>
      <c r="D986" s="5" t="n"/>
      <c r="E986" s="3" t="n"/>
      <c r="F986" s="4" t="n"/>
      <c r="G986" s="5" t="n"/>
      <c r="H986" s="3" t="n"/>
      <c r="I986" s="4" t="n"/>
      <c r="J986" s="5" t="n"/>
      <c r="K986" s="3" t="n"/>
      <c r="L986" s="4" t="n"/>
      <c r="M986" s="5" t="n"/>
      <c r="N986" s="3" t="n"/>
      <c r="O986" s="4" t="n"/>
      <c r="P986" s="5" t="n"/>
      <c r="Q986" s="3" t="n"/>
      <c r="R986" s="4" t="n"/>
      <c r="S986" s="5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6">
        <f>IF(C986=0,0,IF(E986="",B986*D986/100,E986))</f>
        <v/>
      </c>
      <c r="AE986" s="6">
        <f>IF(F986=0,0,IF(H986="",B986*G986/100,H986))</f>
        <v/>
      </c>
      <c r="AF986" s="6">
        <f>IF(I986=0,0,IF(K986="",B986*J986/100,K986))</f>
        <v/>
      </c>
      <c r="AG986" s="6">
        <f>IF(L986=0,0,IF(N986="",B986*M986/100,N986))</f>
        <v/>
      </c>
      <c r="AH986" s="6">
        <f>IF(O986=0,0,IF(Q986="",B986*P986/100,Q986))</f>
        <v/>
      </c>
      <c r="AI986" s="6">
        <f>IF(R986=0,0,IF(T986="",B986*S986/100,T986))</f>
        <v/>
      </c>
      <c r="AJ986" s="6">
        <f>B986*0.035</f>
        <v/>
      </c>
      <c r="AK986" s="6">
        <f>B986*0.065</f>
        <v/>
      </c>
      <c r="AL986" s="6">
        <f>SUM(B986,AD986,AE986,AF986,AG986,AH986,AI986,U986,V986,AJ986,AK986)</f>
        <v/>
      </c>
      <c r="AM986" s="6">
        <f>B986*0.055</f>
        <v/>
      </c>
      <c r="AN986" s="6">
        <f>B986*0.035</f>
        <v/>
      </c>
      <c r="AO986" s="6">
        <f>B986*0.165</f>
        <v/>
      </c>
      <c r="AP986" s="6">
        <f>MAX(0,AL986-AM986-AO986)</f>
        <v/>
      </c>
      <c r="AQ986" s="6">
        <f>IF(AP986&lt;=490,0,IF(AP986&lt;=600,(AP986-490)*0.05,IF(AP986&lt;=730,5.5+(AP986-600)*0.10,IF(AP986&lt;=3896.67,18.5+(AP986-730)*0.175,IF(AP986&lt;=19896.67,572.67+(AP986-3896.67)*0.25,IF(AP986&lt;=50416.67,4572.67+(AP986-19896.67)*0.30,13728.67+(AP986-50416.67)*0.35))))))</f>
        <v/>
      </c>
      <c r="AR986" s="6">
        <f>SUM(AM986,AQ986,W986,X986,Y986,Z986,AA986,AN986,AO986)</f>
        <v/>
      </c>
      <c r="AS986" s="6">
        <f>AL986-AR986</f>
        <v/>
      </c>
      <c r="AT986" s="6">
        <f>AB986-AC986</f>
        <v/>
      </c>
    </row>
    <row r="987">
      <c r="A987" s="2" t="n"/>
      <c r="B987" s="3" t="n"/>
      <c r="C987" s="4" t="n"/>
      <c r="D987" s="5" t="n"/>
      <c r="E987" s="3" t="n"/>
      <c r="F987" s="4" t="n"/>
      <c r="G987" s="5" t="n"/>
      <c r="H987" s="3" t="n"/>
      <c r="I987" s="4" t="n"/>
      <c r="J987" s="5" t="n"/>
      <c r="K987" s="3" t="n"/>
      <c r="L987" s="4" t="n"/>
      <c r="M987" s="5" t="n"/>
      <c r="N987" s="3" t="n"/>
      <c r="O987" s="4" t="n"/>
      <c r="P987" s="5" t="n"/>
      <c r="Q987" s="3" t="n"/>
      <c r="R987" s="4" t="n"/>
      <c r="S987" s="5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6">
        <f>IF(C987=0,0,IF(E987="",B987*D987/100,E987))</f>
        <v/>
      </c>
      <c r="AE987" s="6">
        <f>IF(F987=0,0,IF(H987="",B987*G987/100,H987))</f>
        <v/>
      </c>
      <c r="AF987" s="6">
        <f>IF(I987=0,0,IF(K987="",B987*J987/100,K987))</f>
        <v/>
      </c>
      <c r="AG987" s="6">
        <f>IF(L987=0,0,IF(N987="",B987*M987/100,N987))</f>
        <v/>
      </c>
      <c r="AH987" s="6">
        <f>IF(O987=0,0,IF(Q987="",B987*P987/100,Q987))</f>
        <v/>
      </c>
      <c r="AI987" s="6">
        <f>IF(R987=0,0,IF(T987="",B987*S987/100,T987))</f>
        <v/>
      </c>
      <c r="AJ987" s="6">
        <f>B987*0.035</f>
        <v/>
      </c>
      <c r="AK987" s="6">
        <f>B987*0.065</f>
        <v/>
      </c>
      <c r="AL987" s="6">
        <f>SUM(B987,AD987,AE987,AF987,AG987,AH987,AI987,U987,V987,AJ987,AK987)</f>
        <v/>
      </c>
      <c r="AM987" s="6">
        <f>B987*0.055</f>
        <v/>
      </c>
      <c r="AN987" s="6">
        <f>B987*0.035</f>
        <v/>
      </c>
      <c r="AO987" s="6">
        <f>B987*0.165</f>
        <v/>
      </c>
      <c r="AP987" s="6">
        <f>MAX(0,AL987-AM987-AO987)</f>
        <v/>
      </c>
      <c r="AQ987" s="6">
        <f>IF(AP987&lt;=490,0,IF(AP987&lt;=600,(AP987-490)*0.05,IF(AP987&lt;=730,5.5+(AP987-600)*0.10,IF(AP987&lt;=3896.67,18.5+(AP987-730)*0.175,IF(AP987&lt;=19896.67,572.67+(AP987-3896.67)*0.25,IF(AP987&lt;=50416.67,4572.67+(AP987-19896.67)*0.30,13728.67+(AP987-50416.67)*0.35))))))</f>
        <v/>
      </c>
      <c r="AR987" s="6">
        <f>SUM(AM987,AQ987,W987,X987,Y987,Z987,AA987,AN987,AO987)</f>
        <v/>
      </c>
      <c r="AS987" s="6">
        <f>AL987-AR987</f>
        <v/>
      </c>
      <c r="AT987" s="6">
        <f>AB987-AC987</f>
        <v/>
      </c>
    </row>
    <row r="988">
      <c r="A988" s="2" t="n"/>
      <c r="B988" s="3" t="n"/>
      <c r="C988" s="4" t="n"/>
      <c r="D988" s="5" t="n"/>
      <c r="E988" s="3" t="n"/>
      <c r="F988" s="4" t="n"/>
      <c r="G988" s="5" t="n"/>
      <c r="H988" s="3" t="n"/>
      <c r="I988" s="4" t="n"/>
      <c r="J988" s="5" t="n"/>
      <c r="K988" s="3" t="n"/>
      <c r="L988" s="4" t="n"/>
      <c r="M988" s="5" t="n"/>
      <c r="N988" s="3" t="n"/>
      <c r="O988" s="4" t="n"/>
      <c r="P988" s="5" t="n"/>
      <c r="Q988" s="3" t="n"/>
      <c r="R988" s="4" t="n"/>
      <c r="S988" s="5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6">
        <f>IF(C988=0,0,IF(E988="",B988*D988/100,E988))</f>
        <v/>
      </c>
      <c r="AE988" s="6">
        <f>IF(F988=0,0,IF(H988="",B988*G988/100,H988))</f>
        <v/>
      </c>
      <c r="AF988" s="6">
        <f>IF(I988=0,0,IF(K988="",B988*J988/100,K988))</f>
        <v/>
      </c>
      <c r="AG988" s="6">
        <f>IF(L988=0,0,IF(N988="",B988*M988/100,N988))</f>
        <v/>
      </c>
      <c r="AH988" s="6">
        <f>IF(O988=0,0,IF(Q988="",B988*P988/100,Q988))</f>
        <v/>
      </c>
      <c r="AI988" s="6">
        <f>IF(R988=0,0,IF(T988="",B988*S988/100,T988))</f>
        <v/>
      </c>
      <c r="AJ988" s="6">
        <f>B988*0.035</f>
        <v/>
      </c>
      <c r="AK988" s="6">
        <f>B988*0.065</f>
        <v/>
      </c>
      <c r="AL988" s="6">
        <f>SUM(B988,AD988,AE988,AF988,AG988,AH988,AI988,U988,V988,AJ988,AK988)</f>
        <v/>
      </c>
      <c r="AM988" s="6">
        <f>B988*0.055</f>
        <v/>
      </c>
      <c r="AN988" s="6">
        <f>B988*0.035</f>
        <v/>
      </c>
      <c r="AO988" s="6">
        <f>B988*0.165</f>
        <v/>
      </c>
      <c r="AP988" s="6">
        <f>MAX(0,AL988-AM988-AO988)</f>
        <v/>
      </c>
      <c r="AQ988" s="6">
        <f>IF(AP988&lt;=490,0,IF(AP988&lt;=600,(AP988-490)*0.05,IF(AP988&lt;=730,5.5+(AP988-600)*0.10,IF(AP988&lt;=3896.67,18.5+(AP988-730)*0.175,IF(AP988&lt;=19896.67,572.67+(AP988-3896.67)*0.25,IF(AP988&lt;=50416.67,4572.67+(AP988-19896.67)*0.30,13728.67+(AP988-50416.67)*0.35))))))</f>
        <v/>
      </c>
      <c r="AR988" s="6">
        <f>SUM(AM988,AQ988,W988,X988,Y988,Z988,AA988,AN988,AO988)</f>
        <v/>
      </c>
      <c r="AS988" s="6">
        <f>AL988-AR988</f>
        <v/>
      </c>
      <c r="AT988" s="6">
        <f>AB988-AC988</f>
        <v/>
      </c>
    </row>
    <row r="989">
      <c r="A989" s="2" t="n"/>
      <c r="B989" s="3" t="n"/>
      <c r="C989" s="4" t="n"/>
      <c r="D989" s="5" t="n"/>
      <c r="E989" s="3" t="n"/>
      <c r="F989" s="4" t="n"/>
      <c r="G989" s="5" t="n"/>
      <c r="H989" s="3" t="n"/>
      <c r="I989" s="4" t="n"/>
      <c r="J989" s="5" t="n"/>
      <c r="K989" s="3" t="n"/>
      <c r="L989" s="4" t="n"/>
      <c r="M989" s="5" t="n"/>
      <c r="N989" s="3" t="n"/>
      <c r="O989" s="4" t="n"/>
      <c r="P989" s="5" t="n"/>
      <c r="Q989" s="3" t="n"/>
      <c r="R989" s="4" t="n"/>
      <c r="S989" s="5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6">
        <f>IF(C989=0,0,IF(E989="",B989*D989/100,E989))</f>
        <v/>
      </c>
      <c r="AE989" s="6">
        <f>IF(F989=0,0,IF(H989="",B989*G989/100,H989))</f>
        <v/>
      </c>
      <c r="AF989" s="6">
        <f>IF(I989=0,0,IF(K989="",B989*J989/100,K989))</f>
        <v/>
      </c>
      <c r="AG989" s="6">
        <f>IF(L989=0,0,IF(N989="",B989*M989/100,N989))</f>
        <v/>
      </c>
      <c r="AH989" s="6">
        <f>IF(O989=0,0,IF(Q989="",B989*P989/100,Q989))</f>
        <v/>
      </c>
      <c r="AI989" s="6">
        <f>IF(R989=0,0,IF(T989="",B989*S989/100,T989))</f>
        <v/>
      </c>
      <c r="AJ989" s="6">
        <f>B989*0.035</f>
        <v/>
      </c>
      <c r="AK989" s="6">
        <f>B989*0.065</f>
        <v/>
      </c>
      <c r="AL989" s="6">
        <f>SUM(B989,AD989,AE989,AF989,AG989,AH989,AI989,U989,V989,AJ989,AK989)</f>
        <v/>
      </c>
      <c r="AM989" s="6">
        <f>B989*0.055</f>
        <v/>
      </c>
      <c r="AN989" s="6">
        <f>B989*0.035</f>
        <v/>
      </c>
      <c r="AO989" s="6">
        <f>B989*0.165</f>
        <v/>
      </c>
      <c r="AP989" s="6">
        <f>MAX(0,AL989-AM989-AO989)</f>
        <v/>
      </c>
      <c r="AQ989" s="6">
        <f>IF(AP989&lt;=490,0,IF(AP989&lt;=600,(AP989-490)*0.05,IF(AP989&lt;=730,5.5+(AP989-600)*0.10,IF(AP989&lt;=3896.67,18.5+(AP989-730)*0.175,IF(AP989&lt;=19896.67,572.67+(AP989-3896.67)*0.25,IF(AP989&lt;=50416.67,4572.67+(AP989-19896.67)*0.30,13728.67+(AP989-50416.67)*0.35))))))</f>
        <v/>
      </c>
      <c r="AR989" s="6">
        <f>SUM(AM989,AQ989,W989,X989,Y989,Z989,AA989,AN989,AO989)</f>
        <v/>
      </c>
      <c r="AS989" s="6">
        <f>AL989-AR989</f>
        <v/>
      </c>
      <c r="AT989" s="6">
        <f>AB989-AC989</f>
        <v/>
      </c>
    </row>
    <row r="990">
      <c r="A990" s="2" t="n"/>
      <c r="B990" s="3" t="n"/>
      <c r="C990" s="4" t="n"/>
      <c r="D990" s="5" t="n"/>
      <c r="E990" s="3" t="n"/>
      <c r="F990" s="4" t="n"/>
      <c r="G990" s="5" t="n"/>
      <c r="H990" s="3" t="n"/>
      <c r="I990" s="4" t="n"/>
      <c r="J990" s="5" t="n"/>
      <c r="K990" s="3" t="n"/>
      <c r="L990" s="4" t="n"/>
      <c r="M990" s="5" t="n"/>
      <c r="N990" s="3" t="n"/>
      <c r="O990" s="4" t="n"/>
      <c r="P990" s="5" t="n"/>
      <c r="Q990" s="3" t="n"/>
      <c r="R990" s="4" t="n"/>
      <c r="S990" s="5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6">
        <f>IF(C990=0,0,IF(E990="",B990*D990/100,E990))</f>
        <v/>
      </c>
      <c r="AE990" s="6">
        <f>IF(F990=0,0,IF(H990="",B990*G990/100,H990))</f>
        <v/>
      </c>
      <c r="AF990" s="6">
        <f>IF(I990=0,0,IF(K990="",B990*J990/100,K990))</f>
        <v/>
      </c>
      <c r="AG990" s="6">
        <f>IF(L990=0,0,IF(N990="",B990*M990/100,N990))</f>
        <v/>
      </c>
      <c r="AH990" s="6">
        <f>IF(O990=0,0,IF(Q990="",B990*P990/100,Q990))</f>
        <v/>
      </c>
      <c r="AI990" s="6">
        <f>IF(R990=0,0,IF(T990="",B990*S990/100,T990))</f>
        <v/>
      </c>
      <c r="AJ990" s="6">
        <f>B990*0.035</f>
        <v/>
      </c>
      <c r="AK990" s="6">
        <f>B990*0.065</f>
        <v/>
      </c>
      <c r="AL990" s="6">
        <f>SUM(B990,AD990,AE990,AF990,AG990,AH990,AI990,U990,V990,AJ990,AK990)</f>
        <v/>
      </c>
      <c r="AM990" s="6">
        <f>B990*0.055</f>
        <v/>
      </c>
      <c r="AN990" s="6">
        <f>B990*0.035</f>
        <v/>
      </c>
      <c r="AO990" s="6">
        <f>B990*0.165</f>
        <v/>
      </c>
      <c r="AP990" s="6">
        <f>MAX(0,AL990-AM990-AO990)</f>
        <v/>
      </c>
      <c r="AQ990" s="6">
        <f>IF(AP990&lt;=490,0,IF(AP990&lt;=600,(AP990-490)*0.05,IF(AP990&lt;=730,5.5+(AP990-600)*0.10,IF(AP990&lt;=3896.67,18.5+(AP990-730)*0.175,IF(AP990&lt;=19896.67,572.67+(AP990-3896.67)*0.25,IF(AP990&lt;=50416.67,4572.67+(AP990-19896.67)*0.30,13728.67+(AP990-50416.67)*0.35))))))</f>
        <v/>
      </c>
      <c r="AR990" s="6">
        <f>SUM(AM990,AQ990,W990,X990,Y990,Z990,AA990,AN990,AO990)</f>
        <v/>
      </c>
      <c r="AS990" s="6">
        <f>AL990-AR990</f>
        <v/>
      </c>
      <c r="AT990" s="6">
        <f>AB990-AC990</f>
        <v/>
      </c>
    </row>
    <row r="991">
      <c r="A991" s="2" t="n"/>
      <c r="B991" s="3" t="n"/>
      <c r="C991" s="4" t="n"/>
      <c r="D991" s="5" t="n"/>
      <c r="E991" s="3" t="n"/>
      <c r="F991" s="4" t="n"/>
      <c r="G991" s="5" t="n"/>
      <c r="H991" s="3" t="n"/>
      <c r="I991" s="4" t="n"/>
      <c r="J991" s="5" t="n"/>
      <c r="K991" s="3" t="n"/>
      <c r="L991" s="4" t="n"/>
      <c r="M991" s="5" t="n"/>
      <c r="N991" s="3" t="n"/>
      <c r="O991" s="4" t="n"/>
      <c r="P991" s="5" t="n"/>
      <c r="Q991" s="3" t="n"/>
      <c r="R991" s="4" t="n"/>
      <c r="S991" s="5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6">
        <f>IF(C991=0,0,IF(E991="",B991*D991/100,E991))</f>
        <v/>
      </c>
      <c r="AE991" s="6">
        <f>IF(F991=0,0,IF(H991="",B991*G991/100,H991))</f>
        <v/>
      </c>
      <c r="AF991" s="6">
        <f>IF(I991=0,0,IF(K991="",B991*J991/100,K991))</f>
        <v/>
      </c>
      <c r="AG991" s="6">
        <f>IF(L991=0,0,IF(N991="",B991*M991/100,N991))</f>
        <v/>
      </c>
      <c r="AH991" s="6">
        <f>IF(O991=0,0,IF(Q991="",B991*P991/100,Q991))</f>
        <v/>
      </c>
      <c r="AI991" s="6">
        <f>IF(R991=0,0,IF(T991="",B991*S991/100,T991))</f>
        <v/>
      </c>
      <c r="AJ991" s="6">
        <f>B991*0.035</f>
        <v/>
      </c>
      <c r="AK991" s="6">
        <f>B991*0.065</f>
        <v/>
      </c>
      <c r="AL991" s="6">
        <f>SUM(B991,AD991,AE991,AF991,AG991,AH991,AI991,U991,V991,AJ991,AK991)</f>
        <v/>
      </c>
      <c r="AM991" s="6">
        <f>B991*0.055</f>
        <v/>
      </c>
      <c r="AN991" s="6">
        <f>B991*0.035</f>
        <v/>
      </c>
      <c r="AO991" s="6">
        <f>B991*0.165</f>
        <v/>
      </c>
      <c r="AP991" s="6">
        <f>MAX(0,AL991-AM991-AO991)</f>
        <v/>
      </c>
      <c r="AQ991" s="6">
        <f>IF(AP991&lt;=490,0,IF(AP991&lt;=600,(AP991-490)*0.05,IF(AP991&lt;=730,5.5+(AP991-600)*0.10,IF(AP991&lt;=3896.67,18.5+(AP991-730)*0.175,IF(AP991&lt;=19896.67,572.67+(AP991-3896.67)*0.25,IF(AP991&lt;=50416.67,4572.67+(AP991-19896.67)*0.30,13728.67+(AP991-50416.67)*0.35))))))</f>
        <v/>
      </c>
      <c r="AR991" s="6">
        <f>SUM(AM991,AQ991,W991,X991,Y991,Z991,AA991,AN991,AO991)</f>
        <v/>
      </c>
      <c r="AS991" s="6">
        <f>AL991-AR991</f>
        <v/>
      </c>
      <c r="AT991" s="6">
        <f>AB991-AC991</f>
        <v/>
      </c>
    </row>
    <row r="992">
      <c r="A992" s="2" t="n"/>
      <c r="B992" s="3" t="n"/>
      <c r="C992" s="4" t="n"/>
      <c r="D992" s="5" t="n"/>
      <c r="E992" s="3" t="n"/>
      <c r="F992" s="4" t="n"/>
      <c r="G992" s="5" t="n"/>
      <c r="H992" s="3" t="n"/>
      <c r="I992" s="4" t="n"/>
      <c r="J992" s="5" t="n"/>
      <c r="K992" s="3" t="n"/>
      <c r="L992" s="4" t="n"/>
      <c r="M992" s="5" t="n"/>
      <c r="N992" s="3" t="n"/>
      <c r="O992" s="4" t="n"/>
      <c r="P992" s="5" t="n"/>
      <c r="Q992" s="3" t="n"/>
      <c r="R992" s="4" t="n"/>
      <c r="S992" s="5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6">
        <f>IF(C992=0,0,IF(E992="",B992*D992/100,E992))</f>
        <v/>
      </c>
      <c r="AE992" s="6">
        <f>IF(F992=0,0,IF(H992="",B992*G992/100,H992))</f>
        <v/>
      </c>
      <c r="AF992" s="6">
        <f>IF(I992=0,0,IF(K992="",B992*J992/100,K992))</f>
        <v/>
      </c>
      <c r="AG992" s="6">
        <f>IF(L992=0,0,IF(N992="",B992*M992/100,N992))</f>
        <v/>
      </c>
      <c r="AH992" s="6">
        <f>IF(O992=0,0,IF(Q992="",B992*P992/100,Q992))</f>
        <v/>
      </c>
      <c r="AI992" s="6">
        <f>IF(R992=0,0,IF(T992="",B992*S992/100,T992))</f>
        <v/>
      </c>
      <c r="AJ992" s="6">
        <f>B992*0.035</f>
        <v/>
      </c>
      <c r="AK992" s="6">
        <f>B992*0.065</f>
        <v/>
      </c>
      <c r="AL992" s="6">
        <f>SUM(B992,AD992,AE992,AF992,AG992,AH992,AI992,U992,V992,AJ992,AK992)</f>
        <v/>
      </c>
      <c r="AM992" s="6">
        <f>B992*0.055</f>
        <v/>
      </c>
      <c r="AN992" s="6">
        <f>B992*0.035</f>
        <v/>
      </c>
      <c r="AO992" s="6">
        <f>B992*0.165</f>
        <v/>
      </c>
      <c r="AP992" s="6">
        <f>MAX(0,AL992-AM992-AO992)</f>
        <v/>
      </c>
      <c r="AQ992" s="6">
        <f>IF(AP992&lt;=490,0,IF(AP992&lt;=600,(AP992-490)*0.05,IF(AP992&lt;=730,5.5+(AP992-600)*0.10,IF(AP992&lt;=3896.67,18.5+(AP992-730)*0.175,IF(AP992&lt;=19896.67,572.67+(AP992-3896.67)*0.25,IF(AP992&lt;=50416.67,4572.67+(AP992-19896.67)*0.30,13728.67+(AP992-50416.67)*0.35))))))</f>
        <v/>
      </c>
      <c r="AR992" s="6">
        <f>SUM(AM992,AQ992,W992,X992,Y992,Z992,AA992,AN992,AO992)</f>
        <v/>
      </c>
      <c r="AS992" s="6">
        <f>AL992-AR992</f>
        <v/>
      </c>
      <c r="AT992" s="6">
        <f>AB992-AC992</f>
        <v/>
      </c>
    </row>
    <row r="993">
      <c r="A993" s="2" t="n"/>
      <c r="B993" s="3" t="n"/>
      <c r="C993" s="4" t="n"/>
      <c r="D993" s="5" t="n"/>
      <c r="E993" s="3" t="n"/>
      <c r="F993" s="4" t="n"/>
      <c r="G993" s="5" t="n"/>
      <c r="H993" s="3" t="n"/>
      <c r="I993" s="4" t="n"/>
      <c r="J993" s="5" t="n"/>
      <c r="K993" s="3" t="n"/>
      <c r="L993" s="4" t="n"/>
      <c r="M993" s="5" t="n"/>
      <c r="N993" s="3" t="n"/>
      <c r="O993" s="4" t="n"/>
      <c r="P993" s="5" t="n"/>
      <c r="Q993" s="3" t="n"/>
      <c r="R993" s="4" t="n"/>
      <c r="S993" s="5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6">
        <f>IF(C993=0,0,IF(E993="",B993*D993/100,E993))</f>
        <v/>
      </c>
      <c r="AE993" s="6">
        <f>IF(F993=0,0,IF(H993="",B993*G993/100,H993))</f>
        <v/>
      </c>
      <c r="AF993" s="6">
        <f>IF(I993=0,0,IF(K993="",B993*J993/100,K993))</f>
        <v/>
      </c>
      <c r="AG993" s="6">
        <f>IF(L993=0,0,IF(N993="",B993*M993/100,N993))</f>
        <v/>
      </c>
      <c r="AH993" s="6">
        <f>IF(O993=0,0,IF(Q993="",B993*P993/100,Q993))</f>
        <v/>
      </c>
      <c r="AI993" s="6">
        <f>IF(R993=0,0,IF(T993="",B993*S993/100,T993))</f>
        <v/>
      </c>
      <c r="AJ993" s="6">
        <f>B993*0.035</f>
        <v/>
      </c>
      <c r="AK993" s="6">
        <f>B993*0.065</f>
        <v/>
      </c>
      <c r="AL993" s="6">
        <f>SUM(B993,AD993,AE993,AF993,AG993,AH993,AI993,U993,V993,AJ993,AK993)</f>
        <v/>
      </c>
      <c r="AM993" s="6">
        <f>B993*0.055</f>
        <v/>
      </c>
      <c r="AN993" s="6">
        <f>B993*0.035</f>
        <v/>
      </c>
      <c r="AO993" s="6">
        <f>B993*0.165</f>
        <v/>
      </c>
      <c r="AP993" s="6">
        <f>MAX(0,AL993-AM993-AO993)</f>
        <v/>
      </c>
      <c r="AQ993" s="6">
        <f>IF(AP993&lt;=490,0,IF(AP993&lt;=600,(AP993-490)*0.05,IF(AP993&lt;=730,5.5+(AP993-600)*0.10,IF(AP993&lt;=3896.67,18.5+(AP993-730)*0.175,IF(AP993&lt;=19896.67,572.67+(AP993-3896.67)*0.25,IF(AP993&lt;=50416.67,4572.67+(AP993-19896.67)*0.30,13728.67+(AP993-50416.67)*0.35))))))</f>
        <v/>
      </c>
      <c r="AR993" s="6">
        <f>SUM(AM993,AQ993,W993,X993,Y993,Z993,AA993,AN993,AO993)</f>
        <v/>
      </c>
      <c r="AS993" s="6">
        <f>AL993-AR993</f>
        <v/>
      </c>
      <c r="AT993" s="6">
        <f>AB993-AC993</f>
        <v/>
      </c>
    </row>
    <row r="994">
      <c r="A994" s="2" t="n"/>
      <c r="B994" s="3" t="n"/>
      <c r="C994" s="4" t="n"/>
      <c r="D994" s="5" t="n"/>
      <c r="E994" s="3" t="n"/>
      <c r="F994" s="4" t="n"/>
      <c r="G994" s="5" t="n"/>
      <c r="H994" s="3" t="n"/>
      <c r="I994" s="4" t="n"/>
      <c r="J994" s="5" t="n"/>
      <c r="K994" s="3" t="n"/>
      <c r="L994" s="4" t="n"/>
      <c r="M994" s="5" t="n"/>
      <c r="N994" s="3" t="n"/>
      <c r="O994" s="4" t="n"/>
      <c r="P994" s="5" t="n"/>
      <c r="Q994" s="3" t="n"/>
      <c r="R994" s="4" t="n"/>
      <c r="S994" s="5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6">
        <f>IF(C994=0,0,IF(E994="",B994*D994/100,E994))</f>
        <v/>
      </c>
      <c r="AE994" s="6">
        <f>IF(F994=0,0,IF(H994="",B994*G994/100,H994))</f>
        <v/>
      </c>
      <c r="AF994" s="6">
        <f>IF(I994=0,0,IF(K994="",B994*J994/100,K994))</f>
        <v/>
      </c>
      <c r="AG994" s="6">
        <f>IF(L994=0,0,IF(N994="",B994*M994/100,N994))</f>
        <v/>
      </c>
      <c r="AH994" s="6">
        <f>IF(O994=0,0,IF(Q994="",B994*P994/100,Q994))</f>
        <v/>
      </c>
      <c r="AI994" s="6">
        <f>IF(R994=0,0,IF(T994="",B994*S994/100,T994))</f>
        <v/>
      </c>
      <c r="AJ994" s="6">
        <f>B994*0.035</f>
        <v/>
      </c>
      <c r="AK994" s="6">
        <f>B994*0.065</f>
        <v/>
      </c>
      <c r="AL994" s="6">
        <f>SUM(B994,AD994,AE994,AF994,AG994,AH994,AI994,U994,V994,AJ994,AK994)</f>
        <v/>
      </c>
      <c r="AM994" s="6">
        <f>B994*0.055</f>
        <v/>
      </c>
      <c r="AN994" s="6">
        <f>B994*0.035</f>
        <v/>
      </c>
      <c r="AO994" s="6">
        <f>B994*0.165</f>
        <v/>
      </c>
      <c r="AP994" s="6">
        <f>MAX(0,AL994-AM994-AO994)</f>
        <v/>
      </c>
      <c r="AQ994" s="6">
        <f>IF(AP994&lt;=490,0,IF(AP994&lt;=600,(AP994-490)*0.05,IF(AP994&lt;=730,5.5+(AP994-600)*0.10,IF(AP994&lt;=3896.67,18.5+(AP994-730)*0.175,IF(AP994&lt;=19896.67,572.67+(AP994-3896.67)*0.25,IF(AP994&lt;=50416.67,4572.67+(AP994-19896.67)*0.30,13728.67+(AP994-50416.67)*0.35))))))</f>
        <v/>
      </c>
      <c r="AR994" s="6">
        <f>SUM(AM994,AQ994,W994,X994,Y994,Z994,AA994,AN994,AO994)</f>
        <v/>
      </c>
      <c r="AS994" s="6">
        <f>AL994-AR994</f>
        <v/>
      </c>
      <c r="AT994" s="6">
        <f>AB994-AC994</f>
        <v/>
      </c>
    </row>
    <row r="995">
      <c r="A995" s="2" t="n"/>
      <c r="B995" s="3" t="n"/>
      <c r="C995" s="4" t="n"/>
      <c r="D995" s="5" t="n"/>
      <c r="E995" s="3" t="n"/>
      <c r="F995" s="4" t="n"/>
      <c r="G995" s="5" t="n"/>
      <c r="H995" s="3" t="n"/>
      <c r="I995" s="4" t="n"/>
      <c r="J995" s="5" t="n"/>
      <c r="K995" s="3" t="n"/>
      <c r="L995" s="4" t="n"/>
      <c r="M995" s="5" t="n"/>
      <c r="N995" s="3" t="n"/>
      <c r="O995" s="4" t="n"/>
      <c r="P995" s="5" t="n"/>
      <c r="Q995" s="3" t="n"/>
      <c r="R995" s="4" t="n"/>
      <c r="S995" s="5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6">
        <f>IF(C995=0,0,IF(E995="",B995*D995/100,E995))</f>
        <v/>
      </c>
      <c r="AE995" s="6">
        <f>IF(F995=0,0,IF(H995="",B995*G995/100,H995))</f>
        <v/>
      </c>
      <c r="AF995" s="6">
        <f>IF(I995=0,0,IF(K995="",B995*J995/100,K995))</f>
        <v/>
      </c>
      <c r="AG995" s="6">
        <f>IF(L995=0,0,IF(N995="",B995*M995/100,N995))</f>
        <v/>
      </c>
      <c r="AH995" s="6">
        <f>IF(O995=0,0,IF(Q995="",B995*P995/100,Q995))</f>
        <v/>
      </c>
      <c r="AI995" s="6">
        <f>IF(R995=0,0,IF(T995="",B995*S995/100,T995))</f>
        <v/>
      </c>
      <c r="AJ995" s="6">
        <f>B995*0.035</f>
        <v/>
      </c>
      <c r="AK995" s="6">
        <f>B995*0.065</f>
        <v/>
      </c>
      <c r="AL995" s="6">
        <f>SUM(B995,AD995,AE995,AF995,AG995,AH995,AI995,U995,V995,AJ995,AK995)</f>
        <v/>
      </c>
      <c r="AM995" s="6">
        <f>B995*0.055</f>
        <v/>
      </c>
      <c r="AN995" s="6">
        <f>B995*0.035</f>
        <v/>
      </c>
      <c r="AO995" s="6">
        <f>B995*0.165</f>
        <v/>
      </c>
      <c r="AP995" s="6">
        <f>MAX(0,AL995-AM995-AO995)</f>
        <v/>
      </c>
      <c r="AQ995" s="6">
        <f>IF(AP995&lt;=490,0,IF(AP995&lt;=600,(AP995-490)*0.05,IF(AP995&lt;=730,5.5+(AP995-600)*0.10,IF(AP995&lt;=3896.67,18.5+(AP995-730)*0.175,IF(AP995&lt;=19896.67,572.67+(AP995-3896.67)*0.25,IF(AP995&lt;=50416.67,4572.67+(AP995-19896.67)*0.30,13728.67+(AP995-50416.67)*0.35))))))</f>
        <v/>
      </c>
      <c r="AR995" s="6">
        <f>SUM(AM995,AQ995,W995,X995,Y995,Z995,AA995,AN995,AO995)</f>
        <v/>
      </c>
      <c r="AS995" s="6">
        <f>AL995-AR995</f>
        <v/>
      </c>
      <c r="AT995" s="6">
        <f>AB995-AC995</f>
        <v/>
      </c>
    </row>
    <row r="996">
      <c r="A996" s="2" t="n"/>
      <c r="B996" s="3" t="n"/>
      <c r="C996" s="4" t="n"/>
      <c r="D996" s="5" t="n"/>
      <c r="E996" s="3" t="n"/>
      <c r="F996" s="4" t="n"/>
      <c r="G996" s="5" t="n"/>
      <c r="H996" s="3" t="n"/>
      <c r="I996" s="4" t="n"/>
      <c r="J996" s="5" t="n"/>
      <c r="K996" s="3" t="n"/>
      <c r="L996" s="4" t="n"/>
      <c r="M996" s="5" t="n"/>
      <c r="N996" s="3" t="n"/>
      <c r="O996" s="4" t="n"/>
      <c r="P996" s="5" t="n"/>
      <c r="Q996" s="3" t="n"/>
      <c r="R996" s="4" t="n"/>
      <c r="S996" s="5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6">
        <f>IF(C996=0,0,IF(E996="",B996*D996/100,E996))</f>
        <v/>
      </c>
      <c r="AE996" s="6">
        <f>IF(F996=0,0,IF(H996="",B996*G996/100,H996))</f>
        <v/>
      </c>
      <c r="AF996" s="6">
        <f>IF(I996=0,0,IF(K996="",B996*J996/100,K996))</f>
        <v/>
      </c>
      <c r="AG996" s="6">
        <f>IF(L996=0,0,IF(N996="",B996*M996/100,N996))</f>
        <v/>
      </c>
      <c r="AH996" s="6">
        <f>IF(O996=0,0,IF(Q996="",B996*P996/100,Q996))</f>
        <v/>
      </c>
      <c r="AI996" s="6">
        <f>IF(R996=0,0,IF(T996="",B996*S996/100,T996))</f>
        <v/>
      </c>
      <c r="AJ996" s="6">
        <f>B996*0.035</f>
        <v/>
      </c>
      <c r="AK996" s="6">
        <f>B996*0.065</f>
        <v/>
      </c>
      <c r="AL996" s="6">
        <f>SUM(B996,AD996,AE996,AF996,AG996,AH996,AI996,U996,V996,AJ996,AK996)</f>
        <v/>
      </c>
      <c r="AM996" s="6">
        <f>B996*0.055</f>
        <v/>
      </c>
      <c r="AN996" s="6">
        <f>B996*0.035</f>
        <v/>
      </c>
      <c r="AO996" s="6">
        <f>B996*0.165</f>
        <v/>
      </c>
      <c r="AP996" s="6">
        <f>MAX(0,AL996-AM996-AO996)</f>
        <v/>
      </c>
      <c r="AQ996" s="6">
        <f>IF(AP996&lt;=490,0,IF(AP996&lt;=600,(AP996-490)*0.05,IF(AP996&lt;=730,5.5+(AP996-600)*0.10,IF(AP996&lt;=3896.67,18.5+(AP996-730)*0.175,IF(AP996&lt;=19896.67,572.67+(AP996-3896.67)*0.25,IF(AP996&lt;=50416.67,4572.67+(AP996-19896.67)*0.30,13728.67+(AP996-50416.67)*0.35))))))</f>
        <v/>
      </c>
      <c r="AR996" s="6">
        <f>SUM(AM996,AQ996,W996,X996,Y996,Z996,AA996,AN996,AO996)</f>
        <v/>
      </c>
      <c r="AS996" s="6">
        <f>AL996-AR996</f>
        <v/>
      </c>
      <c r="AT996" s="6">
        <f>AB996-AC996</f>
        <v/>
      </c>
    </row>
    <row r="997">
      <c r="A997" s="2" t="n"/>
      <c r="B997" s="3" t="n"/>
      <c r="C997" s="4" t="n"/>
      <c r="D997" s="5" t="n"/>
      <c r="E997" s="3" t="n"/>
      <c r="F997" s="4" t="n"/>
      <c r="G997" s="5" t="n"/>
      <c r="H997" s="3" t="n"/>
      <c r="I997" s="4" t="n"/>
      <c r="J997" s="5" t="n"/>
      <c r="K997" s="3" t="n"/>
      <c r="L997" s="4" t="n"/>
      <c r="M997" s="5" t="n"/>
      <c r="N997" s="3" t="n"/>
      <c r="O997" s="4" t="n"/>
      <c r="P997" s="5" t="n"/>
      <c r="Q997" s="3" t="n"/>
      <c r="R997" s="4" t="n"/>
      <c r="S997" s="5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6">
        <f>IF(C997=0,0,IF(E997="",B997*D997/100,E997))</f>
        <v/>
      </c>
      <c r="AE997" s="6">
        <f>IF(F997=0,0,IF(H997="",B997*G997/100,H997))</f>
        <v/>
      </c>
      <c r="AF997" s="6">
        <f>IF(I997=0,0,IF(K997="",B997*J997/100,K997))</f>
        <v/>
      </c>
      <c r="AG997" s="6">
        <f>IF(L997=0,0,IF(N997="",B997*M997/100,N997))</f>
        <v/>
      </c>
      <c r="AH997" s="6">
        <f>IF(O997=0,0,IF(Q997="",B997*P997/100,Q997))</f>
        <v/>
      </c>
      <c r="AI997" s="6">
        <f>IF(R997=0,0,IF(T997="",B997*S997/100,T997))</f>
        <v/>
      </c>
      <c r="AJ997" s="6">
        <f>B997*0.035</f>
        <v/>
      </c>
      <c r="AK997" s="6">
        <f>B997*0.065</f>
        <v/>
      </c>
      <c r="AL997" s="6">
        <f>SUM(B997,AD997,AE997,AF997,AG997,AH997,AI997,U997,V997,AJ997,AK997)</f>
        <v/>
      </c>
      <c r="AM997" s="6">
        <f>B997*0.055</f>
        <v/>
      </c>
      <c r="AN997" s="6">
        <f>B997*0.035</f>
        <v/>
      </c>
      <c r="AO997" s="6">
        <f>B997*0.165</f>
        <v/>
      </c>
      <c r="AP997" s="6">
        <f>MAX(0,AL997-AM997-AO997)</f>
        <v/>
      </c>
      <c r="AQ997" s="6">
        <f>IF(AP997&lt;=490,0,IF(AP997&lt;=600,(AP997-490)*0.05,IF(AP997&lt;=730,5.5+(AP997-600)*0.10,IF(AP997&lt;=3896.67,18.5+(AP997-730)*0.175,IF(AP997&lt;=19896.67,572.67+(AP997-3896.67)*0.25,IF(AP997&lt;=50416.67,4572.67+(AP997-19896.67)*0.30,13728.67+(AP997-50416.67)*0.35))))))</f>
        <v/>
      </c>
      <c r="AR997" s="6">
        <f>SUM(AM997,AQ997,W997,X997,Y997,Z997,AA997,AN997,AO997)</f>
        <v/>
      </c>
      <c r="AS997" s="6">
        <f>AL997-AR997</f>
        <v/>
      </c>
      <c r="AT997" s="6">
        <f>AB997-AC997</f>
        <v/>
      </c>
    </row>
    <row r="998">
      <c r="A998" s="2" t="n"/>
      <c r="B998" s="3" t="n"/>
      <c r="C998" s="4" t="n"/>
      <c r="D998" s="5" t="n"/>
      <c r="E998" s="3" t="n"/>
      <c r="F998" s="4" t="n"/>
      <c r="G998" s="5" t="n"/>
      <c r="H998" s="3" t="n"/>
      <c r="I998" s="4" t="n"/>
      <c r="J998" s="5" t="n"/>
      <c r="K998" s="3" t="n"/>
      <c r="L998" s="4" t="n"/>
      <c r="M998" s="5" t="n"/>
      <c r="N998" s="3" t="n"/>
      <c r="O998" s="4" t="n"/>
      <c r="P998" s="5" t="n"/>
      <c r="Q998" s="3" t="n"/>
      <c r="R998" s="4" t="n"/>
      <c r="S998" s="5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6">
        <f>IF(C998=0,0,IF(E998="",B998*D998/100,E998))</f>
        <v/>
      </c>
      <c r="AE998" s="6">
        <f>IF(F998=0,0,IF(H998="",B998*G998/100,H998))</f>
        <v/>
      </c>
      <c r="AF998" s="6">
        <f>IF(I998=0,0,IF(K998="",B998*J998/100,K998))</f>
        <v/>
      </c>
      <c r="AG998" s="6">
        <f>IF(L998=0,0,IF(N998="",B998*M998/100,N998))</f>
        <v/>
      </c>
      <c r="AH998" s="6">
        <f>IF(O998=0,0,IF(Q998="",B998*P998/100,Q998))</f>
        <v/>
      </c>
      <c r="AI998" s="6">
        <f>IF(R998=0,0,IF(T998="",B998*S998/100,T998))</f>
        <v/>
      </c>
      <c r="AJ998" s="6">
        <f>B998*0.035</f>
        <v/>
      </c>
      <c r="AK998" s="6">
        <f>B998*0.065</f>
        <v/>
      </c>
      <c r="AL998" s="6">
        <f>SUM(B998,AD998,AE998,AF998,AG998,AH998,AI998,U998,V998,AJ998,AK998)</f>
        <v/>
      </c>
      <c r="AM998" s="6">
        <f>B998*0.055</f>
        <v/>
      </c>
      <c r="AN998" s="6">
        <f>B998*0.035</f>
        <v/>
      </c>
      <c r="AO998" s="6">
        <f>B998*0.165</f>
        <v/>
      </c>
      <c r="AP998" s="6">
        <f>MAX(0,AL998-AM998-AO998)</f>
        <v/>
      </c>
      <c r="AQ998" s="6">
        <f>IF(AP998&lt;=490,0,IF(AP998&lt;=600,(AP998-490)*0.05,IF(AP998&lt;=730,5.5+(AP998-600)*0.10,IF(AP998&lt;=3896.67,18.5+(AP998-730)*0.175,IF(AP998&lt;=19896.67,572.67+(AP998-3896.67)*0.25,IF(AP998&lt;=50416.67,4572.67+(AP998-19896.67)*0.30,13728.67+(AP998-50416.67)*0.35))))))</f>
        <v/>
      </c>
      <c r="AR998" s="6">
        <f>SUM(AM998,AQ998,W998,X998,Y998,Z998,AA998,AN998,AO998)</f>
        <v/>
      </c>
      <c r="AS998" s="6">
        <f>AL998-AR998</f>
        <v/>
      </c>
      <c r="AT998" s="6">
        <f>AB998-AC998</f>
        <v/>
      </c>
    </row>
    <row r="999">
      <c r="A999" s="2" t="n"/>
      <c r="B999" s="3" t="n"/>
      <c r="C999" s="4" t="n"/>
      <c r="D999" s="5" t="n"/>
      <c r="E999" s="3" t="n"/>
      <c r="F999" s="4" t="n"/>
      <c r="G999" s="5" t="n"/>
      <c r="H999" s="3" t="n"/>
      <c r="I999" s="4" t="n"/>
      <c r="J999" s="5" t="n"/>
      <c r="K999" s="3" t="n"/>
      <c r="L999" s="4" t="n"/>
      <c r="M999" s="5" t="n"/>
      <c r="N999" s="3" t="n"/>
      <c r="O999" s="4" t="n"/>
      <c r="P999" s="5" t="n"/>
      <c r="Q999" s="3" t="n"/>
      <c r="R999" s="4" t="n"/>
      <c r="S999" s="5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6">
        <f>IF(C999=0,0,IF(E999="",B999*D999/100,E999))</f>
        <v/>
      </c>
      <c r="AE999" s="6">
        <f>IF(F999=0,0,IF(H999="",B999*G999/100,H999))</f>
        <v/>
      </c>
      <c r="AF999" s="6">
        <f>IF(I999=0,0,IF(K999="",B999*J999/100,K999))</f>
        <v/>
      </c>
      <c r="AG999" s="6">
        <f>IF(L999=0,0,IF(N999="",B999*M999/100,N999))</f>
        <v/>
      </c>
      <c r="AH999" s="6">
        <f>IF(O999=0,0,IF(Q999="",B999*P999/100,Q999))</f>
        <v/>
      </c>
      <c r="AI999" s="6">
        <f>IF(R999=0,0,IF(T999="",B999*S999/100,T999))</f>
        <v/>
      </c>
      <c r="AJ999" s="6">
        <f>B999*0.035</f>
        <v/>
      </c>
      <c r="AK999" s="6">
        <f>B999*0.065</f>
        <v/>
      </c>
      <c r="AL999" s="6">
        <f>SUM(B999,AD999,AE999,AF999,AG999,AH999,AI999,U999,V999,AJ999,AK999)</f>
        <v/>
      </c>
      <c r="AM999" s="6">
        <f>B999*0.055</f>
        <v/>
      </c>
      <c r="AN999" s="6">
        <f>B999*0.035</f>
        <v/>
      </c>
      <c r="AO999" s="6">
        <f>B999*0.165</f>
        <v/>
      </c>
      <c r="AP999" s="6">
        <f>MAX(0,AL999-AM999-AO999)</f>
        <v/>
      </c>
      <c r="AQ999" s="6">
        <f>IF(AP999&lt;=490,0,IF(AP999&lt;=600,(AP999-490)*0.05,IF(AP999&lt;=730,5.5+(AP999-600)*0.10,IF(AP999&lt;=3896.67,18.5+(AP999-730)*0.175,IF(AP999&lt;=19896.67,572.67+(AP999-3896.67)*0.25,IF(AP999&lt;=50416.67,4572.67+(AP999-19896.67)*0.30,13728.67+(AP999-50416.67)*0.35))))))</f>
        <v/>
      </c>
      <c r="AR999" s="6">
        <f>SUM(AM999,AQ999,W999,X999,Y999,Z999,AA999,AN999,AO999)</f>
        <v/>
      </c>
      <c r="AS999" s="6">
        <f>AL999-AR999</f>
        <v/>
      </c>
      <c r="AT999" s="6">
        <f>AB999-AC999</f>
        <v/>
      </c>
    </row>
    <row r="1000">
      <c r="A1000" s="2" t="n"/>
      <c r="B1000" s="3" t="n"/>
      <c r="C1000" s="4" t="n"/>
      <c r="D1000" s="5" t="n"/>
      <c r="E1000" s="3" t="n"/>
      <c r="F1000" s="4" t="n"/>
      <c r="G1000" s="5" t="n"/>
      <c r="H1000" s="3" t="n"/>
      <c r="I1000" s="4" t="n"/>
      <c r="J1000" s="5" t="n"/>
      <c r="K1000" s="3" t="n"/>
      <c r="L1000" s="4" t="n"/>
      <c r="M1000" s="5" t="n"/>
      <c r="N1000" s="3" t="n"/>
      <c r="O1000" s="4" t="n"/>
      <c r="P1000" s="5" t="n"/>
      <c r="Q1000" s="3" t="n"/>
      <c r="R1000" s="4" t="n"/>
      <c r="S1000" s="5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6">
        <f>IF(C1000=0,0,IF(E1000="",B1000*D1000/100,E1000))</f>
        <v/>
      </c>
      <c r="AE1000" s="6">
        <f>IF(F1000=0,0,IF(H1000="",B1000*G1000/100,H1000))</f>
        <v/>
      </c>
      <c r="AF1000" s="6">
        <f>IF(I1000=0,0,IF(K1000="",B1000*J1000/100,K1000))</f>
        <v/>
      </c>
      <c r="AG1000" s="6">
        <f>IF(L1000=0,0,IF(N1000="",B1000*M1000/100,N1000))</f>
        <v/>
      </c>
      <c r="AH1000" s="6">
        <f>IF(O1000=0,0,IF(Q1000="",B1000*P1000/100,Q1000))</f>
        <v/>
      </c>
      <c r="AI1000" s="6">
        <f>IF(R1000=0,0,IF(T1000="",B1000*S1000/100,T1000))</f>
        <v/>
      </c>
      <c r="AJ1000" s="6">
        <f>B1000*0.035</f>
        <v/>
      </c>
      <c r="AK1000" s="6">
        <f>B1000*0.065</f>
        <v/>
      </c>
      <c r="AL1000" s="6">
        <f>SUM(B1000,AD1000,AE1000,AF1000,AG1000,AH1000,AI1000,U1000,V1000,AJ1000,AK1000)</f>
        <v/>
      </c>
      <c r="AM1000" s="6">
        <f>B1000*0.055</f>
        <v/>
      </c>
      <c r="AN1000" s="6">
        <f>B1000*0.035</f>
        <v/>
      </c>
      <c r="AO1000" s="6">
        <f>B1000*0.165</f>
        <v/>
      </c>
      <c r="AP1000" s="6">
        <f>MAX(0,AL1000-AM1000-AO1000)</f>
        <v/>
      </c>
      <c r="AQ1000" s="6">
        <f>IF(AP1000&lt;=490,0,IF(AP1000&lt;=600,(AP1000-490)*0.05,IF(AP1000&lt;=730,5.5+(AP1000-600)*0.10,IF(AP1000&lt;=3896.67,18.5+(AP1000-730)*0.175,IF(AP1000&lt;=19896.67,572.67+(AP1000-3896.67)*0.25,IF(AP1000&lt;=50416.67,4572.67+(AP1000-19896.67)*0.30,13728.67+(AP1000-50416.67)*0.35))))))</f>
        <v/>
      </c>
      <c r="AR1000" s="6">
        <f>SUM(AM1000,AQ1000,W1000,X1000,Y1000,Z1000,AA1000,AN1000,AO1000)</f>
        <v/>
      </c>
      <c r="AS1000" s="6">
        <f>AL1000-AR1000</f>
        <v/>
      </c>
      <c r="AT1000" s="6">
        <f>AB1000-AC1000</f>
        <v/>
      </c>
    </row>
    <row r="1001">
      <c r="A1001" s="2" t="n"/>
      <c r="B1001" s="3" t="n"/>
      <c r="C1001" s="4" t="n"/>
      <c r="D1001" s="5" t="n"/>
      <c r="E1001" s="3" t="n"/>
      <c r="F1001" s="4" t="n"/>
      <c r="G1001" s="5" t="n"/>
      <c r="H1001" s="3" t="n"/>
      <c r="I1001" s="4" t="n"/>
      <c r="J1001" s="5" t="n"/>
      <c r="K1001" s="3" t="n"/>
      <c r="L1001" s="4" t="n"/>
      <c r="M1001" s="5" t="n"/>
      <c r="N1001" s="3" t="n"/>
      <c r="O1001" s="4" t="n"/>
      <c r="P1001" s="5" t="n"/>
      <c r="Q1001" s="3" t="n"/>
      <c r="R1001" s="4" t="n"/>
      <c r="S1001" s="5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6">
        <f>IF(C1001=0,0,IF(E1001="",B1001*D1001/100,E1001))</f>
        <v/>
      </c>
      <c r="AE1001" s="6">
        <f>IF(F1001=0,0,IF(H1001="",B1001*G1001/100,H1001))</f>
        <v/>
      </c>
      <c r="AF1001" s="6">
        <f>IF(I1001=0,0,IF(K1001="",B1001*J1001/100,K1001))</f>
        <v/>
      </c>
      <c r="AG1001" s="6">
        <f>IF(L1001=0,0,IF(N1001="",B1001*M1001/100,N1001))</f>
        <v/>
      </c>
      <c r="AH1001" s="6">
        <f>IF(O1001=0,0,IF(Q1001="",B1001*P1001/100,Q1001))</f>
        <v/>
      </c>
      <c r="AI1001" s="6">
        <f>IF(R1001=0,0,IF(T1001="",B1001*S1001/100,T1001))</f>
        <v/>
      </c>
      <c r="AJ1001" s="6">
        <f>B1001*0.035</f>
        <v/>
      </c>
      <c r="AK1001" s="6">
        <f>B1001*0.065</f>
        <v/>
      </c>
      <c r="AL1001" s="6">
        <f>SUM(B1001,AD1001,AE1001,AF1001,AG1001,AH1001,AI1001,U1001,V1001,AJ1001,AK1001)</f>
        <v/>
      </c>
      <c r="AM1001" s="6">
        <f>B1001*0.055</f>
        <v/>
      </c>
      <c r="AN1001" s="6">
        <f>B1001*0.035</f>
        <v/>
      </c>
      <c r="AO1001" s="6">
        <f>B1001*0.165</f>
        <v/>
      </c>
      <c r="AP1001" s="6">
        <f>MAX(0,AL1001-AM1001-AO1001)</f>
        <v/>
      </c>
      <c r="AQ1001" s="6">
        <f>IF(AP1001&lt;=490,0,IF(AP1001&lt;=600,(AP1001-490)*0.05,IF(AP1001&lt;=730,5.5+(AP1001-600)*0.10,IF(AP1001&lt;=3896.67,18.5+(AP1001-730)*0.175,IF(AP1001&lt;=19896.67,572.67+(AP1001-3896.67)*0.25,IF(AP1001&lt;=50416.67,4572.67+(AP1001-19896.67)*0.30,13728.67+(AP1001-50416.67)*0.35))))))</f>
        <v/>
      </c>
      <c r="AR1001" s="6">
        <f>SUM(AM1001,AQ1001,W1001,X1001,Y1001,Z1001,AA1001,AN1001,AO1001)</f>
        <v/>
      </c>
      <c r="AS1001" s="6">
        <f>AL1001-AR1001</f>
        <v/>
      </c>
      <c r="AT1001" s="6">
        <f>AB1001-AC1001</f>
        <v/>
      </c>
    </row>
  </sheetData>
  <autoFilter ref="A1:AT1001"/>
  <dataValidations count="1">
    <dataValidation sqref="C2:C1001 F2:F1001 I2:I1001 L2:L1001 O2:O1001 R2:R100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GB MONTHLY PAYROLL SUMMARY</t>
        </is>
      </c>
    </row>
    <row r="3">
      <c r="A3" s="8" t="inlineStr">
        <is>
          <t>TOTAL EMPLOYEES</t>
        </is>
      </c>
      <c r="B3" s="9">
        <f>COUNTA(MONTHLY_INPUT!A2:A1001)</f>
        <v/>
      </c>
    </row>
    <row r="4">
      <c r="A4" s="8" t="inlineStr">
        <is>
          <t>TOTAL GROSS EARNINGS</t>
        </is>
      </c>
      <c r="B4" s="10">
        <f>SUM(MONTHLY_INPUT!AL2:AL1001)</f>
        <v/>
      </c>
    </row>
    <row r="5">
      <c r="A5" s="8" t="inlineStr">
        <is>
          <t>TOTAL TAXABLE INCOME</t>
        </is>
      </c>
      <c r="B5" s="10">
        <f>SUM(MONTHLY_INPUT!AP2:AP1001)</f>
        <v/>
      </c>
    </row>
    <row r="6">
      <c r="A6" s="8" t="inlineStr">
        <is>
          <t>TOTAL PAYE</t>
        </is>
      </c>
      <c r="B6" s="10">
        <f>SUM(MONTHLY_INPUT!AQ2:AQ1001)</f>
        <v/>
      </c>
    </row>
    <row r="7">
      <c r="A7" s="8" t="inlineStr">
        <is>
          <t>TOTAL DEDUCTIONS</t>
        </is>
      </c>
      <c r="B7" s="10">
        <f>SUM(MONTHLY_INPUT!AR2:AR1001)</f>
        <v/>
      </c>
    </row>
    <row r="8">
      <c r="A8" s="8" t="inlineStr">
        <is>
          <t>TOTAL NET SALARY</t>
        </is>
      </c>
      <c r="B8" s="10">
        <f>SUM(MONTHLY_INPUT!AS2:AS1001)</f>
        <v/>
      </c>
    </row>
    <row r="9">
      <c r="A9" s="8" t="inlineStr">
        <is>
          <t>TOTAL OUTSTANDING LOAN</t>
        </is>
      </c>
      <c r="B9" s="10">
        <f>SUM(MONTHLY_INPUT!AT2:AT1001)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4" customWidth="1" min="4" max="4"/>
    <col width="16" customWidth="1" min="5" max="5"/>
  </cols>
  <sheetData>
    <row r="1">
      <c r="A1" s="11" t="inlineStr">
        <is>
          <t>BAND</t>
        </is>
      </c>
      <c r="B1" s="11" t="inlineStr">
        <is>
          <t>RANGE (GHS)</t>
        </is>
      </c>
      <c r="C1" s="11" t="inlineStr">
        <is>
          <t>RATE</t>
        </is>
      </c>
      <c r="D1" s="11" t="inlineStr">
        <is>
          <t>BAND TAX</t>
        </is>
      </c>
      <c r="E1" s="11" t="inlineStr">
        <is>
          <t>CUMULATIVE TAX</t>
        </is>
      </c>
    </row>
    <row r="2">
      <c r="A2" s="9" t="inlineStr">
        <is>
          <t>1</t>
        </is>
      </c>
      <c r="B2" s="9" t="inlineStr">
        <is>
          <t>0.00 - 490.00</t>
        </is>
      </c>
      <c r="C2" s="9" t="inlineStr">
        <is>
          <t>0%</t>
        </is>
      </c>
      <c r="D2" s="10" t="n">
        <v>0</v>
      </c>
      <c r="E2" s="10" t="n">
        <v>0</v>
      </c>
    </row>
    <row r="3">
      <c r="A3" s="9" t="inlineStr">
        <is>
          <t>2</t>
        </is>
      </c>
      <c r="B3" s="9" t="inlineStr">
        <is>
          <t>490.01 - 600.00</t>
        </is>
      </c>
      <c r="C3" s="9" t="inlineStr">
        <is>
          <t>5%</t>
        </is>
      </c>
      <c r="D3" s="10" t="n">
        <v>5.5</v>
      </c>
      <c r="E3" s="10" t="n">
        <v>5.5</v>
      </c>
    </row>
    <row r="4">
      <c r="A4" s="9" t="inlineStr">
        <is>
          <t>3</t>
        </is>
      </c>
      <c r="B4" s="9" t="inlineStr">
        <is>
          <t>600.01 - 730.00</t>
        </is>
      </c>
      <c r="C4" s="9" t="inlineStr">
        <is>
          <t>10%</t>
        </is>
      </c>
      <c r="D4" s="10" t="n">
        <v>13</v>
      </c>
      <c r="E4" s="10" t="n">
        <v>18.5</v>
      </c>
    </row>
    <row r="5">
      <c r="A5" s="9" t="inlineStr">
        <is>
          <t>4</t>
        </is>
      </c>
      <c r="B5" s="9" t="inlineStr">
        <is>
          <t>730.01 - 3,896.67</t>
        </is>
      </c>
      <c r="C5" s="9" t="inlineStr">
        <is>
          <t>17.5%</t>
        </is>
      </c>
      <c r="D5" s="10" t="n">
        <v>554.17</v>
      </c>
      <c r="E5" s="10" t="n">
        <v>572.67</v>
      </c>
    </row>
    <row r="6">
      <c r="A6" s="9" t="inlineStr">
        <is>
          <t>5</t>
        </is>
      </c>
      <c r="B6" s="9" t="inlineStr">
        <is>
          <t>3,896.68 - 19,896.67</t>
        </is>
      </c>
      <c r="C6" s="9" t="inlineStr">
        <is>
          <t>25%</t>
        </is>
      </c>
      <c r="D6" s="10" t="n">
        <v>4000</v>
      </c>
      <c r="E6" s="10" t="n">
        <v>4572.67</v>
      </c>
    </row>
    <row r="7">
      <c r="A7" s="9" t="inlineStr">
        <is>
          <t>6</t>
        </is>
      </c>
      <c r="B7" s="9" t="inlineStr">
        <is>
          <t>19,896.68 - 50,416.67</t>
        </is>
      </c>
      <c r="C7" s="9" t="inlineStr">
        <is>
          <t>30%</t>
        </is>
      </c>
      <c r="D7" s="10" t="n">
        <v>9156</v>
      </c>
      <c r="E7" s="10" t="n">
        <v>13728.67</v>
      </c>
    </row>
    <row r="8">
      <c r="A8" s="9" t="inlineStr">
        <is>
          <t>7</t>
        </is>
      </c>
      <c r="B8" s="9" t="inlineStr">
        <is>
          <t>50,416.68 and above</t>
        </is>
      </c>
      <c r="C8" s="9" t="inlineStr">
        <is>
          <t>35%</t>
        </is>
      </c>
      <c r="D8" s="9" t="inlineStr"/>
      <c r="E8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HOW TO USE</t>
        </is>
      </c>
    </row>
    <row r="3">
      <c r="A3" t="inlineStr">
        <is>
          <t>1. Open MONTHLY_INPUT sheet.</t>
        </is>
      </c>
    </row>
    <row r="4">
      <c r="A4" t="inlineStr">
        <is>
          <t>2. Enter employee name and basic salary.</t>
        </is>
      </c>
    </row>
    <row r="5">
      <c r="A5" t="inlineStr">
        <is>
          <t>3. Use include columns as 1 (include) or 0 (exclude).</t>
        </is>
      </c>
    </row>
    <row r="6">
      <c r="A6" t="inlineStr">
        <is>
          <t>4. Keep override cells blank for auto-calculation from rates.</t>
        </is>
      </c>
    </row>
    <row r="7">
      <c r="A7" t="inlineStr">
        <is>
          <t>5. Fill welfare/union/support/lateness/absenteeism/loan values if needed.</t>
        </is>
      </c>
    </row>
    <row r="8">
      <c r="A8" t="inlineStr">
        <is>
          <t>6. All PAYE and totals calculate automatically.</t>
        </is>
      </c>
    </row>
    <row r="9">
      <c r="A9" t="inlineStr">
        <is>
          <t>7. View totals in SUMMARY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2026-03-08T21:11:11Z</dcterms:created>
  <dcterms:modified xsi:type="dcterms:W3CDTF">2026-03-08T21:11:12Z</dcterms:modified>
</cp:coreProperties>
</file>